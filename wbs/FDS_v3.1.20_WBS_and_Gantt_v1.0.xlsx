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Phase 1 Gantt" sheetId="3" state="visible" r:id="rId3"/>
    <sheet xmlns:r="http://schemas.openxmlformats.org/officeDocument/2006/relationships" name="Phase 2 Gantt" sheetId="4" state="visible" r:id="rId4"/>
    <sheet xmlns:r="http://schemas.openxmlformats.org/officeDocument/2006/relationships" name="Milestones &amp; Decisions" sheetId="5" state="visible" r:id="rId5"/>
    <sheet xmlns:r="http://schemas.openxmlformats.org/officeDocument/2006/relationships" name="Risks &amp; Assumptions" sheetId="6" state="visible" r:id="rId6"/>
    <sheet xmlns:r="http://schemas.openxmlformats.org/officeDocument/2006/relationships" name="Sources &amp; Change Log" sheetId="7" state="visible" r:id="rId7"/>
    <sheet xmlns:r="http://schemas.openxmlformats.org/officeDocument/2006/relationships" name="Team Calendar" sheetId="8" state="visible" r:id="rId8"/>
    <sheet xmlns:r="http://schemas.openxmlformats.org/officeDocument/2006/relationships" name="Fast Track Plan" sheetId="9" state="visible" r:id="rId9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"/>
    <numFmt numFmtId="166" formatCode=";;;"/>
    <numFmt numFmtId="167" formatCode="mm-dd"/>
    <numFmt numFmtId="168" formatCode="0.0"/>
  </numFmts>
  <fonts count="24">
    <font>
      <name val="Carlito"/>
      <sz val="11"/>
    </font>
    <font>
      <name val="NanumGothic"/>
      <b val="1"/>
      <color rgb="FFFFFFFF"/>
      <sz val="20"/>
    </font>
    <font>
      <name val="NanumGothic"/>
      <b val="1"/>
      <color rgb="FFFFFFFF"/>
      <sz val="10"/>
    </font>
    <font>
      <name val="NanumGothic"/>
      <color rgb="FF16283A"/>
      <sz val="9"/>
    </font>
    <font>
      <name val="NanumGothic"/>
      <b val="1"/>
      <color rgb="FF16283A"/>
      <sz val="9"/>
    </font>
    <font>
      <name val="NanumGothic"/>
      <b val="1"/>
      <color rgb="FFFFFFFF"/>
      <sz val="11"/>
    </font>
    <font>
      <name val="NanumGothic"/>
      <i val="1"/>
      <color rgb="FF5E7184"/>
      <sz val="9"/>
    </font>
    <font>
      <name val="Carlito"/>
      <b val="1"/>
      <color rgb="FFFFFFFF"/>
      <sz val="16"/>
    </font>
    <font>
      <name val="Carlito"/>
      <i val="1"/>
      <color rgb="FF16283A"/>
      <sz val="9"/>
    </font>
    <font>
      <name val="Carlito"/>
      <b val="1"/>
      <color rgb="FFFFFFFF"/>
      <sz val="9"/>
    </font>
    <font>
      <name val="Carlito"/>
      <color rgb="FF16283A"/>
      <sz val="9"/>
    </font>
    <font>
      <name val="Carlito"/>
      <b val="1"/>
      <color rgb="FF16283A"/>
      <sz val="9"/>
    </font>
    <font>
      <name val="Carlito"/>
      <b val="1"/>
      <color rgb="FF7F6000"/>
      <sz val="9"/>
    </font>
    <font>
      <name val="NanumGothic"/>
      <b val="1"/>
      <color rgb="FF7F6000"/>
      <sz val="9"/>
    </font>
    <font>
      <name val="NanumGothic"/>
      <b val="1"/>
      <color rgb="FF7A4E00"/>
      <sz val="9"/>
    </font>
    <font>
      <name val="Carlito"/>
      <color rgb="FF9FB4C5"/>
      <sz val="11"/>
    </font>
    <font>
      <name val="Noto Sans CJK KR"/>
      <b val="1"/>
      <color rgb="FFFFFFFF"/>
      <sz val="17"/>
    </font>
    <font>
      <name val="Calibri"/>
      <color rgb="FF183C5A"/>
      <sz val="9"/>
    </font>
    <font>
      <name val="Calibri"/>
      <b val="1"/>
      <color rgb="FF183C5A"/>
      <sz val="9"/>
    </font>
    <font>
      <name val="Noto Sans CJK KR"/>
      <b val="1"/>
      <color rgb="FF566577"/>
      <sz val="9"/>
    </font>
    <font>
      <name val="Noto Sans CJK KR"/>
      <b val="1"/>
      <color rgb="FFFFFFFF"/>
      <sz val="16"/>
    </font>
    <font>
      <name val="Noto Sans CJK KR"/>
      <b val="1"/>
      <color rgb="FFFFFFFF"/>
      <sz val="10"/>
    </font>
    <font>
      <name val="Noto Sans CJK KR"/>
      <color rgb="FF183C5A"/>
      <sz val="9"/>
    </font>
    <font>
      <name val="Arial"/>
      <color rgb="FF25486C"/>
      <sz val="10"/>
    </font>
  </fonts>
  <fills count="23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163A5F"/>
      </patternFill>
    </fill>
    <fill>
      <patternFill patternType="solid">
        <fgColor rgb="FFEEF7FB"/>
      </patternFill>
    </fill>
    <fill>
      <patternFill patternType="solid">
        <fgColor rgb="FFF3F6F8"/>
      </patternFill>
    </fill>
    <fill>
      <patternFill patternType="solid">
        <fgColor rgb="FF0B1F33"/>
      </patternFill>
    </fill>
    <fill>
      <patternFill patternType="solid">
        <fgColor rgb="FFEAF2F8"/>
      </patternFill>
    </fill>
    <fill>
      <patternFill patternType="solid">
        <fgColor rgb="FF163A5F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4B740"/>
      </patternFill>
    </fill>
    <fill>
      <patternFill patternType="solid">
        <fgColor rgb="FFFFF3CD"/>
      </patternFill>
    </fill>
    <fill>
      <patternFill patternType="solid">
        <fgColor rgb="FFF4C145"/>
      </patternFill>
    </fill>
    <fill>
      <patternFill patternType="solid">
        <fgColor rgb="FF9FB4C5"/>
      </patternFill>
    </fill>
    <fill>
      <patternFill patternType="solid">
        <fgColor rgb="FF183C5A"/>
      </patternFill>
    </fill>
    <fill>
      <patternFill patternType="solid">
        <fgColor rgb="FFFFF1CC"/>
      </patternFill>
    </fill>
    <fill>
      <patternFill patternType="solid">
        <fgColor rgb="FFFFFFFF"/>
      </patternFill>
    </fill>
    <fill>
      <patternFill patternType="solid">
        <fgColor rgb="FFF1F3F5"/>
      </patternFill>
    </fill>
    <fill>
      <patternFill patternType="solid">
        <fgColor rgb="FF183C5A"/>
      </patternFill>
    </fill>
    <fill>
      <patternFill patternType="solid">
        <fgColor rgb="FFF1F6FA"/>
      </patternFill>
    </fill>
    <fill>
      <patternFill patternType="solid">
        <fgColor rgb="FFECEFF2"/>
      </patternFill>
    </fill>
    <fill>
      <patternFill patternType="solid">
        <fgColor rgb="FFFFF1CC"/>
      </patternFill>
    </fill>
  </fills>
  <borders count="5">
    <border/>
    <border>
      <left style="thin">
        <color rgb="FFCCD8E2"/>
      </left>
      <right style="thin">
        <color rgb="FFCCD8E2"/>
      </right>
      <top style="thin">
        <color rgb="FFCCD8E2"/>
      </top>
      <bottom style="thin">
        <color rgb="FFCCD8E2"/>
      </bottom>
    </border>
    <border>
      <left style="medium">
        <color rgb="FF3D8DFF"/>
      </left>
      <right style="medium">
        <color rgb="FF3D8DFF"/>
      </right>
      <top style="thin">
        <color rgb="FFCCD8E2"/>
      </top>
      <bottom style="thin">
        <color rgb="FFCCD8E2"/>
      </bottom>
    </border>
    <border>
      <left style="thin">
        <color rgb="FFC7D8E8"/>
      </left>
      <right style="thin">
        <color rgb="FFC7D8E8"/>
      </right>
      <top style="thin">
        <color rgb="FFC7D8E8"/>
      </top>
      <bottom style="thin">
        <color rgb="FFC7D8E8"/>
      </bottom>
    </border>
    <border>
      <left style="thin">
        <color rgb="FFD8E3EF"/>
      </left>
      <right style="thin">
        <color rgb="FFD8E3EF"/>
      </right>
      <top style="thin">
        <color rgb="FFD8E3EF"/>
      </top>
      <bottom style="thin">
        <color rgb="FFD8E3EF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164" fontId="4" fillId="4" borderId="0" pivotButton="0" quotePrefix="0" xfId="0"/>
    <xf numFmtId="164" fontId="3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4" borderId="0" pivotButton="0" quotePrefix="0" xfId="0"/>
    <xf numFmtId="165" fontId="2" fillId="3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vertical="top" wrapText="1"/>
    </xf>
    <xf numFmtId="165" fontId="2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vertical="top" wrapText="1"/>
    </xf>
    <xf numFmtId="165" fontId="2" fillId="3" borderId="2" applyAlignment="1" pivotButton="0" quotePrefix="0" xfId="0">
      <alignment horizontal="center" vertical="center" wrapText="1"/>
    </xf>
    <xf numFmtId="166" fontId="3" fillId="0" borderId="2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0" fillId="8" borderId="0" pivotButton="0" quotePrefix="0" xfId="0"/>
    <xf numFmtId="0" fontId="9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applyAlignment="1" pivotButton="0" quotePrefix="0" xfId="0">
      <alignment horizontal="center" wrapText="1"/>
    </xf>
    <xf numFmtId="0" fontId="9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10" fillId="9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164" fontId="10" fillId="9" borderId="0" applyAlignment="1" pivotButton="0" quotePrefix="0" xfId="0">
      <alignment vertical="center" wrapText="1"/>
    </xf>
    <xf numFmtId="164" fontId="10" fillId="10" borderId="0" applyAlignment="1" pivotButton="0" quotePrefix="0" xfId="0">
      <alignment vertical="center" wrapText="1"/>
    </xf>
    <xf numFmtId="0" fontId="1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center" wrapText="1"/>
    </xf>
    <xf numFmtId="0" fontId="11" fillId="7" borderId="0" pivotButton="0" quotePrefix="0" xfId="0"/>
    <xf numFmtId="0" fontId="11" fillId="7" borderId="0" pivotButton="0" quotePrefix="0" xfId="0"/>
    <xf numFmtId="0" fontId="11" fillId="7" borderId="0" applyAlignment="1" pivotButton="0" quotePrefix="0" xfId="0">
      <alignment wrapText="1"/>
    </xf>
    <xf numFmtId="164" fontId="11" fillId="7" borderId="0" applyAlignment="1" pivotButton="0" quotePrefix="0" xfId="0">
      <alignment wrapText="1"/>
    </xf>
    <xf numFmtId="0" fontId="0" fillId="10" borderId="0" pivotButton="0" quotePrefix="0" xfId="0"/>
    <xf numFmtId="0" fontId="10" fillId="10" borderId="0" pivotButton="0" quotePrefix="0" xfId="0"/>
    <xf numFmtId="0" fontId="10" fillId="10" borderId="0" pivotButton="0" quotePrefix="0" xfId="0"/>
    <xf numFmtId="0" fontId="10" fillId="10" borderId="0" applyAlignment="1" pivotButton="0" quotePrefix="0" xfId="0">
      <alignment wrapText="1"/>
    </xf>
    <xf numFmtId="0" fontId="12" fillId="10" borderId="0" applyAlignment="1" pivotButton="0" quotePrefix="0" xfId="0">
      <alignment vertical="center" wrapText="1"/>
    </xf>
    <xf numFmtId="1" fontId="3" fillId="0" borderId="1" applyAlignment="1" pivotButton="0" quotePrefix="0" xfId="0">
      <alignment vertical="top" wrapText="1"/>
    </xf>
    <xf numFmtId="166" fontId="3" fillId="11" borderId="1" applyAlignment="1" pivotButton="0" quotePrefix="0" xfId="0">
      <alignment vertical="top" wrapText="1"/>
    </xf>
    <xf numFmtId="166" fontId="13" fillId="11" borderId="1" applyAlignment="1" pivotButton="0" quotePrefix="0" xfId="0">
      <alignment vertical="top" wrapText="1"/>
    </xf>
    <xf numFmtId="49" fontId="13" fillId="11" borderId="1" applyAlignment="1" pivotButton="0" quotePrefix="0" xfId="0">
      <alignment vertical="top" wrapText="1"/>
    </xf>
    <xf numFmtId="49" fontId="13" fillId="11" borderId="1" applyAlignment="1" pivotButton="0" quotePrefix="0" xfId="0">
      <alignment horizontal="center" vertical="top" wrapText="1"/>
    </xf>
    <xf numFmtId="49" fontId="13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12" borderId="0" pivotButton="0" quotePrefix="0" xfId="0"/>
    <xf numFmtId="164" fontId="0" fillId="12" borderId="0" pivotButton="0" quotePrefix="0" xfId="0"/>
    <xf numFmtId="0" fontId="0" fillId="12" borderId="0" applyAlignment="1" pivotButton="0" quotePrefix="0" xfId="0">
      <alignment wrapText="1"/>
    </xf>
    <xf numFmtId="164" fontId="0" fillId="12" borderId="0" applyAlignment="1" pivotButton="0" quotePrefix="0" xfId="0">
      <alignment wrapText="1"/>
    </xf>
    <xf numFmtId="166" fontId="3" fillId="13" borderId="1" applyAlignment="1" pivotButton="0" quotePrefix="0" xfId="0">
      <alignment vertical="top" wrapText="1"/>
    </xf>
    <xf numFmtId="166" fontId="14" fillId="13" borderId="1" applyAlignment="1" pivotButton="0" quotePrefix="0" xfId="0">
      <alignment vertical="top" wrapText="1"/>
    </xf>
    <xf numFmtId="166" fontId="14" fillId="13" borderId="1" applyAlignment="1" pivotButton="0" quotePrefix="0" xfId="0">
      <alignment horizontal="center" vertical="top" wrapText="1"/>
    </xf>
    <xf numFmtId="0" fontId="0" fillId="14" borderId="0" pivotButton="0" quotePrefix="0" xfId="0"/>
    <xf numFmtId="0" fontId="15" fillId="14" borderId="0" pivotButton="0" quotePrefix="0" xfId="0"/>
    <xf numFmtId="0" fontId="1" fillId="15" borderId="0" applyAlignment="1" pivotButton="0" quotePrefix="0" xfId="0">
      <alignment vertical="center"/>
    </xf>
    <xf numFmtId="0" fontId="16" fillId="15" borderId="0" applyAlignment="1" pivotButton="0" quotePrefix="0" xfId="0">
      <alignment vertical="center"/>
    </xf>
    <xf numFmtId="0" fontId="7" fillId="1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7" fillId="0" borderId="3" applyAlignment="1" pivotButton="0" quotePrefix="0" xfId="0">
      <alignment vertical="center" wrapText="1"/>
    </xf>
    <xf numFmtId="164" fontId="17" fillId="0" borderId="3" applyAlignment="1" pivotButton="0" quotePrefix="0" xfId="0">
      <alignment vertical="center" wrapText="1"/>
    </xf>
    <xf numFmtId="1" fontId="17" fillId="0" borderId="3" applyAlignment="1" pivotButton="0" quotePrefix="0" xfId="0">
      <alignment vertical="center" wrapText="1"/>
    </xf>
    <xf numFmtId="167" fontId="3" fillId="0" borderId="1" applyAlignment="1" pivotButton="0" quotePrefix="0" xfId="0">
      <alignment vertical="top" wrapText="1"/>
    </xf>
    <xf numFmtId="167" fontId="0" fillId="0" borderId="0" pivotButton="0" quotePrefix="0" xfId="0"/>
    <xf numFmtId="166" fontId="0" fillId="0" borderId="0" pivotButton="0" quotePrefix="0" xfId="0"/>
    <xf numFmtId="166" fontId="15" fillId="14" borderId="0" pivotButton="0" quotePrefix="0" xfId="0"/>
    <xf numFmtId="164" fontId="0" fillId="0" borderId="0" applyAlignment="1" pivotButton="0" quotePrefix="0" xfId="0">
      <alignment vertical="center" wrapText="1"/>
    </xf>
    <xf numFmtId="164" fontId="17" fillId="0" borderId="0" applyAlignment="1" pivotButton="0" quotePrefix="0" xfId="0">
      <alignment vertical="center" wrapText="1"/>
    </xf>
    <xf numFmtId="164" fontId="9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16" borderId="0" applyAlignment="1" pivotButton="0" quotePrefix="0" xfId="0">
      <alignment horizontal="center" vertical="center" wrapText="1"/>
    </xf>
    <xf numFmtId="164" fontId="9" fillId="16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wrapText="1"/>
    </xf>
    <xf numFmtId="0" fontId="18" fillId="16" borderId="0" applyAlignment="1" pivotButton="0" quotePrefix="0" xfId="0">
      <alignment horizontal="center" vertical="center" wrapText="1"/>
    </xf>
    <xf numFmtId="164" fontId="18" fillId="16" borderId="0" applyAlignment="1" pivotButton="0" quotePrefix="0" xfId="0">
      <alignment horizontal="center" vertical="center" wrapText="1"/>
    </xf>
    <xf numFmtId="0" fontId="17" fillId="16" borderId="0" applyAlignment="1" pivotButton="0" quotePrefix="0" xfId="0">
      <alignment wrapText="1"/>
    </xf>
    <xf numFmtId="166" fontId="3" fillId="17" borderId="1" applyAlignment="1" pivotButton="0" quotePrefix="0" xfId="0">
      <alignment vertical="top" wrapText="1"/>
    </xf>
    <xf numFmtId="166" fontId="3" fillId="17" borderId="2" applyAlignment="1" pivotButton="0" quotePrefix="0" xfId="0">
      <alignment vertical="top" wrapText="1"/>
    </xf>
    <xf numFmtId="166" fontId="14" fillId="17" borderId="1" applyAlignment="1" pivotButton="0" quotePrefix="0" xfId="0">
      <alignment horizontal="center" vertical="top" wrapText="1"/>
    </xf>
    <xf numFmtId="49" fontId="13" fillId="17" borderId="1" applyAlignment="1" pivotButton="0" quotePrefix="0" xfId="0">
      <alignment horizontal="center" vertical="center" wrapText="1"/>
    </xf>
    <xf numFmtId="166" fontId="0" fillId="17" borderId="0" pivotButton="0" quotePrefix="0" xfId="0"/>
    <xf numFmtId="166" fontId="15" fillId="17" borderId="0" pivotButton="0" quotePrefix="0" xfId="0"/>
    <xf numFmtId="166" fontId="13" fillId="17" borderId="1" applyAlignment="1" pivotButton="0" quotePrefix="0" xfId="0">
      <alignment horizontal="center" vertical="center" wrapText="1"/>
    </xf>
    <xf numFmtId="166" fontId="3" fillId="18" borderId="1" applyAlignment="1" pivotButton="0" quotePrefix="0" xfId="0">
      <alignment vertical="top" wrapText="1"/>
    </xf>
    <xf numFmtId="166" fontId="0" fillId="18" borderId="0" pivotButton="0" quotePrefix="0" xfId="0"/>
    <xf numFmtId="165" fontId="19" fillId="5" borderId="1" applyAlignment="1" pivotButton="0" quotePrefix="0" xfId="0">
      <alignment horizontal="center" vertical="center" wrapText="1"/>
    </xf>
    <xf numFmtId="0" fontId="0" fillId="19" borderId="0" pivotButton="0" quotePrefix="0" xfId="0"/>
    <xf numFmtId="0" fontId="20" fillId="19" borderId="0" pivotButton="0" quotePrefix="0" xfId="0"/>
    <xf numFmtId="0" fontId="21" fillId="19" borderId="0" pivotButton="0" quotePrefix="0" xfId="0"/>
    <xf numFmtId="0" fontId="0" fillId="17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22" fillId="17" borderId="0" pivotButton="0" quotePrefix="0" xfId="0"/>
    <xf numFmtId="0" fontId="22" fillId="20" borderId="0" pivotButton="0" quotePrefix="0" xfId="0"/>
    <xf numFmtId="0" fontId="22" fillId="21" borderId="0" pivotButton="0" quotePrefix="0" xfId="0"/>
    <xf numFmtId="0" fontId="22" fillId="22" borderId="0" pivotButton="0" quotePrefix="0" xfId="0"/>
    <xf numFmtId="0" fontId="22" fillId="17" borderId="0" applyAlignment="1" pivotButton="0" quotePrefix="0" xfId="0">
      <alignment wrapText="1"/>
    </xf>
    <xf numFmtId="0" fontId="22" fillId="20" borderId="0" applyAlignment="1" pivotButton="0" quotePrefix="0" xfId="0">
      <alignment wrapText="1"/>
    </xf>
    <xf numFmtId="0" fontId="22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2" fillId="17" borderId="0" applyAlignment="1" pivotButton="0" quotePrefix="0" xfId="0">
      <alignment vertical="center" wrapText="1"/>
    </xf>
    <xf numFmtId="0" fontId="22" fillId="20" borderId="0" applyAlignment="1" pivotButton="0" quotePrefix="0" xfId="0">
      <alignment vertical="center" wrapText="1"/>
    </xf>
    <xf numFmtId="0" fontId="22" fillId="21" borderId="0" applyAlignment="1" pivotButton="0" quotePrefix="0" xfId="0">
      <alignment vertical="center" wrapText="1"/>
    </xf>
    <xf numFmtId="0" fontId="22" fillId="22" borderId="0" applyAlignment="1" pivotButton="0" quotePrefix="0" xfId="0">
      <alignment vertical="center" wrapText="1"/>
    </xf>
    <xf numFmtId="0" fontId="21" fillId="19" borderId="3" pivotButton="0" quotePrefix="0" xfId="0"/>
    <xf numFmtId="0" fontId="22" fillId="17" borderId="3" applyAlignment="1" pivotButton="0" quotePrefix="0" xfId="0">
      <alignment vertical="center" wrapText="1"/>
    </xf>
    <xf numFmtId="0" fontId="22" fillId="20" borderId="3" applyAlignment="1" pivotButton="0" quotePrefix="0" xfId="0">
      <alignment vertical="center" wrapText="1"/>
    </xf>
    <xf numFmtId="0" fontId="22" fillId="21" borderId="3" applyAlignment="1" pivotButton="0" quotePrefix="0" xfId="0">
      <alignment vertical="center" wrapText="1"/>
    </xf>
    <xf numFmtId="0" fontId="22" fillId="22" borderId="3" applyAlignment="1" pivotButton="0" quotePrefix="0" xfId="0">
      <alignment vertical="center" wrapText="1"/>
    </xf>
    <xf numFmtId="164" fontId="22" fillId="17" borderId="3" applyAlignment="1" pivotButton="0" quotePrefix="0" xfId="0">
      <alignment vertical="center" wrapText="1"/>
    </xf>
    <xf numFmtId="164" fontId="22" fillId="20" borderId="3" applyAlignment="1" pivotButton="0" quotePrefix="0" xfId="0">
      <alignment vertical="center" wrapText="1"/>
    </xf>
    <xf numFmtId="164" fontId="22" fillId="21" borderId="3" applyAlignment="1" pivotButton="0" quotePrefix="0" xfId="0">
      <alignment vertical="center" wrapText="1"/>
    </xf>
    <xf numFmtId="164" fontId="22" fillId="22" borderId="3" applyAlignment="1" pivotButton="0" quotePrefix="0" xfId="0">
      <alignment vertical="center" wrapText="1"/>
    </xf>
    <xf numFmtId="168" fontId="22" fillId="17" borderId="3" applyAlignment="1" pivotButton="0" quotePrefix="0" xfId="0">
      <alignment vertical="center" wrapText="1"/>
    </xf>
    <xf numFmtId="168" fontId="22" fillId="20" borderId="3" applyAlignment="1" pivotButton="0" quotePrefix="0" xfId="0">
      <alignment vertical="center" wrapText="1"/>
    </xf>
    <xf numFmtId="168" fontId="22" fillId="21" borderId="3" applyAlignment="1" pivotButton="0" quotePrefix="0" xfId="0">
      <alignment vertical="center" wrapText="1"/>
    </xf>
    <xf numFmtId="168" fontId="22" fillId="22" borderId="3" applyAlignment="1" pivotButton="0" quotePrefix="0" xfId="0">
      <alignment vertical="center" wrapText="1"/>
    </xf>
    <xf numFmtId="0" fontId="23" fillId="0" borderId="0" pivotButton="0" quotePrefix="0" xfId="0"/>
    <xf numFmtId="164" fontId="23" fillId="0" borderId="0" pivotButton="0" quotePrefix="0" xfId="0"/>
    <xf numFmtId="0" fontId="23" fillId="0" borderId="0" applyAlignment="1" pivotButton="0" quotePrefix="0" xfId="0">
      <alignment wrapText="1"/>
    </xf>
    <xf numFmtId="164" fontId="23" fillId="0" borderId="0" applyAlignment="1" pivotButton="0" quotePrefix="0" xfId="0">
      <alignment wrapText="1"/>
    </xf>
    <xf numFmtId="0" fontId="23" fillId="0" borderId="0" applyAlignment="1" pivotButton="0" quotePrefix="0" xfId="0">
      <alignment vertical="center" wrapText="1"/>
    </xf>
    <xf numFmtId="164" fontId="23" fillId="0" borderId="0" applyAlignment="1" pivotButton="0" quotePrefix="0" xfId="0">
      <alignment vertical="center" wrapText="1"/>
    </xf>
    <xf numFmtId="0" fontId="23" fillId="0" borderId="4" applyAlignment="1" pivotButton="0" quotePrefix="0" xfId="0">
      <alignment vertical="center" wrapText="1"/>
    </xf>
    <xf numFmtId="164" fontId="23" fillId="0" borderId="4" applyAlignment="1" pivotButton="0" quotePrefix="0" xfId="0">
      <alignment vertical="center" wrapText="1"/>
    </xf>
    <xf numFmtId="1" fontId="23" fillId="0" borderId="4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167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164" fontId="3" fillId="0" borderId="1" applyAlignment="1" pivotButton="0" quotePrefix="0" xfId="0">
      <alignment vertical="top" wrapText="1"/>
    </xf>
    <xf numFmtId="164" fontId="4" fillId="4" borderId="0" pivotButton="0" quotePrefix="0" xfId="0"/>
    <xf numFmtId="1" fontId="3" fillId="0" borderId="1" applyAlignment="1" pivotButton="0" quotePrefix="0" xfId="0">
      <alignment vertical="top" wrapText="1"/>
    </xf>
    <xf numFmtId="164" fontId="17" fillId="0" borderId="3" applyAlignment="1" pivotButton="0" quotePrefix="0" xfId="0">
      <alignment vertical="center" wrapText="1"/>
    </xf>
    <xf numFmtId="1" fontId="17" fillId="0" borderId="3" applyAlignment="1" pivotButton="0" quotePrefix="0" xfId="0">
      <alignment vertical="center" wrapText="1"/>
    </xf>
    <xf numFmtId="164" fontId="23" fillId="0" borderId="4" applyAlignment="1" pivotButton="0" quotePrefix="0" xfId="0">
      <alignment vertical="center" wrapText="1"/>
    </xf>
    <xf numFmtId="1" fontId="23" fillId="0" borderId="4" applyAlignment="1" pivotButton="0" quotePrefix="0" xfId="0">
      <alignment vertical="center" wrapText="1"/>
    </xf>
    <xf numFmtId="165" fontId="2" fillId="3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5" fontId="2" fillId="3" borderId="2" applyAlignment="1" pivotButton="0" quotePrefix="0" xfId="0">
      <alignment horizontal="center" vertical="center" wrapText="1"/>
    </xf>
    <xf numFmtId="167" fontId="3" fillId="0" borderId="1" applyAlignment="1" pivotButton="0" quotePrefix="0" xfId="0">
      <alignment vertical="top" wrapText="1"/>
    </xf>
    <xf numFmtId="166" fontId="3" fillId="17" borderId="1" applyAlignment="1" pivotButton="0" quotePrefix="0" xfId="0">
      <alignment vertical="top" wrapText="1"/>
    </xf>
    <xf numFmtId="166" fontId="3" fillId="18" borderId="1" applyAlignment="1" pivotButton="0" quotePrefix="0" xfId="0">
      <alignment vertical="top" wrapText="1"/>
    </xf>
    <xf numFmtId="166" fontId="3" fillId="17" borderId="2" applyAlignment="1" pivotButton="0" quotePrefix="0" xfId="0">
      <alignment vertical="top" wrapText="1"/>
    </xf>
    <xf numFmtId="166" fontId="14" fillId="17" borderId="1" applyAlignment="1" pivotButton="0" quotePrefix="0" xfId="0">
      <alignment horizontal="center" vertical="top" wrapText="1"/>
    </xf>
    <xf numFmtId="166" fontId="13" fillId="17" borderId="1" applyAlignment="1" pivotButton="0" quotePrefix="0" xfId="0">
      <alignment horizontal="center" vertical="center" wrapText="1"/>
    </xf>
    <xf numFmtId="167" fontId="0" fillId="0" borderId="0" pivotButton="0" quotePrefix="0" xfId="0"/>
    <xf numFmtId="166" fontId="0" fillId="17" borderId="0" pivotButton="0" quotePrefix="0" xfId="0"/>
    <xf numFmtId="166" fontId="0" fillId="18" borderId="0" pivotButton="0" quotePrefix="0" xfId="0"/>
    <xf numFmtId="166" fontId="15" fillId="17" borderId="0" pivotButton="0" quotePrefix="0" xfId="0"/>
    <xf numFmtId="167" fontId="23" fillId="0" borderId="0" applyAlignment="1" pivotButton="0" quotePrefix="0" xfId="0">
      <alignment vertical="center" wrapText="1"/>
    </xf>
    <xf numFmtId="166" fontId="23" fillId="0" borderId="0" applyAlignment="1" pivotButton="0" quotePrefix="0" xfId="0">
      <alignment vertical="center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4" fontId="10" fillId="9" borderId="0" applyAlignment="1" pivotButton="0" quotePrefix="0" xfId="0">
      <alignment vertical="center" wrapText="1"/>
    </xf>
    <xf numFmtId="164" fontId="10" fillId="10" borderId="0" applyAlignment="1" pivotButton="0" quotePrefix="0" xfId="0">
      <alignment vertical="center" wrapText="1"/>
    </xf>
    <xf numFmtId="164" fontId="0" fillId="12" borderId="0" applyAlignment="1" pivotButton="0" quotePrefix="0" xfId="0">
      <alignment wrapText="1"/>
    </xf>
    <xf numFmtId="164" fontId="18" fillId="16" borderId="0" applyAlignment="1" pivotButton="0" quotePrefix="0" xfId="0">
      <alignment horizontal="center" vertical="center" wrapText="1"/>
    </xf>
    <xf numFmtId="164" fontId="11" fillId="7" borderId="0" applyAlignment="1" pivotButton="0" quotePrefix="0" xfId="0">
      <alignment wrapText="1"/>
    </xf>
    <xf numFmtId="164" fontId="22" fillId="17" borderId="3" applyAlignment="1" pivotButton="0" quotePrefix="0" xfId="0">
      <alignment vertical="center" wrapText="1"/>
    </xf>
    <xf numFmtId="168" fontId="22" fillId="17" borderId="3" applyAlignment="1" pivotButton="0" quotePrefix="0" xfId="0">
      <alignment vertical="center" wrapText="1"/>
    </xf>
    <xf numFmtId="164" fontId="22" fillId="20" borderId="3" applyAlignment="1" pivotButton="0" quotePrefix="0" xfId="0">
      <alignment vertical="center" wrapText="1"/>
    </xf>
    <xf numFmtId="168" fontId="22" fillId="20" borderId="3" applyAlignment="1" pivotButton="0" quotePrefix="0" xfId="0">
      <alignment vertical="center" wrapText="1"/>
    </xf>
    <xf numFmtId="164" fontId="22" fillId="21" borderId="3" applyAlignment="1" pivotButton="0" quotePrefix="0" xfId="0">
      <alignment vertical="center" wrapText="1"/>
    </xf>
    <xf numFmtId="168" fontId="22" fillId="21" borderId="3" applyAlignment="1" pivotButton="0" quotePrefix="0" xfId="0">
      <alignment vertical="center" wrapText="1"/>
    </xf>
    <xf numFmtId="164" fontId="22" fillId="22" borderId="3" applyAlignment="1" pivotButton="0" quotePrefix="0" xfId="0">
      <alignment vertical="center" wrapText="1"/>
    </xf>
    <xf numFmtId="168" fontId="22" fillId="22" borderId="3" applyAlignment="1" pivotButton="0" quotePrefix="0" xfId="0">
      <alignment vertical="center" wrapText="1"/>
    </xf>
  </cellXfs>
  <cellStyles count="1">
    <cellStyle name="Normal" xfId="0"/>
  </cellStyles>
  <dxfs count="50"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ill>
        <patternFill>
          <bgColor rgb="FF3D8DFF"/>
        </patternFill>
      </fill>
    </dxf>
    <dxf>
      <fill>
        <patternFill>
          <bgColor rgb="FFF4B740"/>
        </patternFill>
      </fill>
    </dxf>
    <dxf>
      <fill>
        <patternFill>
          <bgColor rgb="FF9CB0C3"/>
        </patternFill>
      </fill>
    </dxf>
    <dxf>
      <fill>
        <patternFill>
          <bgColor rgb="FFE45C72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ill>
        <patternFill>
          <bgColor rgb="FF3D8DFF"/>
        </patternFill>
      </fill>
    </dxf>
    <dxf>
      <fill>
        <patternFill>
          <bgColor rgb="FFF4B740"/>
        </patternFill>
      </fill>
    </dxf>
    <dxf>
      <fill>
        <patternFill>
          <bgColor rgb="FF9CB0C3"/>
        </patternFill>
      </fill>
    </dxf>
    <dxf>
      <fill>
        <patternFill>
          <bgColor rgb="FFE45C72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167A52"/>
      </font>
      <fill>
        <patternFill>
          <bgColor rgb="FFDDF5E8"/>
        </patternFill>
      </fill>
    </dxf>
    <dxf>
      <font>
        <b val="1"/>
        <color rgb="FF146CAA"/>
      </font>
      <fill>
        <patternFill>
          <bgColor rgb="FFDDF4FF"/>
        </patternFill>
      </fill>
    </dxf>
    <dxf>
      <font>
        <b val="1"/>
        <color rgb="FFA86400"/>
      </font>
      <fill>
        <patternFill>
          <bgColor rgb="FFFFF1CC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40B883"/>
        </patternFill>
      </fill>
    </dxf>
    <dxf>
      <font>
        <b val="1"/>
        <color rgb="FF167A52"/>
      </font>
      <fill>
        <patternFill>
          <bgColor rgb="FFDDF5E8"/>
        </patternFill>
      </fill>
    </dxf>
    <dxf>
      <fill>
        <patternFill>
          <bgColor rgb="FF3D8DFF"/>
        </patternFill>
      </fill>
    </dxf>
    <dxf>
      <font>
        <b val="1"/>
        <color rgb="FF146CAA"/>
      </font>
      <fill>
        <patternFill>
          <bgColor rgb="FFDDF4FF"/>
        </patternFill>
      </fill>
    </dxf>
    <dxf>
      <fill>
        <patternFill>
          <bgColor rgb="FFF4B740"/>
        </patternFill>
      </fill>
    </dxf>
    <dxf>
      <font>
        <b val="1"/>
        <color rgb="FFA86400"/>
      </font>
      <fill>
        <patternFill>
          <bgColor rgb="FFFFF1CC"/>
        </patternFill>
      </fill>
    </dxf>
    <dxf>
      <fill>
        <patternFill>
          <bgColor rgb="FFE45C72"/>
        </patternFill>
      </fill>
    </dxf>
    <dxf>
      <fill>
        <patternFill>
          <bgColor rgb="FF9CB0C3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ont>
        <b val="1"/>
        <color rgb="FFB4233D"/>
      </font>
      <fill>
        <patternFill>
          <bgColor rgb="FFFDE3E7"/>
        </patternFill>
      </fill>
    </dxf>
    <dxf>
      <fill>
        <patternFill>
          <bgColor rgb="FFDDF4EA"/>
        </patternFill>
      </fill>
    </dxf>
    <dxf>
      <fill>
        <patternFill>
          <bgColor rgb="FFFFF3CD"/>
        </patternFill>
      </fill>
    </dxf>
    <dxf>
      <fill>
        <patternFill>
          <bgColor rgb="FF3AB588"/>
        </patternFill>
      </fill>
    </dxf>
    <dxf>
      <fill>
        <patternFill>
          <bgColor rgb="FFDDF4EA"/>
        </patternFill>
      </fill>
    </dxf>
    <dxf>
      <fill>
        <patternFill>
          <bgColor rgb="FFFFF3CD"/>
        </patternFill>
      </fill>
    </dxf>
    <dxf>
      <fill>
        <patternFill patternType="solid">
          <bgColor rgb="FFDDF4EA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3AB588"/>
        </patternFill>
      </fill>
    </dxf>
    <dxf>
      <fill>
        <patternFill patternType="solid">
          <bgColor rgb="FFDDF4EA"/>
        </patternFill>
      </fill>
    </dxf>
    <dxf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'Executive Summary'!$A$12:$A$15</f>
              <strCache>
                <ptCount val="0"/>
              </strCache>
            </strRef>
          </cat>
          <val>
            <numRef>
              <f>'Executive Summary'!$B$12:$B$15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Records</v>
          </tx>
          <spPr>
            <a:ln xmlns:a="http://schemas.openxmlformats.org/drawingml/2006/main">
              <a:prstDash val="solid"/>
            </a:ln>
          </spPr>
          <cat>
            <strRef>
              <f>'Executive Summary'!$D$12:$D$14</f>
              <strCache>
                <ptCount val="0"/>
              </strCache>
            </strRef>
          </cat>
          <val>
            <numRef>
              <f>'Executive Summary'!$E$12:$E$14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0</colOff>
      <row>2</row>
      <rowOff>0</rowOff>
    </from>
    <to>
      <col>22</col>
      <colOff>0</colOff>
      <row>15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FDSWBS" displayName="FDSWBS" ref="A3:S55" headerRowCount="1" totalsRowCount="0" totalsRowShown="0">
  <autoFilter ref="A3:S55"/>
  <tableColumns count="19">
    <tableColumn id="1" name="WBS ID"/>
    <tableColumn id="2" name="Title"/>
    <tableColumn id="3" name="Phase"/>
    <tableColumn id="4" name="Category"/>
    <tableColumn id="5" name="Type"/>
    <tableColumn id="6" name="Priority"/>
    <tableColumn id="7" name="Status"/>
    <tableColumn id="8" name="Plan Start"/>
    <tableColumn id="9" name="Plan End"/>
    <tableColumn id="10" name="Calendar Days"/>
    <tableColumn id="11" name="Lead Workdays"/>
    <tableColumn id="12" name="Lead"/>
    <tableColumn id="13" name="Support"/>
    <tableColumn id="14" name="Dependencies / Decisions"/>
    <tableColumn id="15" name="Risks"/>
    <tableColumn id="16" name="Description / Exit Criteria"/>
    <tableColumn id="17" name="Schedule Note"/>
    <tableColumn id="18" name="Source"/>
    <tableColumn id="19" name="Schedule Heal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8" customWidth="1" min="3" max="3"/>
    <col width="16" customWidth="1" min="4" max="4"/>
    <col width="3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4" customHeight="1">
      <c r="A1" s="79" t="inlineStr">
        <is>
          <t>FDS v3.1.20 · Executive Schedule Summary (CANDIDATE)</t>
        </is>
      </c>
    </row>
    <row r="2"/>
    <row r="3">
      <c r="A3" s="9" t="inlineStr">
        <is>
          <t>Metric</t>
        </is>
      </c>
      <c r="B3" s="9" t="inlineStr">
        <is>
          <t>Value</t>
        </is>
      </c>
      <c r="D3" s="9" t="inlineStr">
        <is>
          <t>Current gate / control</t>
        </is>
      </c>
      <c r="E3" s="9" t="inlineStr">
        <is>
          <t>Result</t>
        </is>
      </c>
    </row>
    <row r="4">
      <c r="A4" s="13" t="inlineStr">
        <is>
          <t>As of</t>
        </is>
      </c>
      <c r="B4" s="154" t="n">
        <v>46287</v>
      </c>
      <c r="D4" s="13" t="inlineStr">
        <is>
          <t>G0 Design Freeze</t>
        </is>
      </c>
      <c r="E4" s="13" t="inlineStr">
        <is>
          <t>FULL PASS / Done</t>
        </is>
      </c>
    </row>
    <row r="5">
      <c r="A5" s="13" t="inlineStr">
        <is>
          <t>Canonical version</t>
        </is>
      </c>
      <c r="B5" s="13" t="inlineStr">
        <is>
          <t>3.1.19 RELEASED / 3.1.20 CANDIDATE</t>
        </is>
      </c>
      <c r="D5" s="13" t="inlineStr">
        <is>
          <t>G1 Target</t>
        </is>
      </c>
      <c r="E5" s="154" t="n">
        <v>46282</v>
      </c>
    </row>
    <row r="6">
      <c r="A6" s="13" t="inlineStr">
        <is>
          <t>Planning records</t>
        </is>
      </c>
      <c r="B6" s="13">
        <f>COUNTA(WBS!A4:A61)</f>
        <v/>
      </c>
      <c r="D6" s="13" t="inlineStr">
        <is>
          <t>G2 Target</t>
        </is>
      </c>
      <c r="E6" s="154" t="n">
        <v>46286</v>
      </c>
    </row>
    <row r="7">
      <c r="A7" s="13" t="inlineStr">
        <is>
          <t>Tasks + CR</t>
        </is>
      </c>
      <c r="B7" s="13">
        <f>COUNTIF(WBS!E4:E61,"Task")+COUNTIF(WBS!E4:E61,"Change Request")</f>
        <v/>
      </c>
      <c r="D7" s="13" t="inlineStr">
        <is>
          <t>G3 Target</t>
        </is>
      </c>
      <c r="E7" s="154" t="n">
        <v>46287</v>
      </c>
    </row>
    <row r="8">
      <c r="A8" s="13" t="inlineStr">
        <is>
          <t>Milestones</t>
        </is>
      </c>
      <c r="B8" s="13">
        <f>COUNTIF(WBS!E4:E61,"Milestone")</f>
        <v/>
      </c>
      <c r="D8" s="13" t="inlineStr">
        <is>
          <t>ICR-D-NET-01-01</t>
        </is>
      </c>
      <c r="E8" s="13" t="inlineStr">
        <is>
          <t>In Progress / Plan 09-21; actual pending</t>
        </is>
      </c>
    </row>
    <row r="9">
      <c r="A9" t="inlineStr">
        <is>
          <t>All records / Milestone</t>
        </is>
      </c>
      <c r="B9" t="inlineStr">
        <is>
          <t>67 / 67</t>
        </is>
      </c>
      <c r="D9" s="67" t="inlineStr">
        <is>
          <t>CR-P1-ANS-01-01</t>
        </is>
      </c>
      <c r="E9" s="67" t="inlineStr">
        <is>
          <t>Done / 2026-09-07</t>
        </is>
      </c>
    </row>
    <row r="11">
      <c r="A11" s="9" t="inlineStr">
        <is>
          <t>Status</t>
        </is>
      </c>
      <c r="B11" s="9" t="inlineStr">
        <is>
          <t>Count</t>
        </is>
      </c>
      <c r="D11" s="9" t="inlineStr">
        <is>
          <t>Lead</t>
        </is>
      </c>
      <c r="E11" s="9" t="inlineStr">
        <is>
          <t>Records</t>
        </is>
      </c>
    </row>
    <row r="12">
      <c r="A12" s="13" t="inlineStr">
        <is>
          <t>Done</t>
        </is>
      </c>
      <c r="B12" s="13">
        <f>COUNTIF(WBS!$G$4:$G$61,A12)</f>
        <v/>
      </c>
      <c r="D12" s="13" t="inlineStr">
        <is>
          <t>이권욱</t>
        </is>
      </c>
      <c r="E12" s="13">
        <f>COUNTIF(WBS!$L$4:$L$61,D12)</f>
        <v/>
      </c>
    </row>
    <row r="13">
      <c r="A13" s="13" t="inlineStr">
        <is>
          <t>In Progress</t>
        </is>
      </c>
      <c r="B13" s="13">
        <f>COUNTIF(WBS!$G$4:$G$61,A13)</f>
        <v/>
      </c>
      <c r="D13" s="13" t="inlineStr">
        <is>
          <t>이하영</t>
        </is>
      </c>
      <c r="E13" s="13">
        <f>COUNTIF(WBS!$L$4:$L$61,D13)</f>
        <v/>
      </c>
    </row>
    <row r="14">
      <c r="A14" s="13" t="inlineStr">
        <is>
          <t>In Review</t>
        </is>
      </c>
      <c r="B14" s="13">
        <f>COUNTIF(WBS!$G$4:$G$61,A14)</f>
        <v/>
      </c>
      <c r="D14" s="13" t="inlineStr">
        <is>
          <t>이재환</t>
        </is>
      </c>
      <c r="E14" s="13">
        <f>COUNTIF(WBS!$L$4:$L$61,D14)</f>
        <v/>
      </c>
    </row>
    <row r="15">
      <c r="A15" s="13" t="inlineStr">
        <is>
          <t>To Do</t>
        </is>
      </c>
      <c r="B15" s="13">
        <f>COUNTIF(WBS!$G$4:$G$61,A15)</f>
        <v/>
      </c>
    </row>
    <row r="18">
      <c r="A18" s="20" t="inlineStr">
        <is>
          <t>Lead decisions / schedule alerts</t>
        </is>
      </c>
    </row>
    <row r="19">
      <c r="A19" s="9" t="inlineStr">
        <is>
          <t>Priority</t>
        </is>
      </c>
      <c r="B19" s="9" t="inlineStr">
        <is>
          <t>Decision / Alert</t>
        </is>
      </c>
      <c r="C19" s="9" t="inlineStr">
        <is>
          <t>Impact</t>
        </is>
      </c>
      <c r="D19" s="9" t="inlineStr">
        <is>
          <t>Owner</t>
        </is>
      </c>
    </row>
    <row r="20" ht="38" customHeight="1">
      <c r="A20" s="13" t="inlineStr">
        <is>
          <t>P0</t>
        </is>
      </c>
      <c r="B20" s="13" t="inlineStr">
        <is>
          <t>ICR-D-NET-01-01 end date</t>
        </is>
      </c>
      <c r="C20" s="13" t="inlineStr">
        <is>
          <t>계획 09-21; 실제 인수 미완료</t>
        </is>
      </c>
      <c r="D20" s="13" t="inlineStr">
        <is>
          <t>이권욱</t>
        </is>
      </c>
    </row>
    <row r="21" ht="38" customHeight="1">
      <c r="A21" s="13" t="inlineStr">
        <is>
          <t>P0</t>
        </is>
      </c>
      <c r="B21" s="13" t="inlineStr">
        <is>
          <t>Management return route</t>
        </is>
      </c>
      <c r="C21" s="13" t="inlineStr">
        <is>
          <t>monitor01/db01/harbor01/edge01 path evidence pending</t>
        </is>
      </c>
      <c r="D21" s="13" t="inlineStr">
        <is>
          <t>이권욱</t>
        </is>
      </c>
    </row>
    <row r="22" ht="38" customHeight="1">
      <c r="A22" s="13" t="inlineStr">
        <is>
          <t>P0</t>
        </is>
      </c>
      <c r="B22" s="13" t="inlineStr">
        <is>
          <t>Phase 1 review calendar</t>
        </is>
      </c>
      <c r="C22" s="13" t="inlineStr">
        <is>
          <t>09-22 오후 평일 Review 결정 Done; 실제 Review 별도</t>
        </is>
      </c>
      <c r="D22" s="13" t="inlineStr">
        <is>
          <t>이권욱</t>
        </is>
      </c>
    </row>
    <row r="23" ht="38" customHeight="1">
      <c r="A23" s="13" t="inlineStr">
        <is>
          <t>P1</t>
        </is>
      </c>
      <c r="B23" s="13" t="inlineStr">
        <is>
          <t>Phase 2 review calendar</t>
        </is>
      </c>
      <c r="C23" s="13" t="inlineStr">
        <is>
          <t>2026-10-24 is Saturday; D24 pending</t>
        </is>
      </c>
      <c r="D23" s="13" t="inlineStr">
        <is>
          <t>이권욱</t>
        </is>
      </c>
    </row>
    <row r="24" ht="38" customHeight="1">
      <c r="A24" s="13" t="inlineStr">
        <is>
          <t>P1</t>
        </is>
      </c>
      <c r="B24" s="13" t="inlineStr">
        <is>
          <t>Evidence placeholders</t>
        </is>
      </c>
      <c r="C24" s="13" t="inlineStr">
        <is>
          <t>Slides 11/12 are not completion evidence</t>
        </is>
      </c>
      <c r="D24" s="13" t="inlineStr">
        <is>
          <t>이재환</t>
        </is>
      </c>
    </row>
    <row r="25" ht="34" customHeight="1">
      <c r="A25" s="60" t="inlineStr">
        <is>
          <t>P0</t>
        </is>
      </c>
      <c r="B25" s="45" t="inlineStr">
        <is>
          <t>Calendar history: 2026-09-04</t>
        </is>
      </c>
      <c r="C25" s="45" t="inlineStr">
        <is>
          <t>이력 보존; 현재 계획은 WBS/각 Gate 행 참조</t>
        </is>
      </c>
      <c r="D25" s="45" t="inlineStr">
        <is>
          <t>이권욱</t>
        </is>
      </c>
    </row>
    <row r="26" ht="30" customHeight="1">
      <c r="A26" s="71" t="inlineStr">
        <is>
          <t>P0</t>
        </is>
      </c>
      <c r="B26" s="71" t="inlineStr">
        <is>
          <t>Calendar history: 2026-09-08</t>
        </is>
      </c>
      <c r="C26" s="71" t="inlineStr">
        <is>
          <t>P1-K8S/P1-HBR/P1-SEC Lead gap; ICR/P1-APP/P1-CICD support gap; no automatic rebaseline</t>
        </is>
      </c>
      <c r="D26" s="71" t="inlineStr">
        <is>
          <t>이권욱</t>
        </is>
      </c>
    </row>
    <row r="27" ht="40" customHeight="1">
      <c r="A27" t="inlineStr">
        <is>
          <t>P0</t>
        </is>
      </c>
      <c r="B27" t="inlineStr">
        <is>
          <t>Gate targets: G1 09-17 / G2 09-21 / G3 09-22</t>
        </is>
      </c>
      <c r="C27" s="67" t="inlineStr">
        <is>
          <t>Recommendation; evidence gates unchanged. Close 09-23 remains conditional.</t>
        </is>
      </c>
    </row>
    <row r="28" ht="40" customHeight="1">
      <c r="A28" t="inlineStr">
        <is>
          <t>P1</t>
        </is>
      </c>
      <c r="B28" t="inlineStr">
        <is>
          <t>P1 enhancements deferred</t>
        </is>
      </c>
      <c r="C28" s="67" t="inlineStr">
        <is>
          <t>MON-02 / DR-02 / HA-02: implementation dates TBD; handoff 09-23, replan decision 09-28.</t>
        </is>
      </c>
    </row>
    <row r="29" ht="44" customHeight="1">
      <c r="A29" t="inlineStr">
        <is>
          <t>P0</t>
        </is>
      </c>
      <c r="B29" t="inlineStr">
        <is>
          <t>Calendar history: 2026-09-10</t>
        </is>
      </c>
      <c r="C29" s="67" t="inlineStr">
        <is>
          <t>Existing SEC window: 5→4 days. New window through 09-21: 10 available days; not remaining effort.</t>
        </is>
      </c>
    </row>
  </sheetData>
  <mergeCells count="2">
    <mergeCell ref="A1:V1"/>
    <mergeCell ref="A18:V1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3" customWidth="1" min="3" max="3"/>
    <col width="28" customWidth="1" min="4" max="4"/>
    <col width="16" customWidth="1" min="5" max="5"/>
    <col width="10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20" customWidth="1" min="13" max="13"/>
    <col width="30" customWidth="1" min="14" max="14"/>
    <col width="22" customWidth="1" min="15" max="15"/>
    <col width="55" customWidth="1" min="16" max="16"/>
    <col width="56" customWidth="1" min="17" max="17"/>
    <col width="46" customWidth="1" min="18" max="18"/>
    <col width="16" customWidth="1" min="19" max="19"/>
  </cols>
  <sheetData>
    <row r="1" ht="34" customHeight="1">
      <c r="A1" s="79" t="inlineStr">
        <is>
          <t>FDS v3.1.20 · WBS (CANDIDATE)</t>
        </is>
      </c>
    </row>
    <row r="2">
      <c r="A2" s="17" t="inlineStr">
        <is>
          <t>As of</t>
        </is>
      </c>
      <c r="B2" s="155" t="n">
        <v>46287</v>
      </c>
      <c r="C2" s="17" t="inlineStr">
        <is>
          <t>Canonical</t>
        </is>
      </c>
      <c r="D2" s="17" t="inlineStr">
        <is>
          <t>3.1.19 RELEASED / 3.1.20 CANDIDATE</t>
        </is>
      </c>
      <c r="E2" s="17" t="inlineStr">
        <is>
          <t>Records</t>
        </is>
      </c>
      <c r="F2" s="17">
        <f>COUNTA(A4:A61)</f>
        <v/>
      </c>
      <c r="G2" s="17" t="str"/>
      <c r="H2" s="17" t="str"/>
      <c r="I2" s="17" t="str"/>
      <c r="J2" s="17" t="str"/>
      <c r="K2" s="17" t="str"/>
      <c r="L2" s="17" t="str"/>
      <c r="M2" s="17" t="str"/>
      <c r="N2" s="17" t="str"/>
      <c r="O2" s="17" t="str"/>
      <c r="P2" s="17" t="str"/>
      <c r="Q2" s="17" t="str"/>
      <c r="R2" s="17" t="str"/>
      <c r="S2" s="17" t="str"/>
    </row>
    <row r="3">
      <c r="A3" s="9" t="inlineStr">
        <is>
          <t>WBS ID</t>
        </is>
      </c>
      <c r="B3" s="9" t="inlineStr">
        <is>
          <t>Title</t>
        </is>
      </c>
      <c r="C3" s="9" t="inlineStr">
        <is>
          <t>Phase</t>
        </is>
      </c>
      <c r="D3" s="9" t="inlineStr">
        <is>
          <t>Category</t>
        </is>
      </c>
      <c r="E3" s="9" t="inlineStr">
        <is>
          <t>Type</t>
        </is>
      </c>
      <c r="F3" s="9" t="inlineStr">
        <is>
          <t>Priority</t>
        </is>
      </c>
      <c r="G3" s="9" t="inlineStr">
        <is>
          <t>Status</t>
        </is>
      </c>
      <c r="H3" s="9" t="inlineStr">
        <is>
          <t>Plan Start</t>
        </is>
      </c>
      <c r="I3" s="9" t="inlineStr">
        <is>
          <t>Plan End</t>
        </is>
      </c>
      <c r="J3" s="9" t="inlineStr">
        <is>
          <t>Calendar Days</t>
        </is>
      </c>
      <c r="K3" s="9" t="inlineStr">
        <is>
          <t>Lead Workdays</t>
        </is>
      </c>
      <c r="L3" s="9" t="inlineStr">
        <is>
          <t>Lead</t>
        </is>
      </c>
      <c r="M3" s="9" t="inlineStr">
        <is>
          <t>Support</t>
        </is>
      </c>
      <c r="N3" s="9" t="inlineStr">
        <is>
          <t>Dependencies / Decisions</t>
        </is>
      </c>
      <c r="O3" s="9" t="inlineStr">
        <is>
          <t>Risks</t>
        </is>
      </c>
      <c r="P3" s="9" t="inlineStr">
        <is>
          <t>Description / Exit Criteria</t>
        </is>
      </c>
      <c r="Q3" s="9" t="inlineStr">
        <is>
          <t>Schedule Note</t>
        </is>
      </c>
      <c r="R3" s="9" t="inlineStr">
        <is>
          <t>Source</t>
        </is>
      </c>
      <c r="S3" s="9" t="inlineStr">
        <is>
          <t>Schedule Health</t>
        </is>
      </c>
    </row>
    <row r="4" ht="44" customHeight="1">
      <c r="A4" s="13" t="inlineStr">
        <is>
          <t>D-SEC-01</t>
        </is>
      </c>
      <c r="B4" s="13" t="inlineStr">
        <is>
          <t>Security Design Scope / Approval Review</t>
        </is>
      </c>
      <c r="C4" s="13" t="inlineStr">
        <is>
          <t>Design</t>
        </is>
      </c>
      <c r="D4" s="13" t="inlineStr">
        <is>
          <t>Security / Governance</t>
        </is>
      </c>
      <c r="E4" s="13" t="inlineStr">
        <is>
          <t>Decision</t>
        </is>
      </c>
      <c r="F4" s="13" t="inlineStr">
        <is>
          <t>P0</t>
        </is>
      </c>
      <c r="G4" s="13" t="inlineStr">
        <is>
          <t>Done</t>
        </is>
      </c>
      <c r="H4" s="154" t="n">
        <v>46260</v>
      </c>
      <c r="I4" s="154" t="n">
        <v>46266</v>
      </c>
      <c r="J4" s="156">
        <f>IF(OR(H4="",I4=""),"",I4-H4+1)</f>
        <v/>
      </c>
      <c r="K4" s="156">
        <f>IF(OR(H4="",I4=""),"",NETWORKDAYS(H4,I4,'Sources &amp; Change Log'!$J$2:$J$5)-COUNTIFS('Team Calendar'!$A$5:$A$12,L4,'Team Calendar'!$C$5:$C$12,"&gt;="&amp;H4,'Team Calendar'!$C$5:$C$12,"&lt;="&amp;I4,'Team Calendar'!$F$5:$F$12,"Personal absence"))</f>
        <v/>
      </c>
      <c r="L4" s="13" t="inlineStr">
        <is>
          <t>이하영</t>
        </is>
      </c>
      <c r="M4" s="13" t="inlineStr">
        <is>
          <t>이권욱, 이재환</t>
        </is>
      </c>
      <c r="N4" s="13" t="inlineStr">
        <is>
          <t>D17; D28</t>
        </is>
      </c>
      <c r="O4" s="13" t="inlineStr">
        <is>
          <t>RISK-05; RISK-07</t>
        </is>
      </c>
      <c r="P4" s="13" t="inlineStr">
        <is>
          <t>승인권자 지정, D-SEC-01 검토 범위·산출물·Exit Criteria 승인, P1-SEC-01과의 경계 승인, 요구사항과 검증 증적 연결 후 Done 판정</t>
        </is>
      </c>
      <c r="Q4" s="13" t="inlineStr">
        <is>
          <t>v3.1.14 최종 승인·정본 반영 완료. 구현은 P1-SEC-01로 이관.</t>
        </is>
      </c>
      <c r="R4" s="13" t="inlineStr">
        <is>
          <t>https://github.com/321Team/fds-project-baseline/issues/7</t>
        </is>
      </c>
      <c r="S4" s="13">
        <f>IF(G4="Done","Done",IF(I4="","End TBD",IF(I4&lt;'Executive Summary'!$B$4,"Overdue",IF(H4&gt;'Executive Summary'!$B$4,"Upcoming","Active window"))))</f>
        <v/>
      </c>
    </row>
    <row r="5" ht="44" customHeight="1">
      <c r="A5" s="13" t="inlineStr">
        <is>
          <t>MS-G0-01</t>
        </is>
      </c>
      <c r="B5" s="13" t="inlineStr">
        <is>
          <t>G0 Design Freeze</t>
        </is>
      </c>
      <c r="C5" s="13" t="inlineStr">
        <is>
          <t>Design</t>
        </is>
      </c>
      <c r="D5" s="13" t="inlineStr">
        <is>
          <t>Milestone / Design Freeze</t>
        </is>
      </c>
      <c r="E5" s="13" t="inlineStr">
        <is>
          <t>Milestone</t>
        </is>
      </c>
      <c r="F5" s="13" t="inlineStr">
        <is>
          <t>P0</t>
        </is>
      </c>
      <c r="G5" s="13" t="inlineStr">
        <is>
          <t>Done</t>
        </is>
      </c>
      <c r="H5" s="154" t="n">
        <v>46260</v>
      </c>
      <c r="I5" s="154" t="n">
        <v>46266</v>
      </c>
      <c r="J5" s="156">
        <f>IF(OR(H5="",I5=""),"",I5-H5+1)</f>
        <v/>
      </c>
      <c r="K5" s="156">
        <f>IF(OR(H5="",I5=""),"",NETWORKDAYS(H5,I5,'Sources &amp; Change Log'!$J$2:$J$5)-COUNTIFS('Team Calendar'!$A$5:$A$12,L5,'Team Calendar'!$C$5:$C$12,"&gt;="&amp;H5,'Team Calendar'!$C$5:$C$12,"&lt;="&amp;I5,'Team Calendar'!$F$5:$F$12,"Personal absence"))</f>
        <v/>
      </c>
      <c r="L5" s="13" t="inlineStr">
        <is>
          <t>이권욱</t>
        </is>
      </c>
      <c r="M5" s="13" t="inlineStr">
        <is>
          <t>이하영, 이재환</t>
        </is>
      </c>
      <c r="N5" s="13" t="inlineStr">
        <is>
          <t>D17; D28; D32; D34; D35</t>
        </is>
      </c>
      <c r="O5" s="13" t="inlineStr">
        <is>
          <t>RISK-05; RISK-07</t>
        </is>
      </c>
      <c r="P5" s="13" t="inlineStr">
        <is>
          <t>D-ARC-01·D-NET-01·D-WBS-01·D-SEC-01 승인과 정본 Evidence를 확인하고 G0 FULL PASS 기록 확보</t>
        </is>
      </c>
      <c r="Q5" s="13" t="inlineStr">
        <is>
          <t>G0 Design Freeze FULL PASS (2026-09-01).</t>
        </is>
      </c>
      <c r="R5" s="13" t="inlineStr">
        <is>
          <t>https://github.com/321Team/fds-project-baseline/issues/8</t>
        </is>
      </c>
      <c r="S5" s="13">
        <f>IF(G5="Done","Done",IF(I5="","End TBD",IF(I5&lt;'Executive Summary'!$B$4,"Overdue",IF(H5&gt;'Executive Summary'!$B$4,"Upcoming","Active window"))))</f>
        <v/>
      </c>
    </row>
    <row r="6" ht="44" customHeight="1">
      <c r="A6" s="13" t="inlineStr">
        <is>
          <t>P1-LB-01</t>
        </is>
      </c>
      <c r="B6" s="13" t="inlineStr">
        <is>
          <t>Kubernetes API Load Balancer</t>
        </is>
      </c>
      <c r="C6" s="13" t="inlineStr">
        <is>
          <t>Phase 1</t>
        </is>
      </c>
      <c r="D6" s="13" t="inlineStr">
        <is>
          <t>Infrastructure / Load Balancer</t>
        </is>
      </c>
      <c r="E6" s="13" t="inlineStr">
        <is>
          <t>Task</t>
        </is>
      </c>
      <c r="F6" s="13" t="inlineStr">
        <is>
          <t>P0</t>
        </is>
      </c>
      <c r="G6" s="13" t="inlineStr">
        <is>
          <t>In Progress</t>
        </is>
      </c>
      <c r="H6" s="154" t="n">
        <v>46261</v>
      </c>
      <c r="I6" s="154" t="n">
        <v>46282</v>
      </c>
      <c r="J6" s="156">
        <f>IF(OR(H6="",I6=""),"",I6-H6+1)</f>
        <v/>
      </c>
      <c r="K6" s="156">
        <f>IF(OR(H6="",I6=""),"",NETWORKDAYS(H6,I6,'Sources &amp; Change Log'!$J$2:$J$5)-COUNTIFS('Team Calendar'!$A$5:$A$12,L6,'Team Calendar'!$C$5:$C$12,"&gt;="&amp;H6,'Team Calendar'!$C$5:$C$12,"&lt;="&amp;I6,'Team Calendar'!$F$5:$F$12,"Personal absence"))</f>
        <v/>
      </c>
      <c r="L6" s="13" t="inlineStr">
        <is>
          <t>이권욱</t>
        </is>
      </c>
      <c r="M6" s="13" t="inlineStr">
        <is>
          <t>이하영</t>
        </is>
      </c>
      <c r="N6" s="13" t="inlineStr">
        <is>
          <t>D02; D05; D27; D31; D34; D35</t>
        </is>
      </c>
      <c r="O6" s="13" t="inlineStr">
        <is>
          <t>RISK-02; RISK-03; RISK-04</t>
        </is>
      </c>
      <c r="P6" s="13" t="inlineStr">
        <is>
          <t>IF-11/IF-11A/IF-06A Source Allowlist, `.109:6443→.102~.104:6443` Stage A Listener/Handoff와 Stage B Backend Health/API/Failover Evidence</t>
        </is>
      </c>
      <c r="Q6" s="13" t="inlineStr">
        <is>
          <t>Stage B는 3CP API 기동 후 검증하며 09-17 G1 인수에 연결한다. 실제 상태·완료 판정은 유지한다. 세부 배정: Fast Track Plan 시트.</t>
        </is>
      </c>
      <c r="R6" s="13" t="inlineStr">
        <is>
          <t>https://github.com/321Team/fds-project-baseline/issues/9</t>
        </is>
      </c>
      <c r="S6" s="13">
        <f>IF(G6="Done","Done",IF(I6="",IF(F6="P1","Deferred P1","End TBD"),IF(I6&lt;'Executive Summary'!$B$4,"Overdue",IF(H6&gt;'Executive Summary'!$B$4,"Upcoming","Active window"))))</f>
        <v/>
      </c>
    </row>
    <row r="7" ht="44" customHeight="1">
      <c r="A7" s="13" t="inlineStr">
        <is>
          <t>P1-K8S-01</t>
        </is>
      </c>
      <c r="B7" s="13" t="inlineStr">
        <is>
          <t>kubeadm 3CP + 3Worker / Calico</t>
        </is>
      </c>
      <c r="C7" s="13" t="inlineStr">
        <is>
          <t>Phase 1</t>
        </is>
      </c>
      <c r="D7" s="13" t="inlineStr">
        <is>
          <t>Kubernetes / Platform</t>
        </is>
      </c>
      <c r="E7" s="13" t="inlineStr">
        <is>
          <t>Task</t>
        </is>
      </c>
      <c r="F7" s="13" t="inlineStr">
        <is>
          <t>P0</t>
        </is>
      </c>
      <c r="G7" s="13" t="inlineStr">
        <is>
          <t>In Progress</t>
        </is>
      </c>
      <c r="H7" s="154" t="n">
        <v>46261</v>
      </c>
      <c r="I7" s="154" t="n">
        <v>46282</v>
      </c>
      <c r="J7" s="156">
        <f>IF(OR(H7="",I7=""),"",I7-H7+1)</f>
        <v/>
      </c>
      <c r="K7" s="156">
        <f>IF(OR(H7="",I7=""),"",NETWORKDAYS(H7,I7,'Sources &amp; Change Log'!$J$2:$J$5)-COUNTIFS('Team Calendar'!$A$5:$A$12,L7,'Team Calendar'!$C$5:$C$12,"&gt;="&amp;H7,'Team Calendar'!$C$5:$C$12,"&lt;="&amp;I7,'Team Calendar'!$F$5:$F$12,"Personal absence"))</f>
        <v/>
      </c>
      <c r="L7" s="13" t="inlineStr">
        <is>
          <t>이하영</t>
        </is>
      </c>
      <c r="M7" s="13" t="inlineStr">
        <is>
          <t>이권욱</t>
        </is>
      </c>
      <c r="N7" s="13" t="inlineStr">
        <is>
          <t>D01; D02; D05; D27; D31; D34; D35</t>
        </is>
      </c>
      <c r="O7" s="13" t="inlineStr">
        <is>
          <t>RISK-02; RISK-03; RISK-04; RISK-07; RISK-14</t>
        </is>
      </c>
      <c r="P7" s="13" t="inlineStr">
        <is>
          <t>LB Stage A 확인, 6개 Node의 보호 공백 없는 firewalld→named HEP/GNP 전환, containerd/kubelet·SELinux·identity·Port Matrix, BGP Disabled+VXLANCrossSubnet Calico, 6/6 Ready, CoreDNS, static local PV Evidence</t>
        </is>
      </c>
      <c r="Q7" s="13" t="inlineStr">
        <is>
          <t>09-11 CP1, 09-14 CP2/3·Worker, 09-15 NTP·Calico, 09-17 증적 인수를 조건부 목표로 둔다. 실제 상태·완료 판정은 유지한다. 세부 배정: Fast Track Plan 시트.</t>
        </is>
      </c>
      <c r="R7" s="13" t="inlineStr">
        <is>
          <t>https://github.com/321Team/fds-project-baseline/issues/10</t>
        </is>
      </c>
      <c r="S7" s="13">
        <f>IF(G7="Done","Done",IF(I7="",IF(F7="P1","Deferred P1","End TBD"),IF(I7&lt;'Executive Summary'!$B$4,"Overdue",IF(H7&gt;'Executive Summary'!$B$4,"Upcoming","Active window"))))</f>
        <v/>
      </c>
    </row>
    <row r="8" ht="44" customHeight="1">
      <c r="A8" s="13" t="inlineStr">
        <is>
          <t>P1-DB-01</t>
        </is>
      </c>
      <c r="B8" s="13" t="inlineStr">
        <is>
          <t>PostgreSQL External VM</t>
        </is>
      </c>
      <c r="C8" s="13" t="inlineStr">
        <is>
          <t>Phase 1</t>
        </is>
      </c>
      <c r="D8" s="13" t="inlineStr">
        <is>
          <t>Data / Database</t>
        </is>
      </c>
      <c r="E8" s="13" t="inlineStr">
        <is>
          <t>Task</t>
        </is>
      </c>
      <c r="F8" s="13" t="inlineStr">
        <is>
          <t>P0</t>
        </is>
      </c>
      <c r="G8" s="13" t="inlineStr">
        <is>
          <t>In Progress</t>
        </is>
      </c>
      <c r="H8" s="154" t="n">
        <v>46262</v>
      </c>
      <c r="I8" s="154" t="n">
        <v>46282</v>
      </c>
      <c r="J8" s="156">
        <f>IF(OR(H8="",I8=""),"",I8-H8+1)</f>
        <v/>
      </c>
      <c r="K8" s="156">
        <f>IF(OR(H8="",I8=""),"",NETWORKDAYS(H8,I8,'Sources &amp; Change Log'!$J$2:$J$5)-COUNTIFS('Team Calendar'!$A$5:$A$12,L8,'Team Calendar'!$C$5:$C$12,"&gt;="&amp;H8,'Team Calendar'!$C$5:$C$12,"&lt;="&amp;I8,'Team Calendar'!$F$5:$F$12,"Personal absence"))</f>
        <v/>
      </c>
      <c r="L8" s="13" t="inlineStr">
        <is>
          <t>이재환</t>
        </is>
      </c>
      <c r="M8" s="13" t="inlineStr">
        <is>
          <t>이권욱</t>
        </is>
      </c>
      <c r="N8" s="13" t="inlineStr">
        <is>
          <t>D04; D05</t>
        </is>
      </c>
      <c r="O8" s="13" t="inlineStr">
        <is>
          <t>RISK-04; RISK-07; RISK-09</t>
        </is>
      </c>
      <c r="P8" s="13" t="inlineStr">
        <is>
          <t>db01 10.1.93.55:5432 구축, Schema/Migration 적용, transaction-api 승인 Source 접속·저장·조회 및 접근차단 Evidence 확보</t>
        </is>
      </c>
      <c r="Q8" s="13" t="inlineStr">
        <is>
          <t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</t>
        </is>
      </c>
      <c r="R8" s="13" t="inlineStr">
        <is>
          <t>https://github.com/321Team/fds-project-baseline/issues/11</t>
        </is>
      </c>
      <c r="S8" s="13">
        <f>IF(G8="Done","Done",IF(I8="",IF(F8="P1","Deferred P1","End TBD"),IF(I8&lt;'Executive Summary'!$B$4,"Overdue",IF(H8&gt;'Executive Summary'!$B$4,"Upcoming","Active window"))))</f>
        <v/>
      </c>
    </row>
    <row r="9" ht="44" customHeight="1">
      <c r="A9" s="13" t="inlineStr">
        <is>
          <t>P1-DNS-01</t>
        </is>
      </c>
      <c r="B9" s="13" t="inlineStr">
        <is>
          <t>Internal DNS Primary/Secondary</t>
        </is>
      </c>
      <c r="C9" s="13" t="inlineStr">
        <is>
          <t>Phase 1</t>
        </is>
      </c>
      <c r="D9" s="13" t="inlineStr">
        <is>
          <t>DNS / Supporting Service</t>
        </is>
      </c>
      <c r="E9" s="13" t="inlineStr">
        <is>
          <t>Task</t>
        </is>
      </c>
      <c r="F9" s="13" t="inlineStr">
        <is>
          <t>P1</t>
        </is>
      </c>
      <c r="G9" s="13" t="inlineStr">
        <is>
          <t>Done</t>
        </is>
      </c>
      <c r="H9" s="154" t="n">
        <v>46262</v>
      </c>
      <c r="I9" s="154" t="n">
        <v>46268</v>
      </c>
      <c r="J9" s="156">
        <f>IF(OR(H9="",I9=""),"",I9-H9+1)</f>
        <v/>
      </c>
      <c r="K9" s="156">
        <f>IF(OR(H9="",I9=""),"",NETWORKDAYS(H9,I9,'Sources &amp; Change Log'!$J$2:$J$5)-COUNTIFS('Team Calendar'!$A$5:$A$12,L9,'Team Calendar'!$C$5:$C$12,"&gt;="&amp;H9,'Team Calendar'!$C$5:$C$12,"&lt;="&amp;I9,'Team Calendar'!$F$5:$F$12,"Personal absence"))</f>
        <v/>
      </c>
      <c r="L9" s="13" t="inlineStr">
        <is>
          <t>이권욱</t>
        </is>
      </c>
      <c r="M9" s="13" t="inlineStr">
        <is>
          <t>이하영</t>
        </is>
      </c>
      <c r="N9" s="13" t="inlineStr">
        <is>
          <t>D08; D09; D34; D35</t>
        </is>
      </c>
      <c r="O9" s="13" t="inlineStr">
        <is>
          <t>RISK-02; RISK-04; RISK-07</t>
        </is>
      </c>
      <c r="P9" s="13" t="inlineStr">
        <is>
          <t>Primary/Secondary·TSIG·제한 Query/Recursion·Failover Evidence와 k8s-api-lb01 `.109` Resolver/ACL/IPSet 검증 및 Support Review 승인</t>
        </is>
      </c>
      <c r="Q9" s="13" t="inlineStr">
        <is>
          <t>기술 검증·Support Review·.109 ACL/Resolver/Failover Delta 확인 완료. 2026-09-03 Done 승인.</t>
        </is>
      </c>
      <c r="R9" s="13" t="inlineStr">
        <is>
          <t>https://github.com/321Team/fds-project-baseline/issues/12</t>
        </is>
      </c>
      <c r="S9" s="13">
        <f>IF(G9="Done","Done",IF(I9="","End TBD",IF(I9&lt;'Executive Summary'!$B$4,"Overdue",IF(H9&gt;'Executive Summary'!$B$4,"Upcoming","Active window"))))</f>
        <v/>
      </c>
    </row>
    <row r="10" ht="44" customHeight="1">
      <c r="A10" s="13" t="inlineStr">
        <is>
          <t>P1-HBR-01</t>
        </is>
      </c>
      <c r="B10" s="13" t="inlineStr">
        <is>
          <t>Harbor / Trivy Registry</t>
        </is>
      </c>
      <c r="C10" s="13" t="inlineStr">
        <is>
          <t>Phase 1</t>
        </is>
      </c>
      <c r="D10" s="13" t="inlineStr">
        <is>
          <t>Registry / Supply Chain</t>
        </is>
      </c>
      <c r="E10" s="13" t="inlineStr">
        <is>
          <t>Task</t>
        </is>
      </c>
      <c r="F10" s="13" t="inlineStr">
        <is>
          <t>P0</t>
        </is>
      </c>
      <c r="G10" s="13" t="inlineStr">
        <is>
          <t>In Progress</t>
        </is>
      </c>
      <c r="H10" s="154" t="n">
        <v>46265</v>
      </c>
      <c r="I10" s="154" t="n">
        <v>46282</v>
      </c>
      <c r="J10" s="156">
        <f>IF(OR(H10="",I10=""),"",I10-H10+1)</f>
        <v/>
      </c>
      <c r="K10" s="156">
        <f>IF(OR(H10="",I10=""),"",NETWORKDAYS(H10,I10,'Sources &amp; Change Log'!$J$2:$J$5)-COUNTIFS('Team Calendar'!$A$5:$A$12,L10,'Team Calendar'!$C$5:$C$12,"&gt;="&amp;H10,'Team Calendar'!$C$5:$C$12,"&lt;="&amp;I10,'Team Calendar'!$F$5:$F$12,"Personal absence"))</f>
        <v/>
      </c>
      <c r="L10" s="13" t="inlineStr">
        <is>
          <t>이하영</t>
        </is>
      </c>
      <c r="M10" s="13" t="inlineStr">
        <is>
          <t>이권욱</t>
        </is>
      </c>
      <c r="N10" s="13" t="inlineStr">
        <is>
          <t>D04; D17; D19; D35</t>
        </is>
      </c>
      <c r="O10" s="13" t="inlineStr">
        <is>
          <t>RISK-04; RISK-06; RISK-07</t>
        </is>
      </c>
      <c r="P10" s="13" t="inlineStr">
        <is>
          <t>harbor01 `.54:443`, Private CA Trust, 최소권한 Robot Account, IF-09 Runner Push·IF-10 Worker Pull/Pod Start, 비승인 Push/Pull DENY, Trivy/Digest/Evidence PASS</t>
        </is>
      </c>
      <c r="Q10" s="13" t="inlineStr">
        <is>
          <t>Harbor 준비는 CP 후속과 병행하고 09-16 CI Scan Digest까지 4/4 대조 후 09-17 인수 목표다. 실제 상태·완료 판정은 유지한다. 세부 배정: Fast Track Plan 시트.</t>
        </is>
      </c>
      <c r="R10" s="13" t="inlineStr">
        <is>
          <t>https://github.com/321Team/fds-project-baseline/issues/13</t>
        </is>
      </c>
      <c r="S10" s="13">
        <f>IF(G10="Done","Done",IF(I10="",IF(F10="P1","Deferred P1","End TBD"),IF(I10&lt;'Executive Summary'!$B$4,"Overdue",IF(H10&gt;'Executive Summary'!$B$4,"Upcoming","Active window"))))</f>
        <v/>
      </c>
    </row>
    <row r="11" ht="44" customHeight="1">
      <c r="A11" s="13" t="inlineStr">
        <is>
          <t>ICR-D-NET-01-01</t>
        </is>
      </c>
      <c r="B11" s="13" t="inlineStr">
        <is>
          <t>Kubernetes Node Host Firewall / Monitoring Route</t>
        </is>
      </c>
      <c r="C11" s="13" t="inlineStr">
        <is>
          <t>Phase 1</t>
        </is>
      </c>
      <c r="D11" s="13" t="inlineStr">
        <is>
          <t>Network / Interface Change Control</t>
        </is>
      </c>
      <c r="E11" s="13" t="inlineStr">
        <is>
          <t>Change Request</t>
        </is>
      </c>
      <c r="F11" s="13" t="inlineStr">
        <is>
          <t>P0</t>
        </is>
      </c>
      <c r="G11" s="13" t="inlineStr">
        <is>
          <t>In Progress</t>
        </is>
      </c>
      <c r="H11" s="154" t="n">
        <v>46266</v>
      </c>
      <c r="I11" s="154" t="n">
        <v>46286</v>
      </c>
      <c r="J11" s="156">
        <f>IF(OR(H11="",I11=""),"",I11-H11+1)</f>
        <v/>
      </c>
      <c r="K11" s="156">
        <f>IF(OR(H11="",I11=""),"",NETWORKDAYS(H11,I11,'Sources &amp; Change Log'!$J$2:$J$5)-COUNTIFS('Team Calendar'!$A$5:$A$12,L11,'Team Calendar'!$C$5:$C$12,"&gt;="&amp;H11,'Team Calendar'!$C$5:$C$12,"&lt;="&amp;I11,'Team Calendar'!$F$5:$F$12,"Personal absence"))</f>
        <v/>
      </c>
      <c r="L11" s="13" t="inlineStr">
        <is>
          <t>이권욱</t>
        </is>
      </c>
      <c r="M11" s="13" t="inlineStr">
        <is>
          <t>이하영, 이재환</t>
        </is>
      </c>
      <c r="N11" s="13" t="inlineStr">
        <is>
          <t>D17; D18; D33; D34; D35</t>
        </is>
      </c>
      <c r="O11" s="13" t="inlineStr">
        <is>
          <t>RISK-04; RISK-07</t>
        </is>
      </c>
      <c r="P11" s="13" t="inlineStr">
        <is>
          <t>Kubernetes 6개 Node의 보호 공백 없는 firewalld→Calico named HEP/GNP 전환, 30080/9100/10250 최소 허용, 관리망 반환 경로와 IF-06B 정합화, Positive/Negative/Regression/Reboot/Rollback 및 무결성 Evidence 완료</t>
        </is>
      </c>
      <c r="Q11" s="13" t="inlineStr">
        <is>
          <t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t>
        </is>
      </c>
      <c r="R11" s="13" t="inlineStr">
        <is>
          <t>https://github.com/321Team/fds-project-baseline/issues/14</t>
        </is>
      </c>
      <c r="S11" s="13">
        <f>IF(G11="Done","Done",IF(I11="",IF(F11="P1","Deferred P1","End TBD"),IF(I11&lt;'Executive Summary'!$B$4,"Overdue",IF(H11&gt;'Executive Summary'!$B$4,"Upcoming","Active window"))))</f>
        <v/>
      </c>
    </row>
    <row r="12" ht="58" customHeight="1">
      <c r="A12" s="13" t="inlineStr">
        <is>
          <t>CR-P1-ANS-01-01</t>
        </is>
      </c>
      <c r="B12" s="13" t="inlineStr">
        <is>
          <t>Ansible Kubernetes Node DNS Resolver 변경</t>
        </is>
      </c>
      <c r="C12" s="13" t="inlineStr">
        <is>
          <t>Phase 1</t>
        </is>
      </c>
      <c r="D12" s="13" t="inlineStr">
        <is>
          <t>Automation / DNS Client</t>
        </is>
      </c>
      <c r="E12" s="13" t="inlineStr">
        <is>
          <t>Change Request</t>
        </is>
      </c>
      <c r="F12" s="13" t="inlineStr">
        <is>
          <t>P1</t>
        </is>
      </c>
      <c r="G12" s="13" t="inlineStr">
        <is>
          <t>Done</t>
        </is>
      </c>
      <c r="H12" s="154" t="n">
        <v>46269</v>
      </c>
      <c r="I12" s="154" t="n">
        <v>46272</v>
      </c>
      <c r="J12" s="156">
        <f>IF(OR(H12="",I12=""),"",I12-H12+1)</f>
        <v/>
      </c>
      <c r="K12" s="156">
        <f>IF(OR(H12="",I12=""),"",NETWORKDAYS(H12,I12,'Sources &amp; Change Log'!$J$2:$J$5)-COUNTIFS('Team Calendar'!$A$5:$A$12,L12,'Team Calendar'!$C$5:$C$12,"&gt;="&amp;H12,'Team Calendar'!$C$5:$C$12,"&lt;="&amp;I12,'Team Calendar'!$F$5:$F$12,"Personal absence"))</f>
        <v/>
      </c>
      <c r="L12" s="13" t="inlineStr">
        <is>
          <t>이권욱</t>
        </is>
      </c>
      <c r="M12" s="13" t="inlineStr">
        <is>
          <t>이하영</t>
        </is>
      </c>
      <c r="N12" s="13" t="inlineStr">
        <is>
          <t>D08; D09; D34; D35</t>
        </is>
      </c>
      <c r="O12" s="13" t="inlineStr">
        <is>
          <t>RISK-02; RISK-04; RISK-07</t>
        </is>
      </c>
      <c r="P12" s="13" t="inlineStr">
        <is>
          <t>Kubernetes 6개 Node의 DNS 전환, 검색 도메인·API FQDN/Short Name·외부 DNS·직접 질의·서비스 회귀·멱등성·Rollback·Evidence 무결성 및 Support Review 완료</t>
        </is>
      </c>
      <c r="Q12" s="13" t="inlineStr">
        <is>
          <t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t>
        </is>
      </c>
      <c r="R12" s="13" t="inlineStr">
        <is>
          <t>https://github.com/321Team/fds-project-baseline/issues/58</t>
        </is>
      </c>
      <c r="S12" s="13">
        <f>IF(G12="Done","Done",IF(I12="","End TBD",IF(I12&lt;'Executive Summary'!$B$4,"Overdue",IF(H12&gt;'Executive Summary'!$B$4,"Upcoming","Active window"))))</f>
        <v/>
      </c>
    </row>
    <row r="13" ht="44" customHeight="1">
      <c r="A13" s="13" t="inlineStr">
        <is>
          <t>P1-APP-01</t>
        </is>
      </c>
      <c r="B13" s="13" t="inlineStr">
        <is>
          <t>transaction-api / fds-engine</t>
        </is>
      </c>
      <c r="C13" s="13" t="inlineStr">
        <is>
          <t>Phase 1</t>
        </is>
      </c>
      <c r="D13" s="13" t="inlineStr">
        <is>
          <t>Application / MSA</t>
        </is>
      </c>
      <c r="E13" s="13" t="inlineStr">
        <is>
          <t>Task</t>
        </is>
      </c>
      <c r="F13" s="13" t="inlineStr">
        <is>
          <t>P0</t>
        </is>
      </c>
      <c r="G13" s="13" t="inlineStr">
        <is>
          <t>In Progress</t>
        </is>
      </c>
      <c r="H13" s="154" t="n">
        <v>46266</v>
      </c>
      <c r="I13" s="154" t="n">
        <v>46283</v>
      </c>
      <c r="J13" s="156">
        <f>IF(OR(H13="",I13=""),"",I13-H13+1)</f>
        <v/>
      </c>
      <c r="K13" s="156">
        <f>IF(OR(H13="",I13=""),"",NETWORKDAYS(H13,I13,'Sources &amp; Change Log'!$J$2:$J$5)-COUNTIFS('Team Calendar'!$A$5:$A$12,L13,'Team Calendar'!$C$5:$C$12,"&gt;="&amp;H13,'Team Calendar'!$C$5:$C$12,"&lt;="&amp;I13,'Team Calendar'!$F$5:$F$12,"Personal absence"))</f>
        <v/>
      </c>
      <c r="L13" s="13" t="inlineStr">
        <is>
          <t>이재환</t>
        </is>
      </c>
      <c r="M13" s="13" t="inlineStr">
        <is>
          <t>이하영</t>
        </is>
      </c>
      <c r="N13" s="13" t="inlineStr">
        <is>
          <t>D03; D04; D18; D27; D31; D34</t>
        </is>
      </c>
      <c r="O13" s="13" t="inlineStr">
        <is>
          <t>RISK-07; RISK-09</t>
        </is>
      </c>
      <c r="P13" s="13" t="inlineStr">
        <is>
          <t>2개 Deployment/Service, 업무 8000/8001·metrics 9091/9090, `/livez`·`/readyz`, DB/FDS 장애정책, Resource, local endpoint topology, Contract/E2E Evidence</t>
        </is>
      </c>
      <c r="Q13" s="13" t="inlineStr">
        <is>
          <t>09-11 인계 및 사전 검증, 09-18 복귀 후 정본 Runtime 통합. 휴가 중 미승인 업무 계약·Schema 변경은 중단한다. 실제 상태·완료 판정은 유지한다. 세부 배정: Fast Track Plan 시트.</t>
        </is>
      </c>
      <c r="R13" s="13" t="inlineStr">
        <is>
          <t>https://github.com/321Team/fds-project-baseline/issues/15</t>
        </is>
      </c>
      <c r="S13" s="13">
        <f>IF(G13="Done","Done",IF(I13="",IF(F13="P1","Deferred P1","End TBD"),IF(I13&lt;'Executive Summary'!$B$4,"Overdue",IF(H13&gt;'Executive Summary'!$B$4,"Upcoming","Active window"))))</f>
        <v/>
      </c>
    </row>
    <row r="14" ht="44" customHeight="1">
      <c r="A14" s="13" t="inlineStr">
        <is>
          <t>P1-CICD-01</t>
        </is>
      </c>
      <c r="B14" s="13" t="inlineStr">
        <is>
          <t>GitHub Actions / Self-hosted Runner Delivery</t>
        </is>
      </c>
      <c r="C14" s="13" t="inlineStr">
        <is>
          <t>Phase 1</t>
        </is>
      </c>
      <c r="D14" s="13" t="inlineStr">
        <is>
          <t>CI/CD / Supply Chain</t>
        </is>
      </c>
      <c r="E14" s="13" t="inlineStr">
        <is>
          <t>Task</t>
        </is>
      </c>
      <c r="F14" s="13" t="inlineStr">
        <is>
          <t>P0</t>
        </is>
      </c>
      <c r="G14" s="13" t="inlineStr">
        <is>
          <t>In Progress</t>
        </is>
      </c>
      <c r="H14" s="154" t="n">
        <v>46266</v>
      </c>
      <c r="I14" s="154" t="n">
        <v>46283</v>
      </c>
      <c r="J14" s="156">
        <f>IF(OR(H14="",I14=""),"",I14-H14+1)</f>
        <v/>
      </c>
      <c r="K14" s="156">
        <f>IF(OR(H14="",I14=""),"",NETWORKDAYS(H14,I14,'Sources &amp; Change Log'!$J$2:$J$5)-COUNTIFS('Team Calendar'!$A$5:$A$12,L14,'Team Calendar'!$C$5:$C$12,"&gt;="&amp;H14,'Team Calendar'!$C$5:$C$12,"&lt;="&amp;I14,'Team Calendar'!$F$5:$F$12,"Personal absence"))</f>
        <v/>
      </c>
      <c r="L14" s="13" t="inlineStr">
        <is>
          <t>이권욱</t>
        </is>
      </c>
      <c r="M14" s="13" t="inlineStr">
        <is>
          <t>이하영</t>
        </is>
      </c>
      <c r="N14" s="13" t="inlineStr">
        <is>
          <t>D03; D04; D19; D34; D35</t>
        </is>
      </c>
      <c r="O14" s="13" t="inlineStr">
        <is>
          <t>RISK-06; RISK-08</t>
        </is>
      </c>
      <c r="P14" s="13" t="inlineStr">
        <is>
          <t>GitHub→Runner→Test→Build→Trivy→Harbor→Kubernetes Deploy→Health/E2E 흐름과 실패 시 Deploy 차단 Evidence 확보; 승인 Digest와 이전 Digest 복구 추적</t>
        </is>
      </c>
      <c r="Q14" s="13" t="inlineStr">
        <is>
          <t>Runner/Workflow·Negative Gate 준비를 플랫폼 구축과 병행하고 승인된 플랫폼·Harbor가 준비된 뒤 배포한다. 실제 상태·완료 판정은 유지한다. 세부 배정: Fast Track Plan 시트.</t>
        </is>
      </c>
      <c r="R14" s="13" t="inlineStr">
        <is>
          <t>https://github.com/321Team/fds-project-baseline/issues/16</t>
        </is>
      </c>
      <c r="S14" s="13">
        <f>IF(G14="Done","Done",IF(I14="",IF(F14="P1","Deferred P1","End TBD"),IF(I14&lt;'Executive Summary'!$B$4,"Overdue",IF(H14&gt;'Executive Summary'!$B$4,"Upcoming","Active window"))))</f>
        <v/>
      </c>
    </row>
    <row r="15" ht="44" customHeight="1">
      <c r="A15" s="13" t="inlineStr">
        <is>
          <t>P1-MON-01</t>
        </is>
      </c>
      <c r="B15" s="13" t="inlineStr">
        <is>
          <t>Kubernetes-Integrated Hybrid Monitoring 구축 및 검증</t>
        </is>
      </c>
      <c r="C15" s="13" t="inlineStr">
        <is>
          <t>Phase 1</t>
        </is>
      </c>
      <c r="D15" s="13" t="inlineStr">
        <is>
          <t>Monitoring / Observability</t>
        </is>
      </c>
      <c r="E15" s="13" t="inlineStr">
        <is>
          <t>Task</t>
        </is>
      </c>
      <c r="F15" s="13" t="inlineStr">
        <is>
          <t>P0</t>
        </is>
      </c>
      <c r="G15" s="13" t="inlineStr">
        <is>
          <t>In Progress</t>
        </is>
      </c>
      <c r="H15" s="154" t="n">
        <v>46272</v>
      </c>
      <c r="I15" s="154" t="n">
        <v>46283</v>
      </c>
      <c r="J15" s="156">
        <f>IF(OR(H15="",I15=""),"",I15-H15+1)</f>
        <v/>
      </c>
      <c r="K15" s="156">
        <f>IF(OR(H15="",I15=""),"",NETWORKDAYS(H15,I15,'Sources &amp; Change Log'!$J$2:$J$5)-COUNTIFS('Team Calendar'!$A$5:$A$12,L15,'Team Calendar'!$C$5:$C$12,"&gt;="&amp;H15,'Team Calendar'!$C$5:$C$12,"&lt;="&amp;I15,'Team Calendar'!$F$5:$F$12,"Personal absence"))</f>
        <v/>
      </c>
      <c r="L15" s="13" t="inlineStr">
        <is>
          <t>이재환</t>
        </is>
      </c>
      <c r="M15" s="13" t="inlineStr">
        <is>
          <t>이권욱</t>
        </is>
      </c>
      <c r="N15" s="13" t="inlineStr">
        <is>
          <t>D05; D14; D17; D19; D33; D34</t>
        </is>
      </c>
      <c r="O15" s="13" t="inlineStr">
        <is>
          <t>RISK-04; RISK-07</t>
        </is>
      </c>
      <c r="P15" s="13" t="inlineStr">
        <is>
          <t>Hybrid Monitoring의 Runtime Acceptance 14개와 필수 보조통제 2개, 구축·복구·Rollback Runbook 및 Support Review 증적 확보</t>
        </is>
      </c>
      <c r="Q15" s="13" t="inlineStr">
        <is>
          <t>09-11 Monitoring 인계, 부재 중 기존 Support의 준비·구현, 09-18 복귀 후 14개 AC+2개 보조통제 검증을 목표로 한다. 실제 상태·완료 판정은 유지한다. 세부 배정: Fast Track Plan 시트.</t>
        </is>
      </c>
      <c r="R15" s="13" t="inlineStr">
        <is>
          <t>https://github.com/321Team/fds-project-baseline/issues/17</t>
        </is>
      </c>
      <c r="S15" s="13">
        <f>IF(G15="Done","Done",IF(I15="",IF(F15="P1","Deferred P1","End TBD"),IF(I15&lt;'Executive Summary'!$B$4,"Overdue",IF(H15&gt;'Executive Summary'!$B$4,"Upcoming","Active window"))))</f>
        <v/>
      </c>
    </row>
    <row r="16" ht="44" customHeight="1">
      <c r="A16" s="13" t="inlineStr">
        <is>
          <t>MS-G1-01</t>
        </is>
      </c>
      <c r="B16" s="13" t="inlineStr">
        <is>
          <t>G1 Infrastructure Ready</t>
        </is>
      </c>
      <c r="C16" s="13" t="inlineStr">
        <is>
          <t>Phase 1</t>
        </is>
      </c>
      <c r="D16" s="13" t="inlineStr">
        <is>
          <t>Milestone / Infrastructure</t>
        </is>
      </c>
      <c r="E16" s="13" t="inlineStr">
        <is>
          <t>Milestone</t>
        </is>
      </c>
      <c r="F16" s="13" t="inlineStr">
        <is>
          <t>P0</t>
        </is>
      </c>
      <c r="G16" s="13" t="inlineStr">
        <is>
          <t>To Do</t>
        </is>
      </c>
      <c r="H16" s="154" t="n">
        <v>46282</v>
      </c>
      <c r="I16" s="154" t="n">
        <v>46282</v>
      </c>
      <c r="J16" s="156">
        <f>IF(OR(H16="",I16=""),"",I16-H16+1)</f>
        <v/>
      </c>
      <c r="K16" s="156">
        <f>IF(OR(H16="",I16=""),"",NETWORKDAYS(H16,I16,'Sources &amp; Change Log'!$J$2:$J$5)-COUNTIFS('Team Calendar'!$A$5:$A$12,L16,'Team Calendar'!$C$5:$C$12,"&gt;="&amp;H16,'Team Calendar'!$C$5:$C$12,"&lt;="&amp;I16,'Team Calendar'!$F$5:$F$12,"Personal absence"))</f>
        <v/>
      </c>
      <c r="L16" s="13" t="inlineStr">
        <is>
          <t>이권욱</t>
        </is>
      </c>
      <c r="M16" s="13" t="inlineStr">
        <is>
          <t>이하영, 이재환</t>
        </is>
      </c>
      <c r="N16" s="13" t="inlineStr">
        <is>
          <t>D19; D25; D27</t>
        </is>
      </c>
      <c r="O16" s="13" t="inlineStr">
        <is>
          <t>RISK-02; RISK-03; RISK-04; RISK-06; RISK-07; RISK-08</t>
        </is>
      </c>
      <c r="P16" s="13" t="inlineStr">
        <is>
          <t>CentOS/containerd, Ansible Inventory/SSH/멱등성, 3CP+3Worker, API LB/Calico, Harbor/Runner/PostgreSQL, Node Connectivity와 Push/Pull 준비도 승인</t>
        </is>
      </c>
      <c r="Q16" s="13" t="inlineStr">
        <is>
          <t>09-17 오후 조건부 인수 목표. 6대·API/LB·Calico·DB·Harbor·Runner 증적 미충족이면 PASS 불가. 실제 상태·완료 판정은 유지한다. 세부 배정: Fast Track Plan 시트.</t>
        </is>
      </c>
      <c r="R16" s="13" t="inlineStr">
        <is>
          <t>https://github.com/321Team/fds-project-baseline/issues/18</t>
        </is>
      </c>
      <c r="S16" s="13">
        <f>IF(G16="Done","Done",IF(I16="",IF(F16="P1","Deferred P1","End TBD"),IF(I16&lt;'Executive Summary'!$B$4,"Overdue",IF(H16&gt;'Executive Summary'!$B$4,"Upcoming","Active window"))))</f>
        <v/>
      </c>
    </row>
    <row r="17" ht="44" customHeight="1">
      <c r="A17" s="13" t="inlineStr">
        <is>
          <t>P1-SEC-01</t>
        </is>
      </c>
      <c r="B17" s="13" t="inlineStr">
        <is>
          <t>Kubernetes Security Controls</t>
        </is>
      </c>
      <c r="C17" s="13" t="inlineStr">
        <is>
          <t>Phase 1</t>
        </is>
      </c>
      <c r="D17" s="13" t="inlineStr">
        <is>
          <t>Security / Kubernetes</t>
        </is>
      </c>
      <c r="E17" s="13" t="inlineStr">
        <is>
          <t>Task</t>
        </is>
      </c>
      <c r="F17" s="13" t="inlineStr">
        <is>
          <t>P0</t>
        </is>
      </c>
      <c r="G17" s="13" t="inlineStr">
        <is>
          <t>In Progress</t>
        </is>
      </c>
      <c r="H17" s="154" t="n">
        <v>46269</v>
      </c>
      <c r="I17" s="154" t="n">
        <v>46286</v>
      </c>
      <c r="J17" s="156">
        <f>IF(OR(H17="",I17=""),"",I17-H17+1)</f>
        <v/>
      </c>
      <c r="K17" s="156">
        <f>IF(OR(H17="",I17=""),"",NETWORKDAYS(H17,I17,'Sources &amp; Change Log'!$J$2:$J$5)-COUNTIFS('Team Calendar'!$A$5:$A$12,L17,'Team Calendar'!$C$5:$C$12,"&gt;="&amp;H17,'Team Calendar'!$C$5:$C$12,"&lt;="&amp;I17,'Team Calendar'!$F$5:$F$12,"Personal absence"))</f>
        <v/>
      </c>
      <c r="L17" s="13" t="inlineStr">
        <is>
          <t>이하영</t>
        </is>
      </c>
      <c r="M17" s="13" t="inlineStr">
        <is>
          <t>이권욱, 이재환</t>
        </is>
      </c>
      <c r="N17" s="13" t="inlineStr">
        <is>
          <t>D12; D17; D18; D19; D27; D31; D34</t>
        </is>
      </c>
      <c r="O17" s="13" t="inlineStr">
        <is>
          <t>RISK-06; RISK-07; RISK-08</t>
        </is>
      </c>
      <c r="P17" s="13" t="inlineStr">
        <is>
          <t>PSA/SecurityContext/Default Deny/RBAC/HEP-GNP/Secretbox/LimitRange/Probe와 `.50/32→30080` 포함 Positive·Negative·Rollback Evidence PASS</t>
        </is>
      </c>
      <c r="Q17" s="13" t="inlineStr">
        <is>
          <t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</t>
        </is>
      </c>
      <c r="R17" s="13" t="inlineStr">
        <is>
          <t>https://github.com/321Team/fds-project-baseline/issues/19</t>
        </is>
      </c>
      <c r="S17" s="13">
        <f>IF(G17="Done","Done",IF(I17="",IF(F17="P1","Deferred P1","End TBD"),IF(I17&lt;'Executive Summary'!$B$4,"Overdue",IF(H17&gt;'Executive Summary'!$B$4,"Upcoming","Active window"))))</f>
        <v/>
      </c>
    </row>
    <row r="18" ht="44" customHeight="1">
      <c r="A18" s="13" t="inlineStr">
        <is>
          <t>P1-E2E-01</t>
        </is>
      </c>
      <c r="B18" s="13" t="inlineStr">
        <is>
          <t>Initial / Final E2E &amp; Regression</t>
        </is>
      </c>
      <c r="C18" s="13" t="inlineStr">
        <is>
          <t>Phase 1</t>
        </is>
      </c>
      <c r="D18" s="13" t="inlineStr">
        <is>
          <t>QA / Integration Test</t>
        </is>
      </c>
      <c r="E18" s="13" t="inlineStr">
        <is>
          <t>Task</t>
        </is>
      </c>
      <c r="F18" s="13" t="inlineStr">
        <is>
          <t>P0</t>
        </is>
      </c>
      <c r="G18" s="13" t="inlineStr">
        <is>
          <t>To Do</t>
        </is>
      </c>
      <c r="H18" s="154" t="n">
        <v>46276</v>
      </c>
      <c r="I18" s="154" t="n">
        <v>46287</v>
      </c>
      <c r="J18" s="156">
        <f>IF(OR(H18="",I18=""),"",I18-H18+1)</f>
        <v/>
      </c>
      <c r="K18" s="156">
        <f>IF(OR(H18="",I18=""),"",NETWORKDAYS(H18,I18,'Sources &amp; Change Log'!$J$2:$J$5)-COUNTIFS('Team Calendar'!$A$5:$A$12,L18,'Team Calendar'!$C$5:$C$12,"&gt;="&amp;H18,'Team Calendar'!$C$5:$C$12,"&lt;="&amp;I18,'Team Calendar'!$F$5:$F$12,"Personal absence"))</f>
        <v/>
      </c>
      <c r="L18" s="13" t="inlineStr">
        <is>
          <t>이재환</t>
        </is>
      </c>
      <c r="M18" s="13" t="inlineStr">
        <is>
          <t>이권욱, 이하영</t>
        </is>
      </c>
      <c r="N18" s="13" t="inlineStr">
        <is>
          <t>D03; D05; D17; D18</t>
        </is>
      </c>
      <c r="O18" s="13" t="inlineStr">
        <is>
          <t>RISK-05; RISK-07; RISK-09</t>
        </is>
      </c>
      <c r="P18" s="13" t="inlineStr">
        <is>
          <t>Client→edge→transaction-api→fds-engine→PostgreSQL→Prometheus E2E, Rule·Negative·Regression PASS, Critical Issue 0 및 Evidence 승인</t>
        </is>
      </c>
      <c r="Q18" s="13" t="inlineStr">
        <is>
          <t>09-11은 케이스·명령·판정 기준 준비일, Runtime은 09-18 이후, 최종 회귀는 09-22 오전이다. 실제 상태·완료 판정은 유지한다. 세부 배정: Fast Track Plan 시트.</t>
        </is>
      </c>
      <c r="R18" s="13" t="inlineStr">
        <is>
          <t>https://github.com/321Team/fds-project-baseline/issues/20</t>
        </is>
      </c>
      <c r="S18" s="13">
        <f>IF(G18="Done","Done",IF(I18="",IF(F18="P1","Deferred P1","End TBD"),IF(I18&lt;'Executive Summary'!$B$4,"Overdue",IF(H18&gt;'Executive Summary'!$B$4,"Upcoming","Active window"))))</f>
        <v/>
      </c>
    </row>
    <row r="19" ht="44" customHeight="1">
      <c r="A19" s="13" t="inlineStr">
        <is>
          <t>P1-DR-01</t>
        </is>
      </c>
      <c r="B19" s="13" t="inlineStr">
        <is>
          <t>PostgreSQL Backup / Restore</t>
        </is>
      </c>
      <c r="C19" s="13" t="inlineStr">
        <is>
          <t>Phase 1</t>
        </is>
      </c>
      <c r="D19" s="13" t="inlineStr">
        <is>
          <t>DR / Data Recovery</t>
        </is>
      </c>
      <c r="E19" s="13" t="inlineStr">
        <is>
          <t>Task</t>
        </is>
      </c>
      <c r="F19" s="13" t="inlineStr">
        <is>
          <t>P0</t>
        </is>
      </c>
      <c r="G19" s="13" t="inlineStr">
        <is>
          <t>To Do</t>
        </is>
      </c>
      <c r="H19" s="154" t="n">
        <v>46276</v>
      </c>
      <c r="I19" s="154" t="n">
        <v>46286</v>
      </c>
      <c r="J19" s="156">
        <f>IF(OR(H19="",I19=""),"",I19-H19+1)</f>
        <v/>
      </c>
      <c r="K19" s="156">
        <f>IF(OR(H19="",I19=""),"",NETWORKDAYS(H19,I19,'Sources &amp; Change Log'!$J$2:$J$5)-COUNTIFS('Team Calendar'!$A$5:$A$12,L19,'Team Calendar'!$C$5:$C$12,"&gt;="&amp;H19,'Team Calendar'!$C$5:$C$12,"&lt;="&amp;I19,'Team Calendar'!$F$5:$F$12,"Personal absence"))</f>
        <v/>
      </c>
      <c r="L19" s="13" t="inlineStr">
        <is>
          <t>이재환</t>
        </is>
      </c>
      <c r="M19" s="13" t="inlineStr">
        <is>
          <t>이권욱</t>
        </is>
      </c>
      <c r="N19" s="13" t="inlineStr">
        <is>
          <t>D04</t>
        </is>
      </c>
      <c r="O19" s="13" t="inlineStr">
        <is>
          <t>RISK-05; RISK-09</t>
        </is>
      </c>
      <c r="P19" s="13" t="inlineStr">
        <is>
          <t>pg_dump Backup, 승인된 초기화/격리 환경 Restore, Row/Rule 결과 정합성 및 Restore 후 Final E2E PASS와 Runbook 확보</t>
        </is>
      </c>
      <c r="Q19" s="13" t="inlineStr">
        <is>
          <t>09-11 복구 절차·격리 대상 준비, 실제 Restore 및 후속 E2E는 09-21 오후 전용 창에서 수행한다. 실제 상태·완료 판정은 유지한다. 세부 배정: Fast Track Plan 시트.</t>
        </is>
      </c>
      <c r="R19" s="13" t="inlineStr">
        <is>
          <t>https://github.com/321Team/fds-project-baseline/issues/21</t>
        </is>
      </c>
      <c r="S19" s="13">
        <f>IF(G19="Done","Done",IF(I19="",IF(F19="P1","Deferred P1","End TBD"),IF(I19&lt;'Executive Summary'!$B$4,"Overdue",IF(H19&gt;'Executive Summary'!$B$4,"Upcoming","Active window"))))</f>
        <v/>
      </c>
    </row>
    <row r="20" ht="44" customHeight="1">
      <c r="A20" s="13" t="inlineStr">
        <is>
          <t>P1-HA-01</t>
        </is>
      </c>
      <c r="B20" s="13" t="inlineStr">
        <is>
          <t>Worker Drain Continuity</t>
        </is>
      </c>
      <c r="C20" s="13" t="inlineStr">
        <is>
          <t>Phase 1</t>
        </is>
      </c>
      <c r="D20" s="13" t="inlineStr">
        <is>
          <t>HA / Resilience</t>
        </is>
      </c>
      <c r="E20" s="13" t="inlineStr">
        <is>
          <t>Task</t>
        </is>
      </c>
      <c r="F20" s="13" t="inlineStr">
        <is>
          <t>P0</t>
        </is>
      </c>
      <c r="G20" s="13" t="inlineStr">
        <is>
          <t>To Do</t>
        </is>
      </c>
      <c r="H20" s="154" t="n">
        <v>46276</v>
      </c>
      <c r="I20" s="154" t="n">
        <v>46286</v>
      </c>
      <c r="J20" s="156">
        <f>IF(OR(H20="",I20=""),"",I20-H20+1)</f>
        <v/>
      </c>
      <c r="K20" s="156">
        <f>IF(OR(H20="",I20=""),"",NETWORKDAYS(H20,I20,'Sources &amp; Change Log'!$J$2:$J$5)-COUNTIFS('Team Calendar'!$A$5:$A$12,L20,'Team Calendar'!$C$5:$C$12,"&gt;="&amp;H20,'Team Calendar'!$C$5:$C$12,"&lt;="&amp;I20,'Team Calendar'!$F$5:$F$12,"Personal absence"))</f>
        <v/>
      </c>
      <c r="L20" s="13" t="inlineStr">
        <is>
          <t>이재환</t>
        </is>
      </c>
      <c r="M20" s="13" t="inlineStr">
        <is>
          <t>이하영</t>
        </is>
      </c>
      <c r="N20" s="13" t="inlineStr">
        <is>
          <t>D02; D03</t>
        </is>
      </c>
      <c r="O20" s="13" t="inlineStr">
        <is>
          <t>RISK-03; RISK-05; RISK-07</t>
        </is>
      </c>
      <c r="P20" s="13" t="inlineStr">
        <is>
          <t>FDS Replica 3개 Worker 분산, Worker Drain 중 승인된 서비스 지속 기준 충족, 복구·Uncordon 및 E2E Evidence 확보</t>
        </is>
      </c>
      <c r="Q20" s="13" t="inlineStr">
        <is>
          <t>09-11 Drain 케이스 준비, 3Worker 및 서비스 분산 확인 후 09-21 오전 전용 창에서 수행한다. 실제 상태·완료 판정은 유지한다. 세부 배정: Fast Track Plan 시트.</t>
        </is>
      </c>
      <c r="R20" s="13" t="inlineStr">
        <is>
          <t>https://github.com/321Team/fds-project-baseline/issues/22</t>
        </is>
      </c>
      <c r="S20" s="13">
        <f>IF(G20="Done","Done",IF(I20="",IF(F20="P1","Deferred P1","End TBD"),IF(I20&lt;'Executive Summary'!$B$4,"Overdue",IF(H20&gt;'Executive Summary'!$B$4,"Upcoming","Active window"))))</f>
        <v/>
      </c>
    </row>
    <row r="21" ht="44" customHeight="1">
      <c r="A21" s="13" t="inlineStr">
        <is>
          <t>MS-G2-01</t>
        </is>
      </c>
      <c r="B21" s="13" t="inlineStr">
        <is>
          <t>G2 Security / Feature Ready</t>
        </is>
      </c>
      <c r="C21" s="13" t="inlineStr">
        <is>
          <t>Phase 1</t>
        </is>
      </c>
      <c r="D21" s="13" t="inlineStr">
        <is>
          <t>Milestone / Security &amp; Feature</t>
        </is>
      </c>
      <c r="E21" s="13" t="inlineStr">
        <is>
          <t>Milestone</t>
        </is>
      </c>
      <c r="F21" s="13" t="inlineStr">
        <is>
          <t>P0</t>
        </is>
      </c>
      <c r="G21" s="13" t="inlineStr">
        <is>
          <t>To Do</t>
        </is>
      </c>
      <c r="H21" s="154" t="n">
        <v>46286</v>
      </c>
      <c r="I21" s="154" t="n">
        <v>46286</v>
      </c>
      <c r="J21" s="156">
        <f>IF(OR(H21="",I21=""),"",I21-H21+1)</f>
        <v/>
      </c>
      <c r="K21" s="156">
        <f>IF(OR(H21="",I21=""),"",NETWORKDAYS(H21,I21,'Sources &amp; Change Log'!$J$2:$J$5)-COUNTIFS('Team Calendar'!$A$5:$A$12,L21,'Team Calendar'!$C$5:$C$12,"&gt;="&amp;H21,'Team Calendar'!$C$5:$C$12,"&lt;="&amp;I21,'Team Calendar'!$F$5:$F$12,"Personal absence"))</f>
        <v/>
      </c>
      <c r="L21" s="13" t="inlineStr">
        <is>
          <t>이하영</t>
        </is>
      </c>
      <c r="M21" s="13" t="inlineStr">
        <is>
          <t>이권욱, 이재환</t>
        </is>
      </c>
      <c r="N21" s="13" t="inlineStr">
        <is>
          <t>D17; D18; D19; D27</t>
        </is>
      </c>
      <c r="O21" s="13" t="inlineStr">
        <is>
          <t>RISK-05; RISK-06; RISK-07; RISK-08; RISK-09</t>
        </is>
      </c>
      <c r="P21" s="13" t="inlineStr">
        <is>
          <t>2-Service MSA, DB 저장, Security P0, CI/CD, Monitoring, Initial E2E/Negative Test/Worker Drain 준비도를 승인</t>
        </is>
      </c>
      <c r="Q21" s="13" t="inlineStr">
        <is>
          <t>09-21 오후 종료 시점 목표. 앱/보안/CI/Monitoring·초기 E2E/Negative/Drain 준비도와 해당 증적이 선행한다. 실제 상태·완료 판정은 유지한다. 세부 배정: Fast Track Plan 시트.</t>
        </is>
      </c>
      <c r="R21" s="13" t="inlineStr">
        <is>
          <t>https://github.com/321Team/fds-project-baseline/issues/23</t>
        </is>
      </c>
      <c r="S21" s="13">
        <f>IF(G21="Done","Done",IF(I21="",IF(F21="P1","Deferred P1","End TBD"),IF(I21&lt;'Executive Summary'!$B$4,"Overdue",IF(H21&gt;'Executive Summary'!$B$4,"Upcoming","Active window"))))</f>
        <v/>
      </c>
    </row>
    <row r="22" ht="44" customHeight="1">
      <c r="A22" s="13" t="inlineStr">
        <is>
          <t>P1-DOC-01</t>
        </is>
      </c>
      <c r="B22" s="13" t="inlineStr">
        <is>
          <t>Architecture / Test / Runbook Freeze</t>
        </is>
      </c>
      <c r="C22" s="13" t="inlineStr">
        <is>
          <t>Phase 1</t>
        </is>
      </c>
      <c r="D22" s="13" t="inlineStr">
        <is>
          <t>PMO / Documentation</t>
        </is>
      </c>
      <c r="E22" s="13" t="inlineStr">
        <is>
          <t>Task</t>
        </is>
      </c>
      <c r="F22" s="13" t="inlineStr">
        <is>
          <t>P0</t>
        </is>
      </c>
      <c r="G22" s="13" t="inlineStr">
        <is>
          <t>To Do</t>
        </is>
      </c>
      <c r="H22" s="154" t="n">
        <v>46276</v>
      </c>
      <c r="I22" s="154" t="n">
        <v>46287</v>
      </c>
      <c r="J22" s="156">
        <f>IF(OR(H22="",I22=""),"",I22-H22+1)</f>
        <v/>
      </c>
      <c r="K22" s="156">
        <f>IF(OR(H22="",I22=""),"",NETWORKDAYS(H22,I22,'Sources &amp; Change Log'!$J$2:$J$5)-COUNTIFS('Team Calendar'!$A$5:$A$12,L22,'Team Calendar'!$C$5:$C$12,"&gt;="&amp;H22,'Team Calendar'!$C$5:$C$12,"&lt;="&amp;I22,'Team Calendar'!$F$5:$F$12,"Personal absence"))</f>
        <v/>
      </c>
      <c r="L22" s="13" t="inlineStr">
        <is>
          <t>이권욱</t>
        </is>
      </c>
      <c r="M22" s="13" t="inlineStr">
        <is>
          <t>이하영, 이재환</t>
        </is>
      </c>
      <c r="N22" s="13" t="inlineStr">
        <is>
          <t>D12; D20; D25</t>
        </is>
      </c>
      <c r="O22" s="13" t="inlineStr">
        <is>
          <t>RISK-05; RISK-13</t>
        </is>
      </c>
      <c r="P22" s="13" t="inlineStr">
        <is>
          <t>As-built Architecture, Test/Evidence Index, 구축·운영·복구 Runbook, P1 미완료 Known Issue의 풀네임 Owner·Due, Version/Source 및 Review 재현성 승인</t>
        </is>
      </c>
      <c r="Q22" s="13" t="inlineStr">
        <is>
          <t>구축 시 증적·Runbook을 병행 축적하고 09-22 오전 Final Evidence와 함께 동결한다. 실제 상태·완료 판정은 유지한다. 세부 배정: Fast Track Plan 시트.</t>
        </is>
      </c>
      <c r="R22" s="13" t="inlineStr">
        <is>
          <t>https://github.com/321Team/fds-project-baseline/issues/24</t>
        </is>
      </c>
      <c r="S22" s="13">
        <f>IF(G22="Done","Done",IF(I22="",IF(F22="P1","Deferred P1","End TBD"),IF(I22&lt;'Executive Summary'!$B$4,"Overdue",IF(H22&gt;'Executive Summary'!$B$4,"Upcoming","Active window"))))</f>
        <v/>
      </c>
    </row>
    <row r="23" ht="44" customHeight="1">
      <c r="A23" s="13" t="inlineStr">
        <is>
          <t>P1-MON-02</t>
        </is>
      </c>
      <c r="B23" s="13" t="inlineStr">
        <is>
          <t>Dashboard / Alert Enhancement</t>
        </is>
      </c>
      <c r="C23" s="13" t="inlineStr">
        <is>
          <t>Phase 1</t>
        </is>
      </c>
      <c r="D23" s="13" t="inlineStr">
        <is>
          <t>Monitoring / Observability</t>
        </is>
      </c>
      <c r="E23" s="13" t="inlineStr">
        <is>
          <t>Task</t>
        </is>
      </c>
      <c r="F23" s="13" t="inlineStr">
        <is>
          <t>P1</t>
        </is>
      </c>
      <c r="G23" s="13" t="inlineStr">
        <is>
          <t>To Do</t>
        </is>
      </c>
      <c r="H23" s="154" t="n"/>
      <c r="I23" s="154" t="n"/>
      <c r="J23" s="156">
        <f>IF(OR(H23="",I23=""),"",I23-H23+1)</f>
        <v/>
      </c>
      <c r="K23" s="156">
        <f>IF(OR(H23="",I23=""),"",NETWORKDAYS(H23,I23,'Sources &amp; Change Log'!$J$2:$J$5)-COUNTIFS('Team Calendar'!$A$5:$A$12,L23,'Team Calendar'!$C$5:$C$12,"&gt;="&amp;H23,'Team Calendar'!$C$5:$C$12,"&lt;="&amp;I23,'Team Calendar'!$F$5:$F$12,"Personal absence"))</f>
        <v/>
      </c>
      <c r="L23" s="13" t="inlineStr">
        <is>
          <t>이재환</t>
        </is>
      </c>
      <c r="M23" s="13" t="inlineStr">
        <is>
          <t>이권욱, 이하영</t>
        </is>
      </c>
      <c r="N23" s="13" t="inlineStr">
        <is>
          <t>D25; D33</t>
        </is>
      </c>
      <c r="O23" s="13" t="inlineStr">
        <is>
          <t>RISK-05; RISK-07; RISK-09; RISK-14</t>
        </is>
      </c>
      <c r="P23" s="13" t="inlineStr">
        <is>
          <t>Prometheus 2 Replica·Alertmanager 3 Replica, PDB/TopologySpread, Dashboard/Alert·장기보존 고도화와 장애·복구·P0 회귀 Evidence 및 Review</t>
        </is>
      </c>
      <c r="Q23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3" s="13" t="inlineStr">
        <is>
          <t>https://github.com/321Team/fds-project-baseline/issues/25</t>
        </is>
      </c>
      <c r="S23" s="13">
        <f>IF(G23="Done","Done",IF(I23="",IF(F23="P1","Deferred P1","End TBD"),IF(I23&lt;'Executive Summary'!$B$4,"Overdue",IF(H23&gt;'Executive Summary'!$B$4,"Upcoming","Active window"))))</f>
        <v/>
      </c>
    </row>
    <row r="24" ht="44" customHeight="1">
      <c r="A24" s="13" t="inlineStr">
        <is>
          <t>P1-DR-02</t>
        </is>
      </c>
      <c r="B24" s="13" t="inlineStr">
        <is>
          <t>Harbor / etcd Backup and Restore</t>
        </is>
      </c>
      <c r="C24" s="13" t="inlineStr">
        <is>
          <t>Phase 1</t>
        </is>
      </c>
      <c r="D24" s="13" t="inlineStr">
        <is>
          <t>DR / Platform Recovery</t>
        </is>
      </c>
      <c r="E24" s="13" t="inlineStr">
        <is>
          <t>Task</t>
        </is>
      </c>
      <c r="F24" s="13" t="inlineStr">
        <is>
          <t>P1</t>
        </is>
      </c>
      <c r="G24" s="13" t="inlineStr">
        <is>
          <t>To Do</t>
        </is>
      </c>
      <c r="H24" s="154" t="n"/>
      <c r="I24" s="154" t="n"/>
      <c r="J24" s="156">
        <f>IF(OR(H24="",I24=""),"",I24-H24+1)</f>
        <v/>
      </c>
      <c r="K24" s="156">
        <f>IF(OR(H24="",I24=""),"",NETWORKDAYS(H24,I24,'Sources &amp; Change Log'!$J$2:$J$5)-COUNTIFS('Team Calendar'!$A$5:$A$12,L24,'Team Calendar'!$C$5:$C$12,"&gt;="&amp;H24,'Team Calendar'!$C$5:$C$12,"&lt;="&amp;I24,'Team Calendar'!$F$5:$F$12,"Personal absence"))</f>
        <v/>
      </c>
      <c r="L24" s="13" t="inlineStr">
        <is>
          <t>이하영</t>
        </is>
      </c>
      <c r="M24" s="13" t="inlineStr">
        <is>
          <t>이권욱, 이재환</t>
        </is>
      </c>
      <c r="N24" s="13" t="inlineStr">
        <is>
          <t>D04; D25</t>
        </is>
      </c>
      <c r="O24" s="13" t="inlineStr">
        <is>
          <t>RISK-05; RISK-06; RISK-08; RISK-14</t>
        </is>
      </c>
      <c r="P24" s="13" t="inlineStr">
        <is>
          <t>Harbor Backup/Restore와 etcd Snapshot/Restore를 격리 대상에서 수행하고 무결성·복구·Runbook Evidence 확보</t>
        </is>
      </c>
      <c r="Q24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4" s="13" t="inlineStr">
        <is>
          <t>https://github.com/321Team/fds-project-baseline/issues/26</t>
        </is>
      </c>
      <c r="S24" s="13">
        <f>IF(G24="Done","Done",IF(I24="",IF(F24="P1","Deferred P1","End TBD"),IF(I24&lt;'Executive Summary'!$B$4,"Overdue",IF(H24&gt;'Executive Summary'!$B$4,"Upcoming","Active window"))))</f>
        <v/>
      </c>
    </row>
    <row r="25" ht="44" customHeight="1">
      <c r="A25" s="13" t="inlineStr">
        <is>
          <t>P1-HA-02</t>
        </is>
      </c>
      <c r="B25" s="13" t="inlineStr">
        <is>
          <t>Platform Resilience P1 Validation</t>
        </is>
      </c>
      <c r="C25" s="13" t="inlineStr">
        <is>
          <t>Phase 1</t>
        </is>
      </c>
      <c r="D25" s="13" t="inlineStr">
        <is>
          <t>HA / Platform Resilience</t>
        </is>
      </c>
      <c r="E25" s="13" t="inlineStr">
        <is>
          <t>Task</t>
        </is>
      </c>
      <c r="F25" s="13" t="inlineStr">
        <is>
          <t>P1</t>
        </is>
      </c>
      <c r="G25" s="13" t="inlineStr">
        <is>
          <t>To Do</t>
        </is>
      </c>
      <c r="H25" s="154" t="n"/>
      <c r="I25" s="154" t="n"/>
      <c r="J25" s="156">
        <f>IF(OR(H25="",I25=""),"",I25-H25+1)</f>
        <v/>
      </c>
      <c r="K25" s="156">
        <f>IF(OR(H25="",I25=""),"",NETWORKDAYS(H25,I25,'Sources &amp; Change Log'!$J$2:$J$5)-COUNTIFS('Team Calendar'!$A$5:$A$12,L25,'Team Calendar'!$C$5:$C$12,"&gt;="&amp;H25,'Team Calendar'!$C$5:$C$12,"&lt;="&amp;I25,'Team Calendar'!$F$5:$F$12,"Personal absence"))</f>
        <v/>
      </c>
      <c r="L25" s="13" t="inlineStr">
        <is>
          <t>이하영</t>
        </is>
      </c>
      <c r="M25" s="13" t="inlineStr">
        <is>
          <t>이권욱, 이재환</t>
        </is>
      </c>
      <c r="N25" s="13" t="inlineStr">
        <is>
          <t>D02; D25</t>
        </is>
      </c>
      <c r="O25" s="13" t="inlineStr">
        <is>
          <t>RISK-03; RISK-05; RISK-07; RISK-14</t>
        </is>
      </c>
      <c r="P25" s="13" t="inlineStr">
        <is>
          <t>Rolling Update, Control Plane 1대 장애, PDB 및 TopologySpreadConstraint 검증 결과와 복구 Evidence 확보</t>
        </is>
      </c>
      <c r="Q25" s="13" t="inlineStr">
        <is>
          <t>P0 마감 보호를 위해 신규 구현을 유예하는 권장안이다. 기존 Lead·Type·Priority·AC·To Do는 유지한다. 09-23은 Known Issue/Owner 인계 기한, 09-28은 차기 착수·납기 결정 기한이며 구현 완료일은 TBD다. Phase 2 공수를 자동 배정하지 않는다. 실제 상태·완료 판정은 유지한다. 세부 배정: Fast Track Plan 시트.</t>
        </is>
      </c>
      <c r="R25" s="13" t="inlineStr">
        <is>
          <t>https://github.com/321Team/fds-project-baseline/issues/27</t>
        </is>
      </c>
      <c r="S25" s="13">
        <f>IF(G25="Done","Done",IF(I25="",IF(F25="P1","Deferred P1","End TBD"),IF(I25&lt;'Executive Summary'!$B$4,"Overdue",IF(H25&gt;'Executive Summary'!$B$4,"Upcoming","Active window"))))</f>
        <v/>
      </c>
    </row>
    <row r="26" ht="44" customHeight="1">
      <c r="A26" s="13" t="inlineStr">
        <is>
          <t>DEC-CAL-P1-01</t>
        </is>
      </c>
      <c r="B26" s="13" t="inlineStr">
        <is>
          <t>Phase 1 Weekend Review Decision</t>
        </is>
      </c>
      <c r="C26" s="13" t="inlineStr">
        <is>
          <t>Phase 1</t>
        </is>
      </c>
      <c r="D26" s="13" t="inlineStr">
        <is>
          <t>Schedule / Governance</t>
        </is>
      </c>
      <c r="E26" s="13" t="inlineStr">
        <is>
          <t>Decision</t>
        </is>
      </c>
      <c r="F26" s="13" t="inlineStr">
        <is>
          <t>P0</t>
        </is>
      </c>
      <c r="G26" s="13" t="inlineStr">
        <is>
          <t>Done</t>
        </is>
      </c>
      <c r="H26" s="154" t="n">
        <v>46276</v>
      </c>
      <c r="I26" s="154" t="n">
        <v>46276</v>
      </c>
      <c r="J26" s="156">
        <f>IF(OR(H26="",I26=""),"",I26-H26+1)</f>
        <v/>
      </c>
      <c r="K26" s="156">
        <f>IF(OR(H26="",I26=""),"",NETWORKDAYS(H26,I26,'Sources &amp; Change Log'!$J$2:$J$5)-COUNTIFS('Team Calendar'!$A$5:$A$12,L26,'Team Calendar'!$C$5:$C$12,"&gt;="&amp;H26,'Team Calendar'!$C$5:$C$12,"&lt;="&amp;I26,'Team Calendar'!$F$5:$F$12,"Personal absence"))</f>
        <v/>
      </c>
      <c r="L26" s="13" t="inlineStr">
        <is>
          <t>이권욱</t>
        </is>
      </c>
      <c r="M26" s="13" t="inlineStr">
        <is>
          <t>이하영, 이재환</t>
        </is>
      </c>
      <c r="N26" s="13" t="inlineStr">
        <is>
          <t>D20</t>
        </is>
      </c>
      <c r="O26" s="13" t="inlineStr">
        <is>
          <t>RISK-05; RISK-13</t>
        </is>
      </c>
      <c r="P26" s="13" t="inlineStr">
        <is>
          <t>09-20 일요일 Review 유지 또는 영업일 재배치, 참석자·승인권자·시간·대체일을 확정하고 WBS/Calendar 동기화</t>
        </is>
      </c>
      <c r="Q26" s="13" t="inlineStr">
        <is>
          <t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t>
        </is>
      </c>
      <c r="R26" s="13" t="inlineStr">
        <is>
          <t>https://github.com/321Team/fds-project-baseline/issues/28</t>
        </is>
      </c>
      <c r="S26" s="13">
        <f>IF(G26="Done","Done",IF(I26="",IF(F26="P1","Deferred P1","End TBD"),IF(I26&lt;'Executive Summary'!$B$4,"Overdue",IF(H26&gt;'Executive Summary'!$B$4,"Upcoming","Active window"))))</f>
        <v/>
      </c>
    </row>
    <row r="27" ht="44" customHeight="1">
      <c r="A27" s="13" t="inlineStr">
        <is>
          <t>MS-G3-01</t>
        </is>
      </c>
      <c r="B27" s="13" t="inlineStr">
        <is>
          <t>G3 Review Ready</t>
        </is>
      </c>
      <c r="C27" s="13" t="inlineStr">
        <is>
          <t>Phase 1</t>
        </is>
      </c>
      <c r="D27" s="13" t="inlineStr">
        <is>
          <t>Milestone / Review Readiness</t>
        </is>
      </c>
      <c r="E27" s="13" t="inlineStr">
        <is>
          <t>Milestone</t>
        </is>
      </c>
      <c r="F27" s="13" t="inlineStr">
        <is>
          <t>P0</t>
        </is>
      </c>
      <c r="G27" s="13" t="inlineStr">
        <is>
          <t>To Do</t>
        </is>
      </c>
      <c r="H27" s="154" t="n">
        <v>46287</v>
      </c>
      <c r="I27" s="154" t="n">
        <v>46287</v>
      </c>
      <c r="J27" s="156">
        <f>IF(OR(H27="",I27=""),"",I27-H27+1)</f>
        <v/>
      </c>
      <c r="K27" s="156">
        <f>IF(OR(H27="",I27=""),"",NETWORKDAYS(H27,I27,'Sources &amp; Change Log'!$J$2:$J$5)-COUNTIFS('Team Calendar'!$A$5:$A$12,L27,'Team Calendar'!$C$5:$C$12,"&gt;="&amp;H27,'Team Calendar'!$C$5:$C$12,"&lt;="&amp;I27,'Team Calendar'!$F$5:$F$12,"Personal absence"))</f>
        <v/>
      </c>
      <c r="L27" s="13" t="inlineStr">
        <is>
          <t>이권욱</t>
        </is>
      </c>
      <c r="M27" s="13" t="inlineStr">
        <is>
          <t>이하영, 이재환</t>
        </is>
      </c>
      <c r="N27" s="13" t="inlineStr">
        <is>
          <t>D20</t>
        </is>
      </c>
      <c r="O27" s="13" t="inlineStr">
        <is>
          <t>RISK-05; RISK-09; RISK-13</t>
        </is>
      </c>
      <c r="P27" s="13" t="inlineStr">
        <is>
          <t>Final E2E/Regression, Worker Drain, PostgreSQL Restore, Critical Issue 0, Architecture/Test/Runbook 준비도를 승인</t>
        </is>
      </c>
      <c r="Q27" s="13" t="inlineStr">
        <is>
          <t>09-22 오전 최종 회귀·Drain·Restore 증적·Critical Issue 0과 산출물 동결이 모두 충족될 때 인수한다. 실제 상태·완료 판정은 유지한다. 세부 배정: Fast Track Plan 시트.</t>
        </is>
      </c>
      <c r="R27" s="13" t="inlineStr">
        <is>
          <t>https://github.com/321Team/fds-project-baseline/issues/29</t>
        </is>
      </c>
      <c r="S27" s="13">
        <f>IF(G27="Done","Done",IF(I27="",IF(F27="P1","Deferred P1","End TBD"),IF(I27&lt;'Executive Summary'!$B$4,"Overdue",IF(H27&gt;'Executive Summary'!$B$4,"Upcoming","Active window"))))</f>
        <v/>
      </c>
    </row>
    <row r="28" ht="44" customHeight="1">
      <c r="A28" s="13" t="inlineStr">
        <is>
          <t>P1-REV-01</t>
        </is>
      </c>
      <c r="B28" s="13" t="inlineStr">
        <is>
          <t>Phase 1 Review / Close Execution</t>
        </is>
      </c>
      <c r="C28" s="13" t="inlineStr">
        <is>
          <t>Phase 1</t>
        </is>
      </c>
      <c r="D28" s="13" t="inlineStr">
        <is>
          <t>PMO / Review</t>
        </is>
      </c>
      <c r="E28" s="13" t="inlineStr">
        <is>
          <t>Task</t>
        </is>
      </c>
      <c r="F28" s="13" t="inlineStr">
        <is>
          <t>P0</t>
        </is>
      </c>
      <c r="G28" s="13" t="inlineStr">
        <is>
          <t>To Do</t>
        </is>
      </c>
      <c r="H28" s="154" t="n">
        <v>46287</v>
      </c>
      <c r="I28" s="154" t="n">
        <v>46288</v>
      </c>
      <c r="J28" s="156">
        <f>IF(OR(H28="",I28=""),"",I28-H28+1)</f>
        <v/>
      </c>
      <c r="K28" s="156">
        <f>IF(OR(H28="",I28=""),"",NETWORKDAYS(H28,I28,'Sources &amp; Change Log'!$J$2:$J$5)-COUNTIFS('Team Calendar'!$A$5:$A$12,L28,'Team Calendar'!$C$5:$C$12,"&gt;="&amp;H28,'Team Calendar'!$C$5:$C$12,"&lt;="&amp;I28,'Team Calendar'!$F$5:$F$12,"Personal absence"))</f>
        <v/>
      </c>
      <c r="L28" s="13" t="inlineStr">
        <is>
          <t>이권욱</t>
        </is>
      </c>
      <c r="M28" s="13" t="inlineStr">
        <is>
          <t>이하영, 이재환</t>
        </is>
      </c>
      <c r="N28" s="13" t="inlineStr">
        <is>
          <t>D12; D20</t>
        </is>
      </c>
      <c r="O28" s="13" t="inlineStr">
        <is>
          <t>RISK-05; RISK-13</t>
        </is>
      </c>
      <c r="P28" s="13" t="inlineStr">
        <is>
          <t>G3 결과, Demo, P0 Evidence, Known Issue, P1 이관, Review Action을 승인하고 Phase 1 Close Sign-off 확보</t>
        </is>
      </c>
      <c r="Q28" s="13" t="inlineStr">
        <is>
          <t>09-22 오후 Review, 09-23 오전 보완·재시험, 오후 Close를 권장한다. 실제 상태·완료 판정은 유지한다. 세부 배정: Fast Track Plan 시트.</t>
        </is>
      </c>
      <c r="R28" s="13" t="inlineStr">
        <is>
          <t>https://github.com/321Team/fds-project-baseline/issues/30</t>
        </is>
      </c>
      <c r="S28" s="13">
        <f>IF(G28="Done","Done",IF(I28="",IF(F28="P1","Deferred P1","End TBD"),IF(I28&lt;'Executive Summary'!$B$4,"Overdue",IF(H28&gt;'Executive Summary'!$B$4,"Upcoming","Active window"))))</f>
        <v/>
      </c>
    </row>
    <row r="29" ht="44" customHeight="1">
      <c r="A29" s="13" t="inlineStr">
        <is>
          <t>MS-P1-REVIEW-01</t>
        </is>
      </c>
      <c r="B29" s="13" t="inlineStr">
        <is>
          <t>Phase 1 Review</t>
        </is>
      </c>
      <c r="C29" s="13" t="inlineStr">
        <is>
          <t>Phase 1</t>
        </is>
      </c>
      <c r="D29" s="13" t="inlineStr">
        <is>
          <t>Milestone / Review</t>
        </is>
      </c>
      <c r="E29" s="13" t="inlineStr">
        <is>
          <t>Milestone</t>
        </is>
      </c>
      <c r="F29" s="13" t="inlineStr">
        <is>
          <t>P0</t>
        </is>
      </c>
      <c r="G29" s="13" t="inlineStr">
        <is>
          <t>To Do</t>
        </is>
      </c>
      <c r="H29" s="154" t="n">
        <v>46287</v>
      </c>
      <c r="I29" s="154" t="n">
        <v>46287</v>
      </c>
      <c r="J29" s="156">
        <f>IF(OR(H29="",I29=""),"",I29-H29+1)</f>
        <v/>
      </c>
      <c r="K29" s="156">
        <f>IF(OR(H29="",I29=""),"",NETWORKDAYS(H29,I29,'Sources &amp; Change Log'!$J$2:$J$5)-COUNTIFS('Team Calendar'!$A$5:$A$12,L29,'Team Calendar'!$C$5:$C$12,"&gt;="&amp;H29,'Team Calendar'!$C$5:$C$12,"&lt;="&amp;I29,'Team Calendar'!$F$5:$F$12,"Personal absence"))</f>
        <v/>
      </c>
      <c r="L29" s="13" t="inlineStr">
        <is>
          <t>이권욱</t>
        </is>
      </c>
      <c r="M29" s="13" t="inlineStr">
        <is>
          <t>이하영, 이재환</t>
        </is>
      </c>
      <c r="N29" s="13" t="inlineStr">
        <is>
          <t>D20</t>
        </is>
      </c>
      <c r="O29" s="13" t="inlineStr">
        <is>
          <t>RISK-05; RISK-13</t>
        </is>
      </c>
      <c r="P29" s="13" t="inlineStr">
        <is>
          <t>승인된 일정에 Demo/산출물/G3/Known Issue Review를 수행하고 Action 및 승인결과를 기록</t>
        </is>
      </c>
      <c r="Q29" s="13" t="inlineStr">
        <is>
          <t>기존 09-20 일요일 대신 09-22 화요일 오후. G3 통과와 참석자 확정이 필요하다. 실제 상태·완료 판정은 유지한다. 세부 배정: Fast Track Plan 시트.</t>
        </is>
      </c>
      <c r="R29" s="13" t="inlineStr">
        <is>
          <t>https://github.com/321Team/fds-project-baseline/issues/31</t>
        </is>
      </c>
      <c r="S29" s="13">
        <f>IF(G29="Done","Done",IF(I29="",IF(F29="P1","Deferred P1","End TBD"),IF(I29&lt;'Executive Summary'!$B$4,"Overdue",IF(H29&gt;'Executive Summary'!$B$4,"Upcoming","Active window"))))</f>
        <v/>
      </c>
    </row>
    <row r="30" ht="44" customHeight="1">
      <c r="A30" s="13" t="inlineStr">
        <is>
          <t>MS-P1-CLOSE-01</t>
        </is>
      </c>
      <c r="B30" s="13" t="inlineStr">
        <is>
          <t>Phase 1 Close</t>
        </is>
      </c>
      <c r="C30" s="13" t="inlineStr">
        <is>
          <t>Phase 1</t>
        </is>
      </c>
      <c r="D30" s="13" t="inlineStr">
        <is>
          <t>Milestone / Close</t>
        </is>
      </c>
      <c r="E30" s="13" t="inlineStr">
        <is>
          <t>Milestone</t>
        </is>
      </c>
      <c r="F30" s="13" t="inlineStr">
        <is>
          <t>P0</t>
        </is>
      </c>
      <c r="G30" s="13" t="inlineStr">
        <is>
          <t>To Do</t>
        </is>
      </c>
      <c r="H30" s="154" t="n">
        <v>46288</v>
      </c>
      <c r="I30" s="154" t="n">
        <v>46288</v>
      </c>
      <c r="J30" s="156">
        <f>IF(OR(H30="",I30=""),"",I30-H30+1)</f>
        <v/>
      </c>
      <c r="K30" s="156">
        <f>IF(OR(H30="",I30=""),"",NETWORKDAYS(H30,I30,'Sources &amp; Change Log'!$J$2:$J$5)-COUNTIFS('Team Calendar'!$A$5:$A$12,L30,'Team Calendar'!$C$5:$C$12,"&gt;="&amp;H30,'Team Calendar'!$C$5:$C$12,"&lt;="&amp;I30,'Team Calendar'!$F$5:$F$12,"Personal absence"))</f>
        <v/>
      </c>
      <c r="L30" s="13" t="inlineStr">
        <is>
          <t>이권욱</t>
        </is>
      </c>
      <c r="M30" s="13" t="inlineStr">
        <is>
          <t>이하영, 이재환</t>
        </is>
      </c>
      <c r="N30" s="13" t="inlineStr">
        <is>
          <t>D20</t>
        </is>
      </c>
      <c r="O30" s="13" t="inlineStr">
        <is>
          <t>RISK-05; RISK-13</t>
        </is>
      </c>
      <c r="P30" s="13" t="inlineStr">
        <is>
          <t>Review Action 처리, P0 승인, P1/Known Issue Owner·Due 이관 및 Phase 1 Close Sign-off 확보</t>
        </is>
      </c>
      <c r="Q30" s="13" t="inlineStr">
        <is>
          <t>09-24~09-25 비근무 전에 종결한다.</t>
        </is>
      </c>
      <c r="R30" s="13" t="inlineStr">
        <is>
          <t>https://github.com/321Team/fds-project-baseline/issues/32</t>
        </is>
      </c>
      <c r="S30" s="13">
        <f>IF(G30="Done","Done",IF(I30="","End TBD",IF(I30&lt;'Executive Summary'!$B$4,"Overdue",IF(H30&gt;'Executive Summary'!$B$4,"Upcoming","Active window"))))</f>
        <v/>
      </c>
    </row>
    <row r="31" ht="44" customHeight="1">
      <c r="A31" s="13" t="inlineStr">
        <is>
          <t>MS-P2-START-01</t>
        </is>
      </c>
      <c r="B31" s="13" t="inlineStr">
        <is>
          <t>Phase 2 Start</t>
        </is>
      </c>
      <c r="C31" s="13" t="inlineStr">
        <is>
          <t>Phase 2</t>
        </is>
      </c>
      <c r="D31" s="13" t="inlineStr">
        <is>
          <t>Milestone / Start</t>
        </is>
      </c>
      <c r="E31" s="13" t="inlineStr">
        <is>
          <t>Milestone</t>
        </is>
      </c>
      <c r="F31" s="13" t="inlineStr">
        <is>
          <t>P0</t>
        </is>
      </c>
      <c r="G31" s="13" t="inlineStr">
        <is>
          <t>To Do</t>
        </is>
      </c>
      <c r="H31" s="154" t="n">
        <v>46301</v>
      </c>
      <c r="I31" s="154" t="n">
        <v>46301</v>
      </c>
      <c r="J31" s="156">
        <f>IF(OR(H31="",I31=""),"",I31-H31+1)</f>
        <v/>
      </c>
      <c r="K31" s="156">
        <f>IF(OR(H31="",I31=""),"",NETWORKDAYS(H31,I31,'Sources &amp; Change Log'!$J$2:$J$5)-COUNTIFS('Team Calendar'!$A$5:$A$12,L31,'Team Calendar'!$C$5:$C$12,"&gt;="&amp;H31,'Team Calendar'!$C$5:$C$12,"&lt;="&amp;I31,'Team Calendar'!$F$5:$F$12,"Personal absence"))</f>
        <v/>
      </c>
      <c r="L31" s="13" t="inlineStr">
        <is>
          <t>이권욱</t>
        </is>
      </c>
      <c r="M31" s="13" t="inlineStr">
        <is>
          <t>이하영, 이재환</t>
        </is>
      </c>
      <c r="N31" s="13" t="inlineStr">
        <is>
          <t>D10; D21</t>
        </is>
      </c>
      <c r="O31" s="13" t="inlineStr">
        <is>
          <t>RISK-05; RISK-10; RISK-11</t>
        </is>
      </c>
      <c r="P31" s="13" t="inlineStr">
        <is>
          <t>Phase 1 Close, Phase 2 계정·권한·일정·P0 범위·OCI Go/No-Go 계획을 확인하고 착수 승인</t>
        </is>
      </c>
      <c r="Q31" s="13" t="inlineStr">
        <is>
          <t>09-24~09-25 비근무 후 첫 작업일에 착수한다.</t>
        </is>
      </c>
      <c r="R31" s="13" t="inlineStr">
        <is>
          <t>https://github.com/321Team/fds-project-baseline/issues/33</t>
        </is>
      </c>
      <c r="S31" s="13">
        <f>IF(G31="Done","Done",IF(I31="","End TBD",IF(I31&lt;'Executive Summary'!$B$4,"Overdue",IF(H31&gt;'Executive Summary'!$B$4,"Upcoming","Active window"))))</f>
        <v/>
      </c>
    </row>
    <row r="32" ht="44" customHeight="1">
      <c r="A32" s="13" t="inlineStr">
        <is>
          <t>P2-ARC-01</t>
        </is>
      </c>
      <c r="B32" s="13" t="inlineStr">
        <is>
          <t>Hybrid / OCI / AWS / ROSA Architecture Freeze</t>
        </is>
      </c>
      <c r="C32" s="13" t="inlineStr">
        <is>
          <t>Phase 2</t>
        </is>
      </c>
      <c r="D32" s="13" t="inlineStr">
        <is>
          <t>Architecture / Hybrid Cloud</t>
        </is>
      </c>
      <c r="E32" s="13" t="inlineStr">
        <is>
          <t>Task</t>
        </is>
      </c>
      <c r="F32" s="13" t="inlineStr">
        <is>
          <t>P0</t>
        </is>
      </c>
      <c r="G32" s="13" t="inlineStr">
        <is>
          <t>To Do</t>
        </is>
      </c>
      <c r="H32" s="154" t="n">
        <v>46301</v>
      </c>
      <c r="I32" s="154" t="n">
        <v>46301</v>
      </c>
      <c r="J32" s="156">
        <f>IF(OR(H32="",I32=""),"",I32-H32+1)</f>
        <v/>
      </c>
      <c r="K32" s="156">
        <f>IF(OR(H32="",I32=""),"",NETWORKDAYS(H32,I32,'Sources &amp; Change Log'!$J$2:$J$5)-COUNTIFS('Team Calendar'!$A$5:$A$12,L32,'Team Calendar'!$C$5:$C$12,"&gt;="&amp;H32,'Team Calendar'!$C$5:$C$12,"&lt;="&amp;I32,'Team Calendar'!$F$5:$F$12,"Personal absence"))</f>
        <v/>
      </c>
      <c r="L32" s="13" t="inlineStr">
        <is>
          <t>이권욱</t>
        </is>
      </c>
      <c r="M32" s="13" t="inlineStr">
        <is>
          <t>이하영, 이재환</t>
        </is>
      </c>
      <c r="N32" s="13" t="inlineStr">
        <is>
          <t>D10; D21; D22; D23; D25; D26</t>
        </is>
      </c>
      <c r="O32" s="13" t="inlineStr">
        <is>
          <t>RISK-10; RISK-11; RISK-12; RISK-14; RISK-15</t>
        </is>
      </c>
      <c r="P32" s="13" t="inlineStr">
        <is>
          <t>OCI Relay·AWS VPC/VPN·ROSA·On-Prem 연계 Architecture, Interface IF-17~IF-20, Security, Decision, Exit Criteria Freeze 승인</t>
        </is>
      </c>
      <c r="Q32" s="13" t="inlineStr">
        <is>
          <t>MS-P2-START-01 직후 완료하며 Phase 2 모든 구현 티켓이 참조하는 Phase 2 OCI/AWS/ROSA Design의 권위 Source를 생성한다.</t>
        </is>
      </c>
      <c r="R32" s="13" t="inlineStr">
        <is>
          <t>https://github.com/321Team/fds-project-baseline/issues/34</t>
        </is>
      </c>
      <c r="S32" s="13">
        <f>IF(G32="Done","Done",IF(I32="","End TBD",IF(I32&lt;'Executive Summary'!$B$4,"Overdue",IF(H32&gt;'Executive Summary'!$B$4,"Upcoming","Active window"))))</f>
        <v/>
      </c>
    </row>
    <row r="33" ht="44" customHeight="1">
      <c r="A33" s="13" t="inlineStr">
        <is>
          <t>P2-IAC-01</t>
        </is>
      </c>
      <c r="B33" s="13" t="inlineStr">
        <is>
          <t>AWS / ROSA Terraform IaC</t>
        </is>
      </c>
      <c r="C33" s="13" t="inlineStr">
        <is>
          <t>Phase 2</t>
        </is>
      </c>
      <c r="D33" s="13" t="inlineStr">
        <is>
          <t>Cloud / Terraform</t>
        </is>
      </c>
      <c r="E33" s="13" t="inlineStr">
        <is>
          <t>Task</t>
        </is>
      </c>
      <c r="F33" s="13" t="inlineStr">
        <is>
          <t>P0</t>
        </is>
      </c>
      <c r="G33" s="13" t="inlineStr">
        <is>
          <t>To Do</t>
        </is>
      </c>
      <c r="H33" s="154" t="n">
        <v>46301</v>
      </c>
      <c r="I33" s="154" t="n">
        <v>46308</v>
      </c>
      <c r="J33" s="156">
        <f>IF(OR(H33="",I33=""),"",I33-H33+1)</f>
        <v/>
      </c>
      <c r="K33" s="156">
        <f>IF(OR(H33="",I33=""),"",NETWORKDAYS(H33,I33,'Sources &amp; Change Log'!$J$2:$J$5)-COUNTIFS('Team Calendar'!$A$5:$A$12,L33,'Team Calendar'!$C$5:$C$12,"&gt;="&amp;H33,'Team Calendar'!$C$5:$C$12,"&lt;="&amp;I33,'Team Calendar'!$F$5:$F$12,"Personal absence"))</f>
        <v/>
      </c>
      <c r="L33" s="13" t="inlineStr">
        <is>
          <t>이권욱</t>
        </is>
      </c>
      <c r="M33" s="13" t="inlineStr">
        <is>
          <t>이하영</t>
        </is>
      </c>
      <c r="N33" s="13" t="inlineStr">
        <is>
          <t>D10; D21; D25</t>
        </is>
      </c>
      <c r="O33" s="13" t="inlineStr">
        <is>
          <t>RISK-10; RISK-11; RISK-12</t>
        </is>
      </c>
      <c r="P33" s="13" t="inlineStr">
        <is>
          <t>AWS VPC 10.20.0.0/16, ROSA 선행 인프라와 IAM/OIDC 최소권한의 Terraform fmt/validate/plan/apply, State·Secret 통제 및 G4 Evidence 확보</t>
        </is>
      </c>
      <c r="Q33" s="13" t="inlineStr">
        <is>
          <t>10-05는 비근무일이다. OCI Go/No-Go 결과에 따라 VPN 입력과 경로를 갱신한다.</t>
        </is>
      </c>
      <c r="R33" s="13" t="inlineStr">
        <is>
          <t>https://github.com/321Team/fds-project-baseline/issues/35</t>
        </is>
      </c>
      <c r="S33" s="13">
        <f>IF(G33="Done","Done",IF(I33="","End TBD",IF(I33&lt;'Executive Summary'!$B$4,"Overdue",IF(H33&gt;'Executive Summary'!$B$4,"Upcoming","Active window"))))</f>
        <v/>
      </c>
    </row>
    <row r="34" ht="44" customHeight="1">
      <c r="A34" s="13" t="inlineStr">
        <is>
          <t>P2-OCI-01</t>
        </is>
      </c>
      <c r="B34" s="13" t="inlineStr">
        <is>
          <t>OCI Relay Go / No-Go</t>
        </is>
      </c>
      <c r="C34" s="13" t="inlineStr">
        <is>
          <t>Phase 2</t>
        </is>
      </c>
      <c r="D34" s="13" t="inlineStr">
        <is>
          <t>Milestone / Hybrid Network</t>
        </is>
      </c>
      <c r="E34" s="13" t="inlineStr">
        <is>
          <t>Decision</t>
        </is>
      </c>
      <c r="F34" s="13" t="inlineStr">
        <is>
          <t>P0</t>
        </is>
      </c>
      <c r="G34" s="13" t="inlineStr">
        <is>
          <t>To Do</t>
        </is>
      </c>
      <c r="H34" s="154" t="n">
        <v>46301</v>
      </c>
      <c r="I34" s="154" t="n">
        <v>46304</v>
      </c>
      <c r="J34" s="156">
        <f>IF(OR(H34="",I34=""),"",I34-H34+1)</f>
        <v/>
      </c>
      <c r="K34" s="156">
        <f>IF(OR(H34="",I34=""),"",NETWORKDAYS(H34,I34,'Sources &amp; Change Log'!$J$2:$J$5)-COUNTIFS('Team Calendar'!$A$5:$A$12,L34,'Team Calendar'!$C$5:$C$12,"&gt;="&amp;H34,'Team Calendar'!$C$5:$C$12,"&lt;="&amp;I34,'Team Calendar'!$F$5:$F$12,"Personal absence"))</f>
        <v/>
      </c>
      <c r="L34" s="13" t="inlineStr">
        <is>
          <t>이권욱</t>
        </is>
      </c>
      <c r="M34" s="13" t="inlineStr">
        <is>
          <t>이하영</t>
        </is>
      </c>
      <c r="N34" s="13" t="inlineStr">
        <is>
          <t>D10; D21</t>
        </is>
      </c>
      <c r="O34" s="13" t="inlineStr">
        <is>
          <t>RISK-10; RISK-12</t>
        </is>
      </c>
      <c r="P34" s="13" t="inlineStr">
        <is>
          <t>OCI Relay 가능성·권한·Public Endpoint·IPsec/NAT-T·Route를 검증하고 Primary 또는 승인 Fallback 경로를 선택</t>
        </is>
      </c>
      <c r="Q34" s="13" t="inlineStr">
        <is>
          <t>10-02 Go/No-Go를 넘기지 않는다. No-Go 시 Vendor Endpoint→AWS EC2+EIP Relay→Overlay 순으로 승인된 Fallback을 선택한다.</t>
        </is>
      </c>
      <c r="R34" s="13" t="inlineStr">
        <is>
          <t>https://github.com/321Team/fds-project-baseline/issues/36</t>
        </is>
      </c>
      <c r="S34" s="13">
        <f>IF(G34="Done","Done",IF(I34="","End TBD",IF(I34&lt;'Executive Summary'!$B$4,"Overdue",IF(H34&gt;'Executive Summary'!$B$4,"Upcoming","Active window"))))</f>
        <v/>
      </c>
    </row>
    <row r="35" ht="44" customHeight="1">
      <c r="A35" s="13" t="inlineStr">
        <is>
          <t>P2-VPN-01</t>
        </is>
      </c>
      <c r="B35" s="13" t="inlineStr">
        <is>
          <t>OCI Relay / AWS Site-to-Site VPN</t>
        </is>
      </c>
      <c r="C35" s="13" t="inlineStr">
        <is>
          <t>Phase 2</t>
        </is>
      </c>
      <c r="D35" s="13" t="inlineStr">
        <is>
          <t>Hybrid Network / VPN</t>
        </is>
      </c>
      <c r="E35" s="13" t="inlineStr">
        <is>
          <t>Task</t>
        </is>
      </c>
      <c r="F35" s="13" t="inlineStr">
        <is>
          <t>P0</t>
        </is>
      </c>
      <c r="G35" s="13" t="inlineStr">
        <is>
          <t>To Do</t>
        </is>
      </c>
      <c r="H35" s="154" t="n">
        <v>46303</v>
      </c>
      <c r="I35" s="154" t="n">
        <v>46308</v>
      </c>
      <c r="J35" s="156">
        <f>IF(OR(H35="",I35=""),"",I35-H35+1)</f>
        <v/>
      </c>
      <c r="K35" s="156">
        <f>IF(OR(H35="",I35=""),"",NETWORKDAYS(H35,I35,'Sources &amp; Change Log'!$J$2:$J$5)-COUNTIFS('Team Calendar'!$A$5:$A$12,L35,'Team Calendar'!$C$5:$C$12,"&gt;="&amp;H35,'Team Calendar'!$C$5:$C$12,"&lt;="&amp;I35,'Team Calendar'!$F$5:$F$12,"Personal absence"))</f>
        <v/>
      </c>
      <c r="L35" s="13" t="inlineStr">
        <is>
          <t>이권욱</t>
        </is>
      </c>
      <c r="M35" s="13" t="inlineStr">
        <is>
          <t>이하영</t>
        </is>
      </c>
      <c r="N35" s="13" t="inlineStr">
        <is>
          <t>D10; D21</t>
        </is>
      </c>
      <c r="O35" s="13" t="inlineStr">
        <is>
          <t>RISK-04; RISK-10; RISK-12</t>
        </is>
      </c>
      <c r="P35" s="13" t="inlineStr">
        <is>
          <t>승인 Transit 경로의 Tunnel UP, On-Prem↔VPC Route, UDP 500/4500/IPsec, Source·승인 TCP Path 및 장애 Evidence 확보</t>
        </is>
      </c>
      <c r="Q35" s="13" t="inlineStr">
        <is>
          <t>10-05는 비근무일이다. OCI No-Go 시 D21에서 승인된 Fallback만 사용한다.</t>
        </is>
      </c>
      <c r="R35" s="13" t="inlineStr">
        <is>
          <t>https://github.com/321Team/fds-project-baseline/issues/37</t>
        </is>
      </c>
      <c r="S35" s="13">
        <f>IF(G35="Done","Done",IF(I35="","End TBD",IF(I35&lt;'Executive Summary'!$B$4,"Overdue",IF(H35&gt;'Executive Summary'!$B$4,"Upcoming","Active window"))))</f>
        <v/>
      </c>
    </row>
    <row r="36" ht="44" customHeight="1">
      <c r="A36" s="13" t="inlineStr">
        <is>
          <t>P2-ROSA-01</t>
        </is>
      </c>
      <c r="B36" s="13" t="inlineStr">
        <is>
          <t>ROSA Platform / Security</t>
        </is>
      </c>
      <c r="C36" s="13" t="inlineStr">
        <is>
          <t>Phase 2</t>
        </is>
      </c>
      <c r="D36" s="13" t="inlineStr">
        <is>
          <t>OpenShift / ROSA</t>
        </is>
      </c>
      <c r="E36" s="13" t="inlineStr">
        <is>
          <t>Task</t>
        </is>
      </c>
      <c r="F36" s="13" t="inlineStr">
        <is>
          <t>P0</t>
        </is>
      </c>
      <c r="G36" s="13" t="inlineStr">
        <is>
          <t>To Do</t>
        </is>
      </c>
      <c r="H36" s="154" t="n">
        <v>46306</v>
      </c>
      <c r="I36" s="154" t="n">
        <v>46313</v>
      </c>
      <c r="J36" s="156">
        <f>IF(OR(H36="",I36=""),"",I36-H36+1)</f>
        <v/>
      </c>
      <c r="K36" s="156">
        <f>IF(OR(H36="",I36=""),"",NETWORKDAYS(H36,I36,'Sources &amp; Change Log'!$J$2:$J$5)-COUNTIFS('Team Calendar'!$A$5:$A$12,L36,'Team Calendar'!$C$5:$C$12,"&gt;="&amp;H36,'Team Calendar'!$C$5:$C$12,"&lt;="&amp;I36,'Team Calendar'!$F$5:$F$12,"Personal absence"))</f>
        <v/>
      </c>
      <c r="L36" s="13" t="inlineStr">
        <is>
          <t>이하영</t>
        </is>
      </c>
      <c r="M36" s="13" t="inlineStr">
        <is>
          <t>이권욱</t>
        </is>
      </c>
      <c r="N36" s="13" t="inlineStr">
        <is>
          <t>D10; D12; D17; D21</t>
        </is>
      </c>
      <c r="O36" s="13" t="inlineStr">
        <is>
          <t>RISK-07; RISK-10; RISK-11; RISK-12</t>
        </is>
      </c>
      <c r="P36" s="13" t="inlineStr">
        <is>
          <t>ROSA Cluster Ready, Namespace/RBAC/NetworkPolicy/SecurityContext, Hybrid Route 및 Application 배포 선행조건과 G5 Evidence 확보</t>
        </is>
      </c>
      <c r="Q36" s="13" t="inlineStr">
        <is>
          <t>10-09는 비근무일이다. 계정·Quota·리전 전제는 G4 이전에 확인하고 Cluster 범위를 최소화한다.</t>
        </is>
      </c>
      <c r="R36" s="13" t="inlineStr">
        <is>
          <t>https://github.com/321Team/fds-project-baseline/issues/38</t>
        </is>
      </c>
      <c r="S36" s="13">
        <f>IF(G36="Done","Done",IF(I36="","End TBD",IF(I36&lt;'Executive Summary'!$B$4,"Overdue",IF(H36&gt;'Executive Summary'!$B$4,"Upcoming","Active window"))))</f>
        <v/>
      </c>
    </row>
    <row r="37" ht="44" customHeight="1">
      <c r="A37" s="13" t="inlineStr">
        <is>
          <t>MS-G4-01</t>
        </is>
      </c>
      <c r="B37" s="13" t="inlineStr">
        <is>
          <t>G4 Cloud / VPN Ready</t>
        </is>
      </c>
      <c r="C37" s="13" t="inlineStr">
        <is>
          <t>Phase 2</t>
        </is>
      </c>
      <c r="D37" s="13" t="inlineStr">
        <is>
          <t>Milestone / Cloud &amp; VPN</t>
        </is>
      </c>
      <c r="E37" s="13" t="inlineStr">
        <is>
          <t>Milestone</t>
        </is>
      </c>
      <c r="F37" s="13" t="inlineStr">
        <is>
          <t>P0</t>
        </is>
      </c>
      <c r="G37" s="13" t="inlineStr">
        <is>
          <t>To Do</t>
        </is>
      </c>
      <c r="H37" s="154" t="n">
        <v>46308</v>
      </c>
      <c r="I37" s="154" t="n">
        <v>46308</v>
      </c>
      <c r="J37" s="156">
        <f>IF(OR(H37="",I37=""),"",I37-H37+1)</f>
        <v/>
      </c>
      <c r="K37" s="156">
        <f>IF(OR(H37="",I37=""),"",NETWORKDAYS(H37,I37,'Sources &amp; Change Log'!$J$2:$J$5)-COUNTIFS('Team Calendar'!$A$5:$A$12,L37,'Team Calendar'!$C$5:$C$12,"&gt;="&amp;H37,'Team Calendar'!$C$5:$C$12,"&lt;="&amp;I37,'Team Calendar'!$F$5:$F$12,"Personal absence"))</f>
        <v/>
      </c>
      <c r="L37" s="13" t="inlineStr">
        <is>
          <t>이권욱</t>
        </is>
      </c>
      <c r="M37" s="13" t="inlineStr">
        <is>
          <t>이하영</t>
        </is>
      </c>
      <c r="N37" s="13" t="inlineStr">
        <is>
          <t>D21</t>
        </is>
      </c>
      <c r="O37" s="13" t="inlineStr">
        <is>
          <t>RISK-10; RISK-11; RISK-12</t>
        </is>
      </c>
      <c r="P37" s="13" t="inlineStr">
        <is>
          <t>Terraform 인프라, 승인 Transit/VPN, Route/Security, ROSA 선행조건 및 승인 TCP 경로 준비도 승인</t>
        </is>
      </c>
      <c r="Q37" s="13" t="inlineStr">
        <is>
          <t>10-05 비근무를 반영한다. OCI No-Go 시 승인 Fallback 기준으로 판정한다.</t>
        </is>
      </c>
      <c r="R37" s="13" t="inlineStr">
        <is>
          <t>https://github.com/321Team/fds-project-baseline/issues/39</t>
        </is>
      </c>
      <c r="S37" s="13">
        <f>IF(G37="Done","Done",IF(I37="","End TBD",IF(I37&lt;'Executive Summary'!$B$4,"Overdue",IF(H37&gt;'Executive Summary'!$B$4,"Upcoming","Active window"))))</f>
        <v/>
      </c>
    </row>
    <row r="38" ht="44" customHeight="1">
      <c r="A38" s="13" t="inlineStr">
        <is>
          <t>DEC-P2-DNS-01</t>
        </is>
      </c>
      <c r="B38" s="13" t="inlineStr">
        <is>
          <t>Hybrid DNS Scope Decision</t>
        </is>
      </c>
      <c r="C38" s="13" t="inlineStr">
        <is>
          <t>Phase 2</t>
        </is>
      </c>
      <c r="D38" s="13" t="inlineStr">
        <is>
          <t>Architecture / DNS</t>
        </is>
      </c>
      <c r="E38" s="13" t="inlineStr">
        <is>
          <t>Decision</t>
        </is>
      </c>
      <c r="F38" s="13" t="inlineStr">
        <is>
          <t>P1</t>
        </is>
      </c>
      <c r="G38" s="13" t="inlineStr">
        <is>
          <t>To Do</t>
        </is>
      </c>
      <c r="H38" s="154" t="n">
        <v>46307</v>
      </c>
      <c r="I38" s="154" t="n">
        <v>46311</v>
      </c>
      <c r="J38" s="156">
        <f>IF(OR(H38="",I38=""),"",I38-H38+1)</f>
        <v/>
      </c>
      <c r="K38" s="156">
        <f>IF(OR(H38="",I38=""),"",NETWORKDAYS(H38,I38,'Sources &amp; Change Log'!$J$2:$J$5)-COUNTIFS('Team Calendar'!$A$5:$A$12,L38,'Team Calendar'!$C$5:$C$12,"&gt;="&amp;H38,'Team Calendar'!$C$5:$C$12,"&lt;="&amp;I38,'Team Calendar'!$F$5:$F$12,"Personal absence"))</f>
        <v/>
      </c>
      <c r="L38" s="13" t="inlineStr">
        <is>
          <t>이권욱</t>
        </is>
      </c>
      <c r="M38" s="13" t="inlineStr">
        <is>
          <t>이하영</t>
        </is>
      </c>
      <c r="N38" s="13" t="inlineStr">
        <is>
          <t>D11; D23</t>
        </is>
      </c>
      <c r="O38" s="13" t="inlineStr">
        <is>
          <t>RISK-10; RISK-12</t>
        </is>
      </c>
      <c r="P38" s="13" t="inlineStr">
        <is>
          <t>P0 IP Endpoint 유지 또는 Hybrid DNS P1 적용을 확정하고 Resolver/Forwarding/Zone/Route/테스트·Cancelled 결정 근거를 승인</t>
        </is>
      </c>
      <c r="Q38" s="13" t="inlineStr">
        <is>
          <t>Hybrid P0 E2E는 IP Endpoint를 허용하므로 본 P1 결정 미완료가 G5/G6를 자동 차단하지 않는다.</t>
        </is>
      </c>
      <c r="R38" s="13" t="inlineStr">
        <is>
          <t>https://github.com/321Team/fds-project-baseline/issues/40</t>
        </is>
      </c>
      <c r="S38" s="13">
        <f>IF(G38="Done","Done",IF(I38="","End TBD",IF(I38&lt;'Executive Summary'!$B$4,"Overdue",IF(H38&gt;'Executive Summary'!$B$4,"Upcoming","Active window"))))</f>
        <v/>
      </c>
    </row>
    <row r="39" ht="44" customHeight="1">
      <c r="A39" s="13" t="inlineStr">
        <is>
          <t>DEC-P2-OP-01</t>
        </is>
      </c>
      <c r="B39" s="13" t="inlineStr">
        <is>
          <t>Operator Supply Chain Scope Decision</t>
        </is>
      </c>
      <c r="C39" s="13" t="inlineStr">
        <is>
          <t>Phase 2</t>
        </is>
      </c>
      <c r="D39" s="13" t="inlineStr">
        <is>
          <t>Architecture / Operator Supply Chain</t>
        </is>
      </c>
      <c r="E39" s="13" t="inlineStr">
        <is>
          <t>Decision</t>
        </is>
      </c>
      <c r="F39" s="13" t="inlineStr">
        <is>
          <t>P1</t>
        </is>
      </c>
      <c r="G39" s="13" t="inlineStr">
        <is>
          <t>To Do</t>
        </is>
      </c>
      <c r="H39" s="154" t="n">
        <v>46307</v>
      </c>
      <c r="I39" s="154" t="n">
        <v>46311</v>
      </c>
      <c r="J39" s="156">
        <f>IF(OR(H39="",I39=""),"",I39-H39+1)</f>
        <v/>
      </c>
      <c r="K39" s="156">
        <f>IF(OR(H39="",I39=""),"",NETWORKDAYS(H39,I39,'Sources &amp; Change Log'!$J$2:$J$5)-COUNTIFS('Team Calendar'!$A$5:$A$12,L39,'Team Calendar'!$C$5:$C$12,"&gt;="&amp;H39,'Team Calendar'!$C$5:$C$12,"&lt;="&amp;I39,'Team Calendar'!$F$5:$F$12,"Personal absence"))</f>
        <v/>
      </c>
      <c r="L39" s="13" t="inlineStr">
        <is>
          <t>이하영</t>
        </is>
      </c>
      <c r="M39" s="13" t="inlineStr">
        <is>
          <t>이권욱, 이재환</t>
        </is>
      </c>
      <c r="N39" s="13" t="inlineStr">
        <is>
          <t>D22; D26</t>
        </is>
      </c>
      <c r="O39" s="13" t="inlineStr">
        <is>
          <t>RISK-06; RISK-11; RISK-15</t>
        </is>
      </c>
      <c r="P39" s="13" t="inlineStr">
        <is>
          <t>ROSA Operator 공급망을 Direct Catalog 또는 oc-mirror/Harbor/Custom CatalogSource 중 하나로 결정하고 구현·N/A 기준 승인</t>
        </is>
      </c>
      <c r="Q39" s="13" t="inlineStr">
        <is>
          <t>D26에서 Direct Catalog 선택 시 P2-OP-01은 Cancelled 처리하고, Mirror 선택 시 P2-OP-01을 활성화한다.</t>
        </is>
      </c>
      <c r="R39" s="13" t="inlineStr">
        <is>
          <t>https://github.com/321Team/fds-project-baseline/issues/41</t>
        </is>
      </c>
      <c r="S39" s="13">
        <f>IF(G39="Done","Done",IF(I39="","End TBD",IF(I39&lt;'Executive Summary'!$B$4,"Overdue",IF(H39&gt;'Executive Summary'!$B$4,"Upcoming","Active window"))))</f>
        <v/>
      </c>
    </row>
    <row r="40" ht="44" customHeight="1">
      <c r="A40" s="13" t="inlineStr">
        <is>
          <t>DEC-P2-REG-01</t>
        </is>
      </c>
      <c r="B40" s="13" t="inlineStr">
        <is>
          <t>ROSA Image Registry Source Decision</t>
        </is>
      </c>
      <c r="C40" s="13" t="inlineStr">
        <is>
          <t>Phase 2</t>
        </is>
      </c>
      <c r="D40" s="13" t="inlineStr">
        <is>
          <t>Architecture / Registry</t>
        </is>
      </c>
      <c r="E40" s="13" t="inlineStr">
        <is>
          <t>Decision</t>
        </is>
      </c>
      <c r="F40" s="13" t="inlineStr">
        <is>
          <t>P0</t>
        </is>
      </c>
      <c r="G40" s="13" t="inlineStr">
        <is>
          <t>To Do</t>
        </is>
      </c>
      <c r="H40" s="154" t="n">
        <v>46307</v>
      </c>
      <c r="I40" s="154" t="n">
        <v>46311</v>
      </c>
      <c r="J40" s="156">
        <f>IF(OR(H40="",I40=""),"",I40-H40+1)</f>
        <v/>
      </c>
      <c r="K40" s="156">
        <f>IF(OR(H40="",I40=""),"",NETWORKDAYS(H40,I40,'Sources &amp; Change Log'!$J$2:$J$5)-COUNTIFS('Team Calendar'!$A$5:$A$12,L40,'Team Calendar'!$C$5:$C$12,"&gt;="&amp;H40,'Team Calendar'!$C$5:$C$12,"&lt;="&amp;I40,'Team Calendar'!$F$5:$F$12,"Personal absence"))</f>
        <v/>
      </c>
      <c r="L40" s="13" t="inlineStr">
        <is>
          <t>이하영</t>
        </is>
      </c>
      <c r="M40" s="13" t="inlineStr">
        <is>
          <t>이권욱, 이재환</t>
        </is>
      </c>
      <c r="N40" s="13" t="inlineStr">
        <is>
          <t>D22</t>
        </is>
      </c>
      <c r="O40" s="13" t="inlineStr">
        <is>
          <t>RISK-06; RISK-10; RISK-11; RISK-12</t>
        </is>
      </c>
      <c r="P40" s="13" t="inlineStr">
        <is>
          <t>ROSA Image Source를 On-Prem Harbor 또는 승인 Cloud Registry로 확정하고 Route·TLS·Credential·비용·Fallback을 승인</t>
        </is>
      </c>
      <c r="Q40" s="13" t="inlineStr">
        <is>
          <t>기준선의 ROSA→Harbor는 Optional이다. P2-APP-01 최종 Image 경로 전 10-16까지 확정한다.</t>
        </is>
      </c>
      <c r="R40" s="13" t="inlineStr">
        <is>
          <t>https://github.com/321Team/fds-project-baseline/issues/42</t>
        </is>
      </c>
      <c r="S40" s="13">
        <f>IF(G40="Done","Done",IF(I40="","End TBD",IF(I40&lt;'Executive Summary'!$B$4,"Overdue",IF(H40&gt;'Executive Summary'!$B$4,"Upcoming","Active window"))))</f>
        <v/>
      </c>
    </row>
    <row r="41" ht="44" customHeight="1">
      <c r="A41" s="13" t="inlineStr">
        <is>
          <t>P2-APP-01</t>
        </is>
      </c>
      <c r="B41" s="13" t="inlineStr">
        <is>
          <t>ROSA Application Deployment</t>
        </is>
      </c>
      <c r="C41" s="13" t="inlineStr">
        <is>
          <t>Phase 2</t>
        </is>
      </c>
      <c r="D41" s="13" t="inlineStr">
        <is>
          <t>Application / OpenShift</t>
        </is>
      </c>
      <c r="E41" s="13" t="inlineStr">
        <is>
          <t>Task</t>
        </is>
      </c>
      <c r="F41" s="13" t="inlineStr">
        <is>
          <t>P0</t>
        </is>
      </c>
      <c r="G41" s="13" t="inlineStr">
        <is>
          <t>To Do</t>
        </is>
      </c>
      <c r="H41" s="154" t="n">
        <v>46310</v>
      </c>
      <c r="I41" s="154" t="n">
        <v>46313</v>
      </c>
      <c r="J41" s="156">
        <f>IF(OR(H41="",I41=""),"",I41-H41+1)</f>
        <v/>
      </c>
      <c r="K41" s="156">
        <f>IF(OR(H41="",I41=""),"",NETWORKDAYS(H41,I41,'Sources &amp; Change Log'!$J$2:$J$5)-COUNTIFS('Team Calendar'!$A$5:$A$12,L41,'Team Calendar'!$C$5:$C$12,"&gt;="&amp;H41,'Team Calendar'!$C$5:$C$12,"&lt;="&amp;I41,'Team Calendar'!$F$5:$F$12,"Personal absence"))</f>
        <v/>
      </c>
      <c r="L41" s="13" t="inlineStr">
        <is>
          <t>이재환</t>
        </is>
      </c>
      <c r="M41" s="13" t="inlineStr">
        <is>
          <t>이하영</t>
        </is>
      </c>
      <c r="N41" s="13" t="inlineStr">
        <is>
          <t>D03; D22</t>
        </is>
      </c>
      <c r="O41" s="13" t="inlineStr">
        <is>
          <t>RISK-06; RISK-07; RISK-11</t>
        </is>
      </c>
      <c r="P41" s="13" t="inlineStr">
        <is>
          <t>Phase 1과 동일한 transaction-api/fds-engine Image/Contract를 ROSA에 배포하고 Route/Health/Rule 기본검증 PASS</t>
        </is>
      </c>
      <c r="Q41" s="13" t="inlineStr">
        <is>
          <t>Image Source는 D22 결정에 따르며 Harbor 사용을 사전 가정하지 않는다. Manifest/Image 계약은 P2-CICD-01의 Runner 기반 ROSA Delivery에 연결한다.</t>
        </is>
      </c>
      <c r="R41" s="13" t="inlineStr">
        <is>
          <t>https://github.com/321Team/fds-project-baseline/issues/43</t>
        </is>
      </c>
      <c r="S41" s="13">
        <f>IF(G41="Done","Done",IF(I41="","End TBD",IF(I41&lt;'Executive Summary'!$B$4,"Overdue",IF(H41&gt;'Executive Summary'!$B$4,"Upcoming","Active window"))))</f>
        <v/>
      </c>
    </row>
    <row r="42" ht="44" customHeight="1">
      <c r="A42" s="13" t="inlineStr">
        <is>
          <t>P2-OADP-01</t>
        </is>
      </c>
      <c r="B42" s="13" t="inlineStr">
        <is>
          <t>OADP / S3 Backup</t>
        </is>
      </c>
      <c r="C42" s="13" t="inlineStr">
        <is>
          <t>Phase 2</t>
        </is>
      </c>
      <c r="D42" s="13" t="inlineStr">
        <is>
          <t>Backup / OpenShift</t>
        </is>
      </c>
      <c r="E42" s="13" t="inlineStr">
        <is>
          <t>Task</t>
        </is>
      </c>
      <c r="F42" s="13" t="inlineStr">
        <is>
          <t>P0</t>
        </is>
      </c>
      <c r="G42" s="13" t="inlineStr">
        <is>
          <t>To Do</t>
        </is>
      </c>
      <c r="H42" s="154" t="n">
        <v>46312</v>
      </c>
      <c r="I42" s="154" t="n">
        <v>46317</v>
      </c>
      <c r="J42" s="156">
        <f>IF(OR(H42="",I42=""),"",I42-H42+1)</f>
        <v/>
      </c>
      <c r="K42" s="156">
        <f>IF(OR(H42="",I42=""),"",NETWORKDAYS(H42,I42,'Sources &amp; Change Log'!$J$2:$J$5)-COUNTIFS('Team Calendar'!$A$5:$A$12,L42,'Team Calendar'!$C$5:$C$12,"&gt;="&amp;H42,'Team Calendar'!$C$5:$C$12,"&lt;="&amp;I42,'Team Calendar'!$F$5:$F$12,"Personal absence"))</f>
        <v/>
      </c>
      <c r="L42" s="13" t="inlineStr">
        <is>
          <t>이하영</t>
        </is>
      </c>
      <c r="M42" s="13" t="inlineStr">
        <is>
          <t>이권욱</t>
        </is>
      </c>
      <c r="N42" s="13" t="inlineStr">
        <is>
          <t>D12</t>
        </is>
      </c>
      <c r="O42" s="13" t="inlineStr">
        <is>
          <t>RISK-11; RISK-12</t>
        </is>
      </c>
      <c r="P42" s="13" t="inlineStr">
        <is>
          <t>OADP→S3 443, Backup 대상·Credential·Schedule, Restore 또는 승인 복구검증과 Evidence 확보</t>
        </is>
      </c>
      <c r="Q42" s="13" t="inlineStr">
        <is>
          <t>Backup 생성만으로 DONE 처리하지 않고 Restore 또는 승인된 복구 검증이 필요하다.</t>
        </is>
      </c>
      <c r="R42" s="13" t="inlineStr">
        <is>
          <t>https://github.com/321Team/fds-project-baseline/issues/44</t>
        </is>
      </c>
      <c r="S42" s="13">
        <f>IF(G42="Done","Done",IF(I42="","End TBD",IF(I42&lt;'Executive Summary'!$B$4,"Overdue",IF(H42&gt;'Executive Summary'!$B$4,"Upcoming","Active window"))))</f>
        <v/>
      </c>
    </row>
    <row r="43" ht="44" customHeight="1">
      <c r="A43" s="13" t="inlineStr">
        <is>
          <t>MS-G5-01</t>
        </is>
      </c>
      <c r="B43" s="13" t="inlineStr">
        <is>
          <t>G5 ROSA Application Ready</t>
        </is>
      </c>
      <c r="C43" s="13" t="inlineStr">
        <is>
          <t>Phase 2</t>
        </is>
      </c>
      <c r="D43" s="13" t="inlineStr">
        <is>
          <t>Milestone / ROSA Application</t>
        </is>
      </c>
      <c r="E43" s="13" t="inlineStr">
        <is>
          <t>Milestone</t>
        </is>
      </c>
      <c r="F43" s="13" t="inlineStr">
        <is>
          <t>P0</t>
        </is>
      </c>
      <c r="G43" s="13" t="inlineStr">
        <is>
          <t>To Do</t>
        </is>
      </c>
      <c r="H43" s="154" t="n">
        <v>46313</v>
      </c>
      <c r="I43" s="154" t="n">
        <v>46313</v>
      </c>
      <c r="J43" s="156">
        <f>IF(OR(H43="",I43=""),"",I43-H43+1)</f>
        <v/>
      </c>
      <c r="K43" s="156">
        <f>IF(OR(H43="",I43=""),"",NETWORKDAYS(H43,I43,'Sources &amp; Change Log'!$J$2:$J$5)-COUNTIFS('Team Calendar'!$A$5:$A$12,L43,'Team Calendar'!$C$5:$C$12,"&gt;="&amp;H43,'Team Calendar'!$C$5:$C$12,"&lt;="&amp;I43,'Team Calendar'!$F$5:$F$12,"Personal absence"))</f>
        <v/>
      </c>
      <c r="L43" s="13" t="inlineStr">
        <is>
          <t>이하영</t>
        </is>
      </c>
      <c r="M43" s="13" t="inlineStr">
        <is>
          <t>이권욱, 이재환</t>
        </is>
      </c>
      <c r="N43" s="13" t="inlineStr">
        <is>
          <t>D22; D23; D25; D26</t>
        </is>
      </c>
      <c r="O43" s="13" t="inlineStr">
        <is>
          <t>RISK-06; RISK-07; RISK-11; RISK-12</t>
        </is>
      </c>
      <c r="P43" s="13" t="inlineStr">
        <is>
          <t>ROSA Platform/Security, P2-CICD-01 Runner 기반 Delivery, transaction-api/fds-engine Health·Rule Smoke Test와 Registry/DNS/Operator Decision 상태 승인</t>
        </is>
      </c>
      <c r="Q43" s="13" t="inlineStr">
        <is>
          <t>Registry는 D22, Hybrid DNS는 D23을 따른다. D23 미적용은 P0 IP Endpoint 사용 시 Non-blocker다.</t>
        </is>
      </c>
      <c r="R43" s="13" t="inlineStr">
        <is>
          <t>https://github.com/321Team/fds-project-baseline/issues/45</t>
        </is>
      </c>
      <c r="S43" s="13">
        <f>IF(G43="Done","Done",IF(I43="","End TBD",IF(I43&lt;'Executive Summary'!$B$4,"Overdue",IF(H43&gt;'Executive Summary'!$B$4,"Upcoming","Active window"))))</f>
        <v/>
      </c>
    </row>
    <row r="44" ht="44" customHeight="1">
      <c r="A44" s="13" t="inlineStr">
        <is>
          <t>P2-CICD-01</t>
        </is>
      </c>
      <c r="B44" s="13" t="inlineStr">
        <is>
          <t>Runner to ROSA Delivery</t>
        </is>
      </c>
      <c r="C44" s="13" t="inlineStr">
        <is>
          <t>Phase 2</t>
        </is>
      </c>
      <c r="D44" s="13" t="inlineStr">
        <is>
          <t>CI/CD / OpenShift Delivery</t>
        </is>
      </c>
      <c r="E44" s="13" t="inlineStr">
        <is>
          <t>Task</t>
        </is>
      </c>
      <c r="F44" s="13" t="inlineStr">
        <is>
          <t>P0</t>
        </is>
      </c>
      <c r="G44" s="13" t="inlineStr">
        <is>
          <t>To Do</t>
        </is>
      </c>
      <c r="H44" s="154" t="n">
        <v>46313</v>
      </c>
      <c r="I44" s="154" t="n">
        <v>46313</v>
      </c>
      <c r="J44" s="156">
        <f>IF(OR(H44="",I44=""),"",I44-H44+1)</f>
        <v/>
      </c>
      <c r="K44" s="156">
        <f>IF(OR(H44="",I44=""),"",NETWORKDAYS(H44,I44,'Sources &amp; Change Log'!$J$2:$J$5)-COUNTIFS('Team Calendar'!$A$5:$A$12,L44,'Team Calendar'!$C$5:$C$12,"&gt;="&amp;H44,'Team Calendar'!$C$5:$C$12,"&lt;="&amp;I44,'Team Calendar'!$F$5:$F$12,"Personal absence"))</f>
        <v/>
      </c>
      <c r="L44" s="13" t="inlineStr">
        <is>
          <t>이권욱</t>
        </is>
      </c>
      <c r="M44" s="13" t="inlineStr">
        <is>
          <t>이하영, 이재환</t>
        </is>
      </c>
      <c r="N44" s="13" t="inlineStr">
        <is>
          <t>D22; D25</t>
        </is>
      </c>
      <c r="O44" s="13" t="inlineStr">
        <is>
          <t>RISK-06; RISK-08; RISK-11; RISK-14</t>
        </is>
      </c>
      <c r="P44" s="13" t="inlineStr">
        <is>
          <t>GitHub→Self-hosted Runner→승인 Registry→ROSA Deploy→Health/Rule Smoke Test 흐름과 실패 시 배포차단 Evidence 확보</t>
        </is>
      </c>
      <c r="Q44" s="13" t="inlineStr">
        <is>
          <t>P2-ROSA-01과 P2-APP-01의 Manifest/Image 계약을 사용하고 Registry는 D22 결과를 따른다. G5 ROSA Application Ready에 연결한다. 2026-09-11 사용자 지시에 따라 End를 G5 목표 2026-10-16으로 앞당겼다. Start 10/16 유지, Calendar Days/Working Days 1/1. 선행 작업과 가용성에 따라 조정 가능한 계획이며 Runtime 완료 판정은 아니다.</t>
        </is>
      </c>
      <c r="R44" s="13" t="inlineStr">
        <is>
          <t>https://github.com/321Team/fds-project-baseline/issues/46</t>
        </is>
      </c>
      <c r="S44" s="13">
        <f>IF(G44="Done","Done",IF(I44="","End TBD",IF(I44&lt;'Executive Summary'!$B$4,"Overdue",IF(H44&gt;'Executive Summary'!$B$4,"Upcoming","Active window"))))</f>
        <v/>
      </c>
    </row>
    <row r="45" ht="44" customHeight="1">
      <c r="A45" s="13" t="inlineStr">
        <is>
          <t>P2-HYB-01</t>
        </is>
      </c>
      <c r="B45" s="13" t="inlineStr">
        <is>
          <t>Hybrid DB / Registry Integration</t>
        </is>
      </c>
      <c r="C45" s="13" t="inlineStr">
        <is>
          <t>Phase 2</t>
        </is>
      </c>
      <c r="D45" s="13" t="inlineStr">
        <is>
          <t>Hybrid Integration</t>
        </is>
      </c>
      <c r="E45" s="13" t="inlineStr">
        <is>
          <t>Task</t>
        </is>
      </c>
      <c r="F45" s="13" t="inlineStr">
        <is>
          <t>P0</t>
        </is>
      </c>
      <c r="G45" s="13" t="inlineStr">
        <is>
          <t>To Do</t>
        </is>
      </c>
      <c r="H45" s="154" t="n">
        <v>46313</v>
      </c>
      <c r="I45" s="154" t="n">
        <v>46317</v>
      </c>
      <c r="J45" s="156">
        <f>IF(OR(H45="",I45=""),"",I45-H45+1)</f>
        <v/>
      </c>
      <c r="K45" s="156">
        <f>IF(OR(H45="",I45=""),"",NETWORKDAYS(H45,I45,'Sources &amp; Change Log'!$J$2:$J$5)-COUNTIFS('Team Calendar'!$A$5:$A$12,L45,'Team Calendar'!$C$5:$C$12,"&gt;="&amp;H45,'Team Calendar'!$C$5:$C$12,"&lt;="&amp;I45,'Team Calendar'!$F$5:$F$12,"Personal absence"))</f>
        <v/>
      </c>
      <c r="L45" s="13" t="inlineStr">
        <is>
          <t>이재환</t>
        </is>
      </c>
      <c r="M45" s="13" t="inlineStr">
        <is>
          <t>이권욱, 이하영</t>
        </is>
      </c>
      <c r="N45" s="13" t="inlineStr">
        <is>
          <t>D21; D22; D23</t>
        </is>
      </c>
      <c r="O45" s="13" t="inlineStr">
        <is>
          <t>RISK-09; RISK-10; RISK-11; RISK-12</t>
        </is>
      </c>
      <c r="P45" s="13" t="inlineStr">
        <is>
          <t>ROSA→On-Prem db01 .55:5432와 승인 Registry 경로의 Route·Security·Source·Application 통합 검증 PASS</t>
        </is>
      </c>
      <c r="Q45" s="13" t="inlineStr">
        <is>
          <t>Harbor는 D22에 따라 사용 또는 Cancelled 처리한다. Hybrid DNS는 D23에 따라 적용 또는 IP Endpoint로 검증한다.</t>
        </is>
      </c>
      <c r="R45" s="13" t="inlineStr">
        <is>
          <t>https://github.com/321Team/fds-project-baseline/issues/47</t>
        </is>
      </c>
      <c r="S45" s="13">
        <f>IF(G45="Done","Done",IF(I45="","End TBD",IF(I45&lt;'Executive Summary'!$B$4,"Overdue",IF(H45&gt;'Executive Summary'!$B$4,"Upcoming","Active window"))))</f>
        <v/>
      </c>
    </row>
    <row r="46" ht="44" customHeight="1">
      <c r="A46" s="13" t="inlineStr">
        <is>
          <t>P2-DNS-01</t>
        </is>
      </c>
      <c r="B46" s="13" t="inlineStr">
        <is>
          <t>Hybrid DNS Implementation Conditional</t>
        </is>
      </c>
      <c r="C46" s="13" t="inlineStr">
        <is>
          <t>Phase 2</t>
        </is>
      </c>
      <c r="D46" s="13" t="inlineStr">
        <is>
          <t>DNS / Hybrid Integration</t>
        </is>
      </c>
      <c r="E46" s="13" t="inlineStr">
        <is>
          <t>Task</t>
        </is>
      </c>
      <c r="F46" s="13" t="inlineStr">
        <is>
          <t>P1</t>
        </is>
      </c>
      <c r="G46" s="13" t="inlineStr">
        <is>
          <t>To Do</t>
        </is>
      </c>
      <c r="H46" s="154" t="n">
        <v>46315</v>
      </c>
      <c r="I46" s="154" t="n">
        <v>46316</v>
      </c>
      <c r="J46" s="156">
        <f>IF(OR(H46="",I46=""),"",I46-H46+1)</f>
        <v/>
      </c>
      <c r="K46" s="156">
        <f>IF(OR(H46="",I46=""),"",NETWORKDAYS(H46,I46,'Sources &amp; Change Log'!$J$2:$J$5)-COUNTIFS('Team Calendar'!$A$5:$A$12,L46,'Team Calendar'!$C$5:$C$12,"&gt;="&amp;H46,'Team Calendar'!$C$5:$C$12,"&lt;="&amp;I46,'Team Calendar'!$F$5:$F$12,"Personal absence"))</f>
        <v/>
      </c>
      <c r="L46" s="13" t="inlineStr">
        <is>
          <t>이권욱</t>
        </is>
      </c>
      <c r="M46" s="13" t="inlineStr">
        <is>
          <t>이하영, 이재환</t>
        </is>
      </c>
      <c r="N46" s="13" t="inlineStr">
        <is>
          <t>D11; D23</t>
        </is>
      </c>
      <c r="O46" s="13" t="inlineStr">
        <is>
          <t>RISK-10; RISK-12; RISK-15</t>
        </is>
      </c>
      <c r="P46" s="13" t="inlineStr">
        <is>
          <t>D23이 Hybrid DNS를 선택한 경우 Resolver/Conditional Forwarding/Route/Query Test PASS; IP Endpoint 유지 시 Cancelled 결정 근거 승인</t>
        </is>
      </c>
      <c r="Q46" s="13" t="inlineStr">
        <is>
          <t>DEC-P2-DNS-01 / D23 결정 결과가 미구현이면 Status=Cancelled와 결정 근거를 기록한다. 구현 시 Hybrid E2E IP Endpoint에 대한 영향을 검증한다.</t>
        </is>
      </c>
      <c r="R46" s="13" t="inlineStr">
        <is>
          <t>https://github.com/321Team/fds-project-baseline/issues/48</t>
        </is>
      </c>
      <c r="S46" s="13">
        <f>IF(G46="Done","Done",IF(I46="","End TBD",IF(I46&lt;'Executive Summary'!$B$4,"Overdue",IF(H46&gt;'Executive Summary'!$B$4,"Upcoming","Active window"))))</f>
        <v/>
      </c>
    </row>
    <row r="47" ht="44" customHeight="1">
      <c r="A47" s="13" t="inlineStr">
        <is>
          <t>P2-DOC-01</t>
        </is>
      </c>
      <c r="B47" s="13" t="inlineStr">
        <is>
          <t>Cloud / Hybrid Deliverable Freeze</t>
        </is>
      </c>
      <c r="C47" s="13" t="inlineStr">
        <is>
          <t>Phase 2</t>
        </is>
      </c>
      <c r="D47" s="13" t="inlineStr">
        <is>
          <t>PMO / Documentation</t>
        </is>
      </c>
      <c r="E47" s="13" t="inlineStr">
        <is>
          <t>Task</t>
        </is>
      </c>
      <c r="F47" s="13" t="inlineStr">
        <is>
          <t>P0</t>
        </is>
      </c>
      <c r="G47" s="13" t="inlineStr">
        <is>
          <t>To Do</t>
        </is>
      </c>
      <c r="H47" s="154" t="n">
        <v>46315</v>
      </c>
      <c r="I47" s="154" t="n">
        <v>46318</v>
      </c>
      <c r="J47" s="156">
        <f>IF(OR(H47="",I47=""),"",I47-H47+1)</f>
        <v/>
      </c>
      <c r="K47" s="156">
        <f>IF(OR(H47="",I47=""),"",NETWORKDAYS(H47,I47,'Sources &amp; Change Log'!$J$2:$J$5)-COUNTIFS('Team Calendar'!$A$5:$A$12,L47,'Team Calendar'!$C$5:$C$12,"&gt;="&amp;H47,'Team Calendar'!$C$5:$C$12,"&lt;="&amp;I47,'Team Calendar'!$F$5:$F$12,"Personal absence"))</f>
        <v/>
      </c>
      <c r="L47" s="13" t="inlineStr">
        <is>
          <t>이권욱</t>
        </is>
      </c>
      <c r="M47" s="13" t="inlineStr">
        <is>
          <t>이하영, 이재환</t>
        </is>
      </c>
      <c r="N47" s="13" t="inlineStr">
        <is>
          <t>D12; D21; D22; D23; D24; D25; D26</t>
        </is>
      </c>
      <c r="O47" s="13" t="inlineStr">
        <is>
          <t>RISK-10; RISK-11; RISK-12; RISK-13</t>
        </is>
      </c>
      <c r="P47" s="13" t="inlineStr">
        <is>
          <t>Terraform/ROSA/VPN/Hybrid Architecture, CI/CD, Test/Evidence, Backup/Recovery Runbook, D22/D23/D26 Decision, Known Issue 및 Deliverable Freeze 승인</t>
        </is>
      </c>
      <c r="Q47" s="13" t="inlineStr">
        <is>
          <t>10-23 Deliverable Freeze와 DEC-CAL-P2-01을 함께 완료한다.</t>
        </is>
      </c>
      <c r="R47" s="13" t="inlineStr">
        <is>
          <t>https://github.com/321Team/fds-project-baseline/issues/49</t>
        </is>
      </c>
      <c r="S47" s="13">
        <f>IF(G47="Done","Done",IF(I47="","End TBD",IF(I47&lt;'Executive Summary'!$B$4,"Overdue",IF(H47&gt;'Executive Summary'!$B$4,"Upcoming","Active window"))))</f>
        <v/>
      </c>
    </row>
    <row r="48" ht="44" customHeight="1">
      <c r="A48" s="13" t="inlineStr">
        <is>
          <t>P2-E2E-01</t>
        </is>
      </c>
      <c r="B48" s="13" t="inlineStr">
        <is>
          <t>Hybrid E2E / Regression</t>
        </is>
      </c>
      <c r="C48" s="13" t="inlineStr">
        <is>
          <t>Phase 2</t>
        </is>
      </c>
      <c r="D48" s="13" t="inlineStr">
        <is>
          <t>QA / Hybrid E2E</t>
        </is>
      </c>
      <c r="E48" s="13" t="inlineStr">
        <is>
          <t>Task</t>
        </is>
      </c>
      <c r="F48" s="13" t="inlineStr">
        <is>
          <t>P0</t>
        </is>
      </c>
      <c r="G48" s="13" t="inlineStr">
        <is>
          <t>To Do</t>
        </is>
      </c>
      <c r="H48" s="154" t="n">
        <v>46315</v>
      </c>
      <c r="I48" s="154" t="n">
        <v>46317</v>
      </c>
      <c r="J48" s="156">
        <f>IF(OR(H48="",I48=""),"",I48-H48+1)</f>
        <v/>
      </c>
      <c r="K48" s="156">
        <f>IF(OR(H48="",I48=""),"",NETWORKDAYS(H48,I48,'Sources &amp; Change Log'!$J$2:$J$5)-COUNTIFS('Team Calendar'!$A$5:$A$12,L48,'Team Calendar'!$C$5:$C$12,"&gt;="&amp;H48,'Team Calendar'!$C$5:$C$12,"&lt;="&amp;I48,'Team Calendar'!$F$5:$F$12,"Personal absence"))</f>
        <v/>
      </c>
      <c r="L48" s="13" t="inlineStr">
        <is>
          <t>이재환</t>
        </is>
      </c>
      <c r="M48" s="13" t="inlineStr">
        <is>
          <t>이권욱, 이하영</t>
        </is>
      </c>
      <c r="N48" s="13" t="inlineStr">
        <is>
          <t>D21; D22; D23</t>
        </is>
      </c>
      <c r="O48" s="13" t="inlineStr">
        <is>
          <t>RISK-09; RISK-10; RISK-11; RISK-12</t>
        </is>
      </c>
      <c r="P48" s="13" t="inlineStr">
        <is>
          <t>ROSA transaction-api→fds-engine→On-Prem PostgreSQL Hybrid E2E, Rule/Negative/Recovery Regression PASS와 Critical Issue 0</t>
        </is>
      </c>
      <c r="Q48" s="13" t="inlineStr">
        <is>
          <t>IP Endpoint와 Registry N/A 여부는 승인 Decision 결과를 Expected에 반영한다.</t>
        </is>
      </c>
      <c r="R48" s="13" t="inlineStr">
        <is>
          <t>https://github.com/321Team/fds-project-baseline/issues/50</t>
        </is>
      </c>
      <c r="S48" s="13">
        <f>IF(G48="Done","Done",IF(I48="","End TBD",IF(I48&lt;'Executive Summary'!$B$4,"Overdue",IF(H48&gt;'Executive Summary'!$B$4,"Upcoming","Active window"))))</f>
        <v/>
      </c>
    </row>
    <row r="49" ht="44" customHeight="1">
      <c r="A49" s="13" t="inlineStr">
        <is>
          <t>P2-OP-01</t>
        </is>
      </c>
      <c r="B49" s="13" t="inlineStr">
        <is>
          <t>Operator Supply Chain Implementation Conditional</t>
        </is>
      </c>
      <c r="C49" s="13" t="inlineStr">
        <is>
          <t>Phase 2</t>
        </is>
      </c>
      <c r="D49" s="13" t="inlineStr">
        <is>
          <t>Operator Supply Chain</t>
        </is>
      </c>
      <c r="E49" s="13" t="inlineStr">
        <is>
          <t>Task</t>
        </is>
      </c>
      <c r="F49" s="13" t="inlineStr">
        <is>
          <t>P1</t>
        </is>
      </c>
      <c r="G49" s="13" t="inlineStr">
        <is>
          <t>To Do</t>
        </is>
      </c>
      <c r="H49" s="154" t="n">
        <v>46315</v>
      </c>
      <c r="I49" s="154" t="n">
        <v>46316</v>
      </c>
      <c r="J49" s="156">
        <f>IF(OR(H49="",I49=""),"",I49-H49+1)</f>
        <v/>
      </c>
      <c r="K49" s="156">
        <f>IF(OR(H49="",I49=""),"",NETWORKDAYS(H49,I49,'Sources &amp; Change Log'!$J$2:$J$5)-COUNTIFS('Team Calendar'!$A$5:$A$12,L49,'Team Calendar'!$C$5:$C$12,"&gt;="&amp;H49,'Team Calendar'!$C$5:$C$12,"&lt;="&amp;I49,'Team Calendar'!$F$5:$F$12,"Personal absence"))</f>
        <v/>
      </c>
      <c r="L49" s="13" t="inlineStr">
        <is>
          <t>이하영</t>
        </is>
      </c>
      <c r="M49" s="13" t="inlineStr">
        <is>
          <t>이권욱, 이재환</t>
        </is>
      </c>
      <c r="N49" s="13" t="inlineStr">
        <is>
          <t>D22; D26</t>
        </is>
      </c>
      <c r="O49" s="13" t="inlineStr">
        <is>
          <t>RISK-06; RISK-11; RISK-15</t>
        </is>
      </c>
      <c r="P49" s="13" t="inlineStr">
        <is>
          <t>D26이 Mirror를 선택한 경우 oc-mirror ImageSet·Harbor Push·Custom CatalogSource·Package 조회 PASS; Direct Catalog 선택 시 Cancelled 결정 근거 승인</t>
        </is>
      </c>
      <c r="Q49" s="13" t="inlineStr">
        <is>
          <t>DEC-P2-OP-01 / D26에서 Direct Catalog를 선택하면 Status=Cancelled와 결정 근거를 기록한다. Mirror 선택 시 구현을 진행한다.</t>
        </is>
      </c>
      <c r="R49" s="13" t="inlineStr">
        <is>
          <t>https://github.com/321Team/fds-project-baseline/issues/51</t>
        </is>
      </c>
      <c r="S49" s="13">
        <f>IF(G49="Done","Done",IF(I49="","End TBD",IF(I49&lt;'Executive Summary'!$B$4,"Overdue",IF(H49&gt;'Executive Summary'!$B$4,"Upcoming","Active window"))))</f>
        <v/>
      </c>
    </row>
    <row r="50" ht="44" customHeight="1">
      <c r="A50" s="13" t="inlineStr">
        <is>
          <t>DEC-CAL-P2-01</t>
        </is>
      </c>
      <c r="B50" s="13" t="inlineStr">
        <is>
          <t>Phase 2 Weekend Review Decision</t>
        </is>
      </c>
      <c r="C50" s="13" t="inlineStr">
        <is>
          <t>Phase 2</t>
        </is>
      </c>
      <c r="D50" s="13" t="inlineStr">
        <is>
          <t>Schedule / Governance</t>
        </is>
      </c>
      <c r="E50" s="13" t="inlineStr">
        <is>
          <t>Decision</t>
        </is>
      </c>
      <c r="F50" s="13" t="inlineStr">
        <is>
          <t>P0</t>
        </is>
      </c>
      <c r="G50" s="13" t="inlineStr">
        <is>
          <t>To Do</t>
        </is>
      </c>
      <c r="H50" s="154" t="n">
        <v>46317</v>
      </c>
      <c r="I50" s="154" t="n">
        <v>46317</v>
      </c>
      <c r="J50" s="156">
        <f>IF(OR(H50="",I50=""),"",I50-H50+1)</f>
        <v/>
      </c>
      <c r="K50" s="156">
        <f>IF(OR(H50="",I50=""),"",NETWORKDAYS(H50,I50,'Sources &amp; Change Log'!$J$2:$J$5)-COUNTIFS('Team Calendar'!$A$5:$A$12,L50,'Team Calendar'!$C$5:$C$12,"&gt;="&amp;H50,'Team Calendar'!$C$5:$C$12,"&lt;="&amp;I50,'Team Calendar'!$F$5:$F$12,"Personal absence"))</f>
        <v/>
      </c>
      <c r="L50" s="13" t="inlineStr">
        <is>
          <t>이권욱</t>
        </is>
      </c>
      <c r="M50" s="13" t="inlineStr">
        <is>
          <t>이하영, 이재환</t>
        </is>
      </c>
      <c r="N50" s="13" t="inlineStr">
        <is>
          <t>D24</t>
        </is>
      </c>
      <c r="O50" s="13" t="inlineStr">
        <is>
          <t>RISK-05; RISK-13</t>
        </is>
      </c>
      <c r="P50" s="13" t="inlineStr">
        <is>
          <t>10-24 토요일 Review 유지 또는 영업일 재배치, 참석자·승인권자·시간·Project Close 영향도를 확정하고 WBS 동기화</t>
        </is>
      </c>
      <c r="Q50" s="13" t="inlineStr">
        <is>
          <t>교육장 주말 작업 불가를 반영해 10-22까지 평일 10-23 오후 Review의 참석자·시간을 확정한다. 상태는 To Do다. 실제 상태·완료 판정은 유지한다. 세부 배정: Fast Track Plan 시트.</t>
        </is>
      </c>
      <c r="R50" s="13" t="inlineStr">
        <is>
          <t>https://github.com/321Team/fds-project-baseline/issues/52</t>
        </is>
      </c>
      <c r="S50" s="13">
        <f>IF(G50="Done","Done",IF(I50="",IF(F50="P1","Deferred P1","End TBD"),IF(I50&lt;'Executive Summary'!$B$4,"Overdue",IF(H50&gt;'Executive Summary'!$B$4,"Upcoming","Active window"))))</f>
        <v/>
      </c>
    </row>
    <row r="51" ht="44" customHeight="1">
      <c r="A51" s="13" t="inlineStr">
        <is>
          <t>MS-G6-01</t>
        </is>
      </c>
      <c r="B51" s="13" t="inlineStr">
        <is>
          <t>G6 Hybrid Integration Ready</t>
        </is>
      </c>
      <c r="C51" s="13" t="inlineStr">
        <is>
          <t>Phase 2</t>
        </is>
      </c>
      <c r="D51" s="13" t="inlineStr">
        <is>
          <t>Milestone / Hybrid Integration</t>
        </is>
      </c>
      <c r="E51" s="13" t="inlineStr">
        <is>
          <t>Milestone</t>
        </is>
      </c>
      <c r="F51" s="13" t="inlineStr">
        <is>
          <t>P0</t>
        </is>
      </c>
      <c r="G51" s="13" t="inlineStr">
        <is>
          <t>To Do</t>
        </is>
      </c>
      <c r="H51" s="154" t="n">
        <v>46317</v>
      </c>
      <c r="I51" s="154" t="n">
        <v>46317</v>
      </c>
      <c r="J51" s="156">
        <f>IF(OR(H51="",I51=""),"",I51-H51+1)</f>
        <v/>
      </c>
      <c r="K51" s="156">
        <f>IF(OR(H51="",I51=""),"",NETWORKDAYS(H51,I51,'Sources &amp; Change Log'!$J$2:$J$5)-COUNTIFS('Team Calendar'!$A$5:$A$12,L51,'Team Calendar'!$C$5:$C$12,"&gt;="&amp;H51,'Team Calendar'!$C$5:$C$12,"&lt;="&amp;I51,'Team Calendar'!$F$5:$F$12,"Personal absence"))</f>
        <v/>
      </c>
      <c r="L51" s="13" t="inlineStr">
        <is>
          <t>이권욱</t>
        </is>
      </c>
      <c r="M51" s="13" t="inlineStr">
        <is>
          <t>이하영, 이재환</t>
        </is>
      </c>
      <c r="N51" s="13" t="inlineStr">
        <is>
          <t>D21; D22; D23; D26</t>
        </is>
      </c>
      <c r="O51" s="13" t="inlineStr">
        <is>
          <t>RISK-09; RISK-10; RISK-11; RISK-12</t>
        </is>
      </c>
      <c r="P51" s="13" t="inlineStr">
        <is>
          <t>Hybrid DB/Registry Integration, OADP 복구검증, Hybrid E2E/Regression, Critical Issue 0을 승인</t>
        </is>
      </c>
      <c r="Q51" s="13" t="inlineStr">
        <is>
          <t>Hybrid DNS와 Operator 공급망은 D23/D26 결과에 따라 구현 또는 Cancelled 처리한다. 같은 날 DEC-CAL-P2-01 검토를 시작해 Review 일정을 10-23까지 확정한다.</t>
        </is>
      </c>
      <c r="R51" s="13" t="inlineStr">
        <is>
          <t>https://github.com/321Team/fds-project-baseline/issues/53</t>
        </is>
      </c>
      <c r="S51" s="13">
        <f>IF(G51="Done","Done",IF(I51="","End TBD",IF(I51&lt;'Executive Summary'!$B$4,"Overdue",IF(H51&gt;'Executive Summary'!$B$4,"Upcoming","Active window"))))</f>
        <v/>
      </c>
    </row>
    <row r="52" ht="44" customHeight="1">
      <c r="A52" s="13" t="inlineStr">
        <is>
          <t>MS-DELIVERABLE-FREEZE-01</t>
        </is>
      </c>
      <c r="B52" s="13" t="inlineStr">
        <is>
          <t>Deliverable Freeze</t>
        </is>
      </c>
      <c r="C52" s="13" t="inlineStr">
        <is>
          <t>Phase 2</t>
        </is>
      </c>
      <c r="D52" s="13" t="inlineStr">
        <is>
          <t>Milestone / Deliverable</t>
        </is>
      </c>
      <c r="E52" s="13" t="inlineStr">
        <is>
          <t>Milestone</t>
        </is>
      </c>
      <c r="F52" s="13" t="inlineStr">
        <is>
          <t>P0</t>
        </is>
      </c>
      <c r="G52" s="13" t="inlineStr">
        <is>
          <t>To Do</t>
        </is>
      </c>
      <c r="H52" s="154" t="n">
        <v>46318</v>
      </c>
      <c r="I52" s="154" t="n">
        <v>46318</v>
      </c>
      <c r="J52" s="156">
        <f>IF(OR(H52="",I52=""),"",I52-H52+1)</f>
        <v/>
      </c>
      <c r="K52" s="156">
        <f>IF(OR(H52="",I52=""),"",NETWORKDAYS(H52,I52,'Sources &amp; Change Log'!$J$2:$J$5)-COUNTIFS('Team Calendar'!$A$5:$A$12,L52,'Team Calendar'!$C$5:$C$12,"&gt;="&amp;H52,'Team Calendar'!$C$5:$C$12,"&lt;="&amp;I52,'Team Calendar'!$F$5:$F$12,"Personal absence"))</f>
        <v/>
      </c>
      <c r="L52" s="13" t="inlineStr">
        <is>
          <t>이권욱</t>
        </is>
      </c>
      <c r="M52" s="13" t="inlineStr">
        <is>
          <t>이하영, 이재환</t>
        </is>
      </c>
      <c r="N52" s="13" t="inlineStr">
        <is>
          <t>D12; D21; D22; D23; D24</t>
        </is>
      </c>
      <c r="O52" s="13" t="inlineStr">
        <is>
          <t>RISK-10; RISK-11; RISK-12; RISK-13</t>
        </is>
      </c>
      <c r="P52" s="13" t="inlineStr">
        <is>
          <t>Architecture/IaC/Test/Runbook/Evidence/Decision/Known Issue의 최종 Version과 변경금지를 승인</t>
        </is>
      </c>
      <c r="Q52" s="13" t="inlineStr">
        <is>
          <t>Freeze 이후 변경은 Review Action 또는 Change Request로만 허용한다.</t>
        </is>
      </c>
      <c r="R52" s="13" t="inlineStr">
        <is>
          <t>https://github.com/321Team/fds-project-baseline/issues/54</t>
        </is>
      </c>
      <c r="S52" s="13">
        <f>IF(G52="Done","Done",IF(I52="","End TBD",IF(I52&lt;'Executive Summary'!$B$4,"Overdue",IF(H52&gt;'Executive Summary'!$B$4,"Upcoming","Active window"))))</f>
        <v/>
      </c>
    </row>
    <row r="53" ht="44" customHeight="1">
      <c r="A53" s="13" t="inlineStr">
        <is>
          <t>P2-REV-01</t>
        </is>
      </c>
      <c r="B53" s="13" t="inlineStr">
        <is>
          <t>Phase 2 Review / Project Close Execution</t>
        </is>
      </c>
      <c r="C53" s="13" t="inlineStr">
        <is>
          <t>Phase 2</t>
        </is>
      </c>
      <c r="D53" s="13" t="inlineStr">
        <is>
          <t>PMO / Review</t>
        </is>
      </c>
      <c r="E53" s="13" t="inlineStr">
        <is>
          <t>Task</t>
        </is>
      </c>
      <c r="F53" s="13" t="inlineStr">
        <is>
          <t>P0</t>
        </is>
      </c>
      <c r="G53" s="13" t="inlineStr">
        <is>
          <t>To Do</t>
        </is>
      </c>
      <c r="H53" s="154" t="n">
        <v>46318</v>
      </c>
      <c r="I53" s="154" t="n">
        <v>46321</v>
      </c>
      <c r="J53" s="156">
        <f>IF(OR(H53="",I53=""),"",I53-H53+1)</f>
        <v/>
      </c>
      <c r="K53" s="156">
        <f>IF(OR(H53="",I53=""),"",NETWORKDAYS(H53,I53,'Sources &amp; Change Log'!$J$2:$J$5)-COUNTIFS('Team Calendar'!$A$5:$A$12,L53,'Team Calendar'!$C$5:$C$12,"&gt;="&amp;H53,'Team Calendar'!$C$5:$C$12,"&lt;="&amp;I53,'Team Calendar'!$F$5:$F$12,"Personal absence"))</f>
        <v/>
      </c>
      <c r="L53" s="13" t="inlineStr">
        <is>
          <t>이권욱</t>
        </is>
      </c>
      <c r="M53" s="13" t="inlineStr">
        <is>
          <t>이하영, 이재환</t>
        </is>
      </c>
      <c r="N53" s="13" t="inlineStr">
        <is>
          <t>D12; D21; D22; D23; D24</t>
        </is>
      </c>
      <c r="O53" s="13" t="inlineStr">
        <is>
          <t>RISK-10; RISK-11; RISK-12; RISK-13</t>
        </is>
      </c>
      <c r="P53" s="13" t="inlineStr">
        <is>
          <t>G6/Deliverable Freeze, Hybrid Demo, P0 Evidence, Decision/Known Issue, 비용·자원 정리 및 Project Close Sign-off 확보</t>
        </is>
      </c>
      <c r="Q53" s="13" t="inlineStr">
        <is>
          <t>Review 실행일은 D24 결과를 따른다. 최종 Close 목표는 10-26이다.</t>
        </is>
      </c>
      <c r="R53" s="13" t="inlineStr">
        <is>
          <t>https://github.com/321Team/fds-project-baseline/issues/55</t>
        </is>
      </c>
      <c r="S53" s="13">
        <f>IF(G53="Done","Done",IF(I53="","End TBD",IF(I53&lt;'Executive Summary'!$B$4,"Overdue",IF(H53&gt;'Executive Summary'!$B$4,"Upcoming","Active window"))))</f>
        <v/>
      </c>
    </row>
    <row r="54" ht="44" customHeight="1">
      <c r="A54" s="13" t="inlineStr">
        <is>
          <t>MS-P2-REVIEW-01</t>
        </is>
      </c>
      <c r="B54" s="13" t="inlineStr">
        <is>
          <t>Phase 2 Review</t>
        </is>
      </c>
      <c r="C54" s="13" t="inlineStr">
        <is>
          <t>Phase 2</t>
        </is>
      </c>
      <c r="D54" s="13" t="inlineStr">
        <is>
          <t>Milestone / Review</t>
        </is>
      </c>
      <c r="E54" s="13" t="inlineStr">
        <is>
          <t>Milestone</t>
        </is>
      </c>
      <c r="F54" s="13" t="inlineStr">
        <is>
          <t>P0</t>
        </is>
      </c>
      <c r="G54" s="13" t="inlineStr">
        <is>
          <t>To Do</t>
        </is>
      </c>
      <c r="H54" s="154" t="n">
        <v>46318</v>
      </c>
      <c r="I54" s="154" t="n">
        <v>46318</v>
      </c>
      <c r="J54" s="156">
        <f>IF(OR(H54="",I54=""),"",I54-H54+1)</f>
        <v/>
      </c>
      <c r="K54" s="156">
        <f>IF(OR(H54="",I54=""),"",NETWORKDAYS(H54,I54,'Sources &amp; Change Log'!$J$2:$J$5)-COUNTIFS('Team Calendar'!$A$5:$A$12,L54,'Team Calendar'!$C$5:$C$12,"&gt;="&amp;H54,'Team Calendar'!$C$5:$C$12,"&lt;="&amp;I54,'Team Calendar'!$F$5:$F$12,"Personal absence"))</f>
        <v/>
      </c>
      <c r="L54" s="13" t="inlineStr">
        <is>
          <t>이권욱</t>
        </is>
      </c>
      <c r="M54" s="13" t="inlineStr">
        <is>
          <t>이하영, 이재환</t>
        </is>
      </c>
      <c r="N54" s="13" t="inlineStr">
        <is>
          <t>D24</t>
        </is>
      </c>
      <c r="O54" s="13" t="inlineStr">
        <is>
          <t>RISK-05; RISK-13</t>
        </is>
      </c>
      <c r="P54" s="13" t="inlineStr">
        <is>
          <t>승인된 일정에 Hybrid Demo/산출물/G6/Known Issue/Cloud Resource Review를 수행하고 Action·승인결과를 기록</t>
        </is>
      </c>
      <c r="Q54" s="13" t="inlineStr">
        <is>
          <t>교육장 주말 작업 불가로 기존 10-24 토요일 대신 10-23 금요일 오후를 권장한다. G6/Deliverable Freeze 후 진행하고 참석자는 별도 확정한다. 실제 상태·완료 판정은 유지한다. 세부 배정: Fast Track Plan 시트.</t>
        </is>
      </c>
      <c r="R54" s="13" t="inlineStr">
        <is>
          <t>https://github.com/321Team/fds-project-baseline/issues/56</t>
        </is>
      </c>
      <c r="S54" s="13">
        <f>IF(G54="Done","Done",IF(I54="",IF(F54="P1","Deferred P1","End TBD"),IF(I54&lt;'Executive Summary'!$B$4,"Overdue",IF(H54&gt;'Executive Summary'!$B$4,"Upcoming","Active window"))))</f>
        <v/>
      </c>
    </row>
    <row r="55" ht="64" customHeight="1">
      <c r="A55" s="83" t="inlineStr">
        <is>
          <t>MS-PROJECT-CLOSE-01</t>
        </is>
      </c>
      <c r="B55" s="83" t="inlineStr">
        <is>
          <t>Project Close</t>
        </is>
      </c>
      <c r="C55" s="83" t="inlineStr">
        <is>
          <t>Phase 2</t>
        </is>
      </c>
      <c r="D55" s="83" t="inlineStr">
        <is>
          <t>Milestone / Close</t>
        </is>
      </c>
      <c r="E55" s="83" t="inlineStr">
        <is>
          <t>Milestone</t>
        </is>
      </c>
      <c r="F55" s="83" t="inlineStr">
        <is>
          <t>P0</t>
        </is>
      </c>
      <c r="G55" s="83" t="inlineStr">
        <is>
          <t>To Do</t>
        </is>
      </c>
      <c r="H55" s="157" t="n">
        <v>46321</v>
      </c>
      <c r="I55" s="157" t="n">
        <v>46321</v>
      </c>
      <c r="J55" s="158">
        <f>IF(OR(H55="",I55=""),"",I55-H55+1)</f>
        <v/>
      </c>
      <c r="K55" s="158">
        <f>IF(OR(H55="",I55=""),"",NETWORKDAYS(H55,I55,'Sources &amp; Change Log'!$J$2:$J$5)-COUNTIFS('Team Calendar'!$A$5:$A$12,L55,'Team Calendar'!$C$5:$C$12,"&gt;="&amp;H55,'Team Calendar'!$C$5:$C$12,"&lt;="&amp;I55,'Team Calendar'!$F$5:$F$12,"Personal absence"))</f>
        <v/>
      </c>
      <c r="L55" s="83" t="inlineStr">
        <is>
          <t>이권욱</t>
        </is>
      </c>
      <c r="M55" s="83" t="inlineStr">
        <is>
          <t>이하영, 이재환</t>
        </is>
      </c>
      <c r="N55" s="83" t="inlineStr">
        <is>
          <t>D24</t>
        </is>
      </c>
      <c r="O55" s="83" t="inlineStr">
        <is>
          <t>RISK-05; RISK-11; RISK-13</t>
        </is>
      </c>
      <c r="P55" s="83" t="inlineStr">
        <is>
          <t>Review Action, P0 승인, 후속 P1/Known Issue, Cloud Resource/Cost, Source/Deliverable 인계 및 Project Close Sign-off 확보</t>
        </is>
      </c>
      <c r="Q55" s="83" t="inlineStr">
        <is>
          <t>D24가 Review를 10-26 이후로 이동시키면 Project Close도 Change Request 대상이다.</t>
        </is>
      </c>
      <c r="R55" s="83" t="inlineStr">
        <is>
          <t>https://github.com/321Team/fds-project-baseline/issues/57</t>
        </is>
      </c>
      <c r="S55" s="83">
        <f>IF(G55="Done","Done",IF(I55="","End TBD",IF(I55&lt;'Executive Summary'!$B$4,"Overdue",IF(H55&gt;'Executive Summary'!$B$4,"Upcoming","Active window"))))</f>
        <v/>
      </c>
    </row>
    <row r="56" ht="64" customHeight="1">
      <c r="A56" s="83" t="inlineStr">
        <is>
          <t>DEC-P1-FDS-01</t>
        </is>
      </c>
      <c r="B56" s="83" t="inlineStr">
        <is>
          <t>거래 보류 도입 범위·판정·평가 실패·Gate 편입 결정</t>
        </is>
      </c>
      <c r="C56" s="83" t="inlineStr">
        <is>
          <t>Phase 1</t>
        </is>
      </c>
      <c r="D56" s="83" t="inlineStr">
        <is>
          <t>Application / Governance</t>
        </is>
      </c>
      <c r="E56" s="83" t="inlineStr">
        <is>
          <t>Decision</t>
        </is>
      </c>
      <c r="F56" s="83" t="inlineStr">
        <is>
          <t>P0</t>
        </is>
      </c>
      <c r="G56" s="83" t="inlineStr">
        <is>
          <t>Done</t>
        </is>
      </c>
      <c r="H56" s="157" t="n">
        <v>46273</v>
      </c>
      <c r="I56" s="157" t="n">
        <v>46274</v>
      </c>
      <c r="J56" s="158">
        <f>IF(OR(H56="",I56=""),"",I56-H56+1)</f>
        <v/>
      </c>
      <c r="K56" s="158">
        <f>IF(OR(H56="",I56=""),"",NETWORKDAYS(H56,I56,'Sources &amp; Change Log'!$J$2:$J$5)-COUNTIFS('Team Calendar'!$A$5:$A$12,L56,'Team Calendar'!$C$5:$C$12,"&gt;="&amp;H56,'Team Calendar'!$C$5:$C$12,"&lt;="&amp;I56,'Team Calendar'!$F$5:$F$12,"Personal absence"))</f>
        <v/>
      </c>
      <c r="L56" s="83" t="inlineStr">
        <is>
          <t>이재환</t>
        </is>
      </c>
      <c r="M56" s="83" t="inlineStr">
        <is>
          <t>이하영, 이권욱</t>
        </is>
      </c>
      <c r="N56" s="83" t="inlineStr">
        <is>
          <t>D03; D12; D17; D28; D34; D36; D37</t>
        </is>
      </c>
      <c r="O56" s="83" t="inlineStr">
        <is>
          <t>현행 정의 연결 대기. v1.0 인용: RISK-05; RISK-07; RISK-09 — 본 종결의 위험 승인 근거로 사용하지 않음</t>
        </is>
      </c>
      <c r="P56" s="83" t="inlineStr">
        <is>
          <t>현행 탐지·기록 유지, 신규 보류·운영 기능 미도입, 실패 정책·계약 소유권, G2 영향 없음 및 후속 검증·재검토 조건 기록</t>
        </is>
      </c>
      <c r="Q56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6" s="83" t="inlineStr">
        <is>
          <t>https://github.com/321Team/fds-project-baseline/issues/4</t>
        </is>
      </c>
      <c r="S56" s="83">
        <f>IF(G56="Done","Done",IF(I56="","End TBD",IF(I56&lt;'Executive Summary'!$B$4,"Overdue",IF(H56&gt;'Executive Summary'!$B$4,"Upcoming","Active window"))))</f>
        <v/>
      </c>
    </row>
    <row r="57" ht="64" customHeight="1">
      <c r="A57" s="83" t="inlineStr">
        <is>
          <t>DEC-P1-TXN-01</t>
        </is>
      </c>
      <c r="B57" s="83" t="inlineStr">
        <is>
          <t>거래 상태·API 응답·재시도·데이터 정합성 계약 결정</t>
        </is>
      </c>
      <c r="C57" s="83" t="inlineStr">
        <is>
          <t>Phase 1</t>
        </is>
      </c>
      <c r="D57" s="83" t="inlineStr">
        <is>
          <t>Application / Data / Interface</t>
        </is>
      </c>
      <c r="E57" s="83" t="inlineStr">
        <is>
          <t>Decision</t>
        </is>
      </c>
      <c r="F57" s="83" t="inlineStr">
        <is>
          <t>P0</t>
        </is>
      </c>
      <c r="G57" s="83" t="inlineStr">
        <is>
          <t>Done</t>
        </is>
      </c>
      <c r="H57" s="157" t="n">
        <v>46273</v>
      </c>
      <c r="I57" s="157" t="n">
        <v>46274</v>
      </c>
      <c r="J57" s="158">
        <f>IF(OR(H57="",I57=""),"",I57-H57+1)</f>
        <v/>
      </c>
      <c r="K57" s="158">
        <f>IF(OR(H57="",I57=""),"",NETWORKDAYS(H57,I57,'Sources &amp; Change Log'!$J$2:$J$5)-COUNTIFS('Team Calendar'!$A$5:$A$12,L57,'Team Calendar'!$C$5:$C$12,"&gt;="&amp;H57,'Team Calendar'!$C$5:$C$12,"&lt;="&amp;I57,'Team Calendar'!$F$5:$F$12,"Personal absence"))</f>
        <v/>
      </c>
      <c r="L57" s="83" t="inlineStr">
        <is>
          <t>이재환</t>
        </is>
      </c>
      <c r="M57" s="83" t="inlineStr">
        <is>
          <t>이하영, 이권욱</t>
        </is>
      </c>
      <c r="N57" s="83" t="inlineStr">
        <is>
          <t>D03; D04; D18; D28; D34; D35; DEC-P1-FDS-01</t>
        </is>
      </c>
      <c r="O57" s="83" t="inlineStr">
        <is>
          <t>현행 정의 연결 대기. v1.0 인용: RISK-05; RISK-07; RISK-09 — 본 종결의 위험 승인 근거로 사용하지 않음</t>
        </is>
      </c>
      <c r="P57" s="83" t="inlineStr">
        <is>
          <t>기존 계약 유지 선택, 신규 상태/API·Migration 변경 유예, #4/#6과 정책·표현 소유권 및 기존 구현 정합성 후속 기록</t>
        </is>
      </c>
      <c r="Q57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7" s="83" t="inlineStr">
        <is>
          <t>https://github.com/321Team/fds-project-baseline/issues/5</t>
        </is>
      </c>
      <c r="S57" s="83">
        <f>IF(G57="Done","Done",IF(I57="","End TBD",IF(I57&lt;'Executive Summary'!$B$4,"Overdue",IF(H57&gt;'Executive Summary'!$B$4,"Upcoming","Active window"))))</f>
        <v/>
      </c>
    </row>
    <row r="58" ht="64" customHeight="1">
      <c r="A58" s="83" t="inlineStr">
        <is>
          <t>DEC-P1-ADMIN-01</t>
        </is>
      </c>
      <c r="B58" s="83" t="inlineStr">
        <is>
          <t>보안 시연 범위·테스트 전제·조건부 운영 통제 결정</t>
        </is>
      </c>
      <c r="C58" s="83" t="inlineStr">
        <is>
          <t>Phase 1</t>
        </is>
      </c>
      <c r="D58" s="83" t="inlineStr">
        <is>
          <t>Application Security / Demonstration / Governance</t>
        </is>
      </c>
      <c r="E58" s="83" t="inlineStr">
        <is>
          <t>Decision</t>
        </is>
      </c>
      <c r="F58" s="83" t="inlineStr">
        <is>
          <t>P0</t>
        </is>
      </c>
      <c r="G58" s="83" t="inlineStr">
        <is>
          <t>Done</t>
        </is>
      </c>
      <c r="H58" s="157" t="n">
        <v>46273</v>
      </c>
      <c r="I58" s="157" t="n">
        <v>46274</v>
      </c>
      <c r="J58" s="158">
        <f>IF(OR(H58="",I58=""),"",I58-H58+1)</f>
        <v/>
      </c>
      <c r="K58" s="158">
        <f>IF(OR(H58="",I58=""),"",NETWORKDAYS(H58,I58,'Sources &amp; Change Log'!$J$2:$J$5)-COUNTIFS('Team Calendar'!$A$5:$A$12,L58,'Team Calendar'!$C$5:$C$12,"&gt;="&amp;H58,'Team Calendar'!$C$5:$C$12,"&lt;="&amp;I58,'Team Calendar'!$F$5:$F$12,"Personal absence"))</f>
        <v/>
      </c>
      <c r="L58" s="83" t="inlineStr">
        <is>
          <t>이하영</t>
        </is>
      </c>
      <c r="M58" s="83" t="inlineStr">
        <is>
          <t>이권욱, 이재환</t>
        </is>
      </c>
      <c r="N58" s="83" t="inlineStr">
        <is>
          <t>D03; D12; D17; D18; D19; D28; D33; D34; D35; DEC-P1-FDS-01; DEC-P1-TXN-01; OID-01</t>
        </is>
      </c>
      <c r="O58" s="83" t="inlineStr">
        <is>
          <t>현행 정의 연결 대기. v1.0 인용: RISK-05; RISK-06; RISK-07; RISK-08; RISK-09 — 본 종결의 위험 승인 근거로 사용하지 않음</t>
        </is>
      </c>
      <c r="P58" s="83" t="inlineStr">
        <is>
          <t>프론트엔드 배치 제외, 합성 데이터·최소 노출 원칙, 5개 검토 축 적용/유예, 기존 접근 통제 재사용 및 후속 시나리오 인계 기록</t>
        </is>
      </c>
      <c r="Q58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R58" s="83" t="inlineStr">
        <is>
          <t>https://github.com/321Team/fds-project-baseline/issues/6</t>
        </is>
      </c>
      <c r="S58" s="83">
        <f>IF(G58="Done","Done",IF(I58="","End TBD",IF(I58&lt;'Executive Summary'!$B$4,"Overdue",IF(H58&gt;'Executive Summary'!$B$4,"Upcoming","Active window"))))</f>
        <v/>
      </c>
    </row>
    <row r="59" ht="60" customHeight="1">
      <c r="A59" s="148" t="inlineStr">
        <is>
          <t>CR-P1-MON-01-01</t>
        </is>
      </c>
      <c r="B59" s="148" t="inlineStr">
        <is>
          <t>Alertmanager Egress 프록시 서버 구성</t>
        </is>
      </c>
      <c r="C59" s="148" t="inlineStr">
        <is>
          <t>Phase 1</t>
        </is>
      </c>
      <c r="D59" s="148" t="inlineStr">
        <is>
          <t>Monitoring / Alerting Egress Change Control</t>
        </is>
      </c>
      <c r="E59" s="148" t="inlineStr">
        <is>
          <t>Change Request</t>
        </is>
      </c>
      <c r="F59" s="148" t="inlineStr">
        <is>
          <t>P1</t>
        </is>
      </c>
      <c r="G59" s="148" t="inlineStr">
        <is>
          <t>In Progress</t>
        </is>
      </c>
      <c r="H59" s="159" t="n">
        <v>46276</v>
      </c>
      <c r="I59" s="159" t="n">
        <v>46301</v>
      </c>
      <c r="J59" s="160">
        <f>IF(OR(H59="",I59=""),"",I59-H59+1)</f>
        <v/>
      </c>
      <c r="K59" s="160">
        <f>IF(OR(H59="",I59=""),"",NETWORKDAYS(H59,I59,'Sources &amp; Change Log'!$J$2:$J$5)-COUNTIFS('Team Calendar'!$A$5:$A$12,L59,'Team Calendar'!$C$5:$C$12,"&gt;="&amp;H59,'Team Calendar'!$C$5:$C$12,"&lt;="&amp;I59,'Team Calendar'!$F$5:$F$12,"Personal absence"))</f>
        <v/>
      </c>
      <c r="L59" s="148" t="inlineStr">
        <is>
          <t>이하영</t>
        </is>
      </c>
      <c r="M59" s="148" t="inlineStr">
        <is>
          <t>이재환</t>
        </is>
      </c>
      <c r="N59" s="148" t="inlineStr">
        <is>
          <t>D17; D33; D34; D35 — 현행 영향 기준. 신규 CR 승인·신규 D-ID/Interface ID는 미확정</t>
        </is>
      </c>
      <c r="O59" s="148" t="inlineStr">
        <is>
          <t>RISK-04; RISK-07</t>
        </is>
      </c>
      <c r="P59" s="148" t="inlineStr">
        <is>
          <t>discord.com 아웃바운드 확인, 프록시 전용 VM 확정, Squid/Nginx 구성 및 discord.com allowlist 적용, 고정 IP·포트를 [Issue B(#75)](https://github.com/321Team/fds-project-baseline/issues/75)에 전달</t>
        </is>
      </c>
      <c r="Q59" s="148" t="inlineStr">
        <is>
          <t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t>
        </is>
      </c>
      <c r="R59" s="148" t="inlineStr">
        <is>
          <t>https://github.com/321Team/fds-project-baseline/issues/74</t>
        </is>
      </c>
      <c r="S59" s="148">
        <f>IF(G59="Done","Done",IF(I59="","End TBD",IF(I59&lt;'Executive Summary'!$B$4,"Overdue",IF(H59&gt;'Executive Summary'!$B$4,"Upcoming","Active window"))))</f>
        <v/>
      </c>
    </row>
    <row r="60" ht="60" customHeight="1">
      <c r="A60" s="148" t="inlineStr">
        <is>
          <t>CR-P1-MON-01-02</t>
        </is>
      </c>
      <c r="B60" s="148" t="inlineStr">
        <is>
          <t>Alertmanager Egress Kubernetes 보안 설정 (NetworkPolicy)</t>
        </is>
      </c>
      <c r="C60" s="148" t="inlineStr">
        <is>
          <t>Phase 1</t>
        </is>
      </c>
      <c r="D60" s="148" t="inlineStr">
        <is>
          <t>Monitoring / Alerting Egress Change Control</t>
        </is>
      </c>
      <c r="E60" s="148" t="inlineStr">
        <is>
          <t>Change Request</t>
        </is>
      </c>
      <c r="F60" s="148" t="inlineStr">
        <is>
          <t>P1</t>
        </is>
      </c>
      <c r="G60" s="148" t="inlineStr">
        <is>
          <t>In Progress</t>
        </is>
      </c>
      <c r="H60" s="159" t="n">
        <v>46276</v>
      </c>
      <c r="I60" s="159" t="n">
        <v>46301</v>
      </c>
      <c r="J60" s="160">
        <f>IF(OR(H60="",I60=""),"",I60-H60+1)</f>
        <v/>
      </c>
      <c r="K60" s="160">
        <f>IF(OR(H60="",I60=""),"",NETWORKDAYS(H60,I60,'Sources &amp; Change Log'!$J$2:$J$5)-COUNTIFS('Team Calendar'!$A$5:$A$12,L60,'Team Calendar'!$C$5:$C$12,"&gt;="&amp;H60,'Team Calendar'!$C$5:$C$12,"&lt;="&amp;I60,'Team Calendar'!$F$5:$F$12,"Personal absence"))</f>
        <v/>
      </c>
      <c r="L60" s="148" t="inlineStr">
        <is>
          <t>이하영</t>
        </is>
      </c>
      <c r="M60" s="148" t="inlineStr">
        <is>
          <t>이재환</t>
        </is>
      </c>
      <c r="N60" s="148" t="inlineStr">
        <is>
          <t>D17; D33; D34; D35 — 현행 영향 기준. 신규 CR 승인·신규 D-ID/Interface ID는 미확정</t>
        </is>
      </c>
      <c r="O60" s="148" t="inlineStr">
        <is>
          <t>RISK-04; RISK-07</t>
        </is>
      </c>
      <c r="P60" s="148" t="inlineStr">
        <is>
          <t>Alertmanager 전용 NetworkPolicy(Egress) 작성·적용, podSelector 라벨 확정, Secret 주입·회전·폐기 절차 확정, 검증(허용/차단/알림 전송) 완료 및 Support Review 완료</t>
        </is>
      </c>
      <c r="Q60" s="148" t="inlineStr">
        <is>
          <t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t>
        </is>
      </c>
      <c r="R60" s="148" t="inlineStr">
        <is>
          <t>https://github.com/321Team/fds-project-baseline/issues/75</t>
        </is>
      </c>
      <c r="S60" s="148">
        <f>IF(G60="Done","Done",IF(I60="","End TBD",IF(I60&lt;'Executive Summary'!$B$4,"Overdue",IF(H60&gt;'Executive Summary'!$B$4,"Upcoming","Active window"))))</f>
        <v/>
      </c>
    </row>
    <row r="61" ht="60" customHeight="1">
      <c r="A61" s="148" t="inlineStr">
        <is>
          <t>DEC-P1-EGRESS-01</t>
        </is>
      </c>
      <c r="B61" s="148" t="inlineStr">
        <is>
          <t>Alertmanager 전용 프록시 배치·예약 IP 사용 결정</t>
        </is>
      </c>
      <c r="C61" s="148" t="inlineStr">
        <is>
          <t>Phase 1</t>
        </is>
      </c>
      <c r="D61" s="148" t="inlineStr">
        <is>
          <t>Monitoring / Architecture / Egress</t>
        </is>
      </c>
      <c r="E61" s="148" t="inlineStr">
        <is>
          <t>Decision</t>
        </is>
      </c>
      <c r="F61" s="148" t="inlineStr">
        <is>
          <t>P1</t>
        </is>
      </c>
      <c r="G61" s="148" t="inlineStr">
        <is>
          <t>Done</t>
        </is>
      </c>
      <c r="H61" s="159" t="n">
        <v>46279</v>
      </c>
      <c r="I61" s="159" t="n">
        <v>46286</v>
      </c>
      <c r="J61" s="160">
        <f>IF(OR(H61="",I61=""),"",I61-H61+1)</f>
        <v/>
      </c>
      <c r="K61" s="160">
        <f>IF(OR(H61="",I61=""),"",NETWORKDAYS(H61,I61,'Sources &amp; Change Log'!$J$2:$J$5)-COUNTIFS('Team Calendar'!$A$5:$A$12,L61,'Team Calendar'!$C$5:$C$12,"&gt;="&amp;H61,'Team Calendar'!$C$5:$C$12,"&lt;="&amp;I61,'Team Calendar'!$F$5:$F$12,"Personal absence"))</f>
        <v/>
      </c>
      <c r="L61" s="148" t="inlineStr">
        <is>
          <t>이권욱</t>
        </is>
      </c>
      <c r="M61" s="148" t="inlineStr">
        <is>
          <t>이하영, 이재환</t>
        </is>
      </c>
      <c r="N61" s="148" t="inlineStr">
        <is>
          <t>D17; D33; D34; D35 — 기존 의미 유지. 신규 D/IF 순번은 정본 레지스터 대조 후 부여</t>
        </is>
      </c>
      <c r="O61" s="148" t="inlineStr">
        <is>
          <t>RISK-04; RISK-07</t>
        </is>
      </c>
      <c r="P61" s="148" t="inlineStr">
        <is>
          <t>배치·예외 정책 기록, 예약 IP/자산 충돌 확인, 자원 영향 검토, #74/#75 구현·인계 조건 연결</t>
        </is>
      </c>
      <c r="Q61" s="148" t="inlineStr">
        <is>
          <t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t>
        </is>
      </c>
      <c r="R61" s="148" t="inlineStr">
        <is>
          <t>https://github.com/321Team/fds-project-baseline/issues/78</t>
        </is>
      </c>
      <c r="S61" s="148">
        <f>IF(G61="Done","Done",IF(I61="","End TBD",IF(I61&lt;'Executive Summary'!$B$4,"Overdue",IF(H61&gt;'Executive Summary'!$B$4,"Upcoming","Active window"))))</f>
        <v/>
      </c>
    </row>
  </sheetData>
  <mergeCells count="1">
    <mergeCell ref="A1:S1"/>
  </mergeCells>
  <conditionalFormatting sqref="G4:G54">
    <cfRule type="containsText" priority="1" operator="containsText" dxfId="0" text="Done"/>
    <cfRule type="containsText" priority="2" operator="containsText" dxfId="1" text="In Progress"/>
    <cfRule type="containsText" priority="3" operator="containsText" dxfId="2" text="In Review"/>
    <cfRule type="containsText" priority="4" operator="containsText" dxfId="3" text="Blocked"/>
  </conditionalFormatting>
  <conditionalFormatting sqref="S4:S54">
    <cfRule type="containsText" priority="5" operator="containsText" dxfId="3" text="Overdue"/>
    <cfRule type="containsText" priority="6" operator="containsText" dxfId="2" text="End TBD"/>
  </conditionalFormatting>
  <conditionalFormatting sqref="G55:G58">
    <cfRule type="containsText" priority="7" operator="containsText" dxfId="0" text="Done"/>
    <cfRule type="containsText" priority="8" operator="containsText" dxfId="24" text="In Progress"/>
    <cfRule type="containsText" priority="9" operator="containsText" dxfId="2" text="In Review"/>
    <cfRule type="containsText" priority="10" operator="containsText" dxfId="3" text="Blocked"/>
  </conditionalFormatting>
  <conditionalFormatting sqref="S55:S58">
    <cfRule type="containsText" priority="11" operator="containsText" dxfId="3" text="Overdue"/>
    <cfRule type="containsText" priority="12" operator="containsText" dxfId="2" text="End TBD"/>
  </conditionalFormatting>
  <conditionalFormatting sqref="G59:G61">
    <cfRule type="containsText" priority="13" operator="containsText" dxfId="45" text="Done"/>
    <cfRule type="containsText" priority="14" operator="containsText" dxfId="46" text="In Progress"/>
  </conditionalFormatting>
  <dataValidations count="5">
    <dataValidation sqref="G4:G54" showDropDown="0" showInputMessage="0" showErrorMessage="0" allowBlank="0" type="list">
      <formula1>"To Do,In Progress,In Review,Blocked,Done"</formula1>
    </dataValidation>
    <dataValidation sqref="F4:F54" showDropDown="0" showInputMessage="0" showErrorMessage="0" allowBlank="0" type="list">
      <formula1>"P0,P1,P2"</formula1>
    </dataValidation>
    <dataValidation sqref="G55:G58" showDropDown="0" showInputMessage="0" showErrorMessage="0" allowBlank="0" type="list">
      <formula1>"To Do,In Progress,In Review,Blocked,Done"</formula1>
    </dataValidation>
    <dataValidation sqref="F55:F58" showDropDown="0" showInputMessage="0" showErrorMessage="0" allowBlank="0" type="list">
      <formula1>"P0,P1,P2"</formula1>
    </dataValidation>
    <dataValidation sqref="F59:F61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13" customWidth="1" min="4" max="4"/>
    <col width="13" customWidth="1" min="5" max="5"/>
    <col width="14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</cols>
  <sheetData>
    <row r="1" ht="34" customHeight="1">
      <c r="A1" s="79" t="inlineStr">
        <is>
          <t>FDS v3.1.20 · Phase 1 Gantt (CANDIDATE)</t>
        </is>
      </c>
    </row>
    <row r="2">
      <c r="A2" s="21" t="inlineStr">
        <is>
          <t>계획은 유연한 목표. 색상/막대는 예정 창이며 Runtime 완료율이 아님.</t>
        </is>
      </c>
    </row>
    <row r="3">
      <c r="A3" t="inlineStr">
        <is>
          <t>Bars = Lead available weekdays within plan window; weekend/holiday/Lead absence excluded. Support allocations: Fast Track Plan.</t>
        </is>
      </c>
    </row>
    <row r="4">
      <c r="A4" s="9" t="inlineStr">
        <is>
          <t>WBS ID</t>
        </is>
      </c>
      <c r="B4" s="9" t="inlineStr">
        <is>
          <t>Work Item</t>
        </is>
      </c>
      <c r="C4" s="9" t="inlineStr">
        <is>
          <t>Status</t>
        </is>
      </c>
      <c r="D4" s="9" t="inlineStr">
        <is>
          <t>Start</t>
        </is>
      </c>
      <c r="E4" s="9" t="inlineStr">
        <is>
          <t>End</t>
        </is>
      </c>
      <c r="F4" s="9" t="inlineStr">
        <is>
          <t>Lead</t>
        </is>
      </c>
      <c r="G4" s="161" t="n">
        <v>46260</v>
      </c>
      <c r="H4" s="161" t="n">
        <v>46261</v>
      </c>
      <c r="I4" s="161" t="n">
        <v>46262</v>
      </c>
      <c r="J4" s="162" t="n">
        <v>46263</v>
      </c>
      <c r="K4" s="162" t="n">
        <v>46264</v>
      </c>
      <c r="L4" s="161" t="n">
        <v>46265</v>
      </c>
      <c r="M4" s="163" t="n">
        <v>46266</v>
      </c>
      <c r="N4" s="161" t="n">
        <v>46267</v>
      </c>
      <c r="O4" s="161" t="n">
        <v>46268</v>
      </c>
      <c r="P4" s="161" t="n">
        <v>46269</v>
      </c>
      <c r="Q4" s="162" t="n">
        <v>46270</v>
      </c>
      <c r="R4" s="162" t="n">
        <v>46271</v>
      </c>
      <c r="S4" s="161" t="n">
        <v>46272</v>
      </c>
      <c r="T4" s="161" t="n">
        <v>46273</v>
      </c>
      <c r="U4" s="161" t="n">
        <v>46274</v>
      </c>
      <c r="V4" s="161" t="n">
        <v>46275</v>
      </c>
      <c r="W4" s="161" t="n">
        <v>46276</v>
      </c>
      <c r="X4" s="162" t="n">
        <v>46277</v>
      </c>
      <c r="Y4" s="162" t="n">
        <v>46278</v>
      </c>
      <c r="Z4" s="161" t="n">
        <v>46279</v>
      </c>
      <c r="AA4" s="161" t="n">
        <v>46280</v>
      </c>
      <c r="AB4" s="161" t="n">
        <v>46281</v>
      </c>
      <c r="AC4" s="161" t="n">
        <v>46282</v>
      </c>
      <c r="AD4" s="161" t="n">
        <v>46283</v>
      </c>
      <c r="AE4" s="162" t="n">
        <v>46284</v>
      </c>
      <c r="AF4" s="162" t="n">
        <v>46285</v>
      </c>
      <c r="AG4" s="161" t="n">
        <v>46286</v>
      </c>
      <c r="AH4" s="161" t="n">
        <v>46287</v>
      </c>
      <c r="AI4" s="161" t="n">
        <v>46288</v>
      </c>
    </row>
    <row r="5" ht="24" customHeight="1">
      <c r="A5" s="13">
        <f>WBS!A4</f>
        <v/>
      </c>
      <c r="B5" s="13">
        <f>WBS!B4</f>
        <v/>
      </c>
      <c r="C5" s="13">
        <f>WBS!G4</f>
        <v/>
      </c>
      <c r="D5" s="164">
        <f>IF(WBS!H4="","",WBS!H4)</f>
        <v/>
      </c>
      <c r="E5" s="164">
        <f>IF(WBS!I4="","",WBS!I4)</f>
        <v/>
      </c>
      <c r="F5" s="13">
        <f>WBS!L4</f>
        <v/>
      </c>
      <c r="G5" s="165">
        <f>IF(AND(ISNUMBER($D5),ISNUMBER($E5),G$4&gt;=$D5,G$4&lt;=$E5,WEEKDAY(G$4,2)&lt;=5,COUNTIF('Sources &amp; Change Log'!$J$2:$J$5,G$4)=0,COUNTIFS('Team Calendar'!$A$5:$A$12,$F5,'Team Calendar'!$C$5:$C$12,G$4)=0),1,"")</f>
        <v/>
      </c>
      <c r="H5" s="165">
        <f>IF(AND(ISNUMBER($D5),ISNUMBER($E5),H$4&gt;=$D5,H$4&lt;=$E5,WEEKDAY(H$4,2)&lt;=5,COUNTIF('Sources &amp; Change Log'!$J$2:$J$5,H$4)=0,COUNTIFS('Team Calendar'!$A$5:$A$12,$F5,'Team Calendar'!$C$5:$C$12,H$4)=0),1,"")</f>
        <v/>
      </c>
      <c r="I5" s="165">
        <f>IF(AND(ISNUMBER($D5),ISNUMBER($E5),I$4&gt;=$D5,I$4&lt;=$E5,WEEKDAY(I$4,2)&lt;=5,COUNTIF('Sources &amp; Change Log'!$J$2:$J$5,I$4)=0,COUNTIFS('Team Calendar'!$A$5:$A$12,$F5,'Team Calendar'!$C$5:$C$12,I$4)=0),1,"")</f>
        <v/>
      </c>
      <c r="J5" s="166">
        <f>IF(AND(ISNUMBER($D5),ISNUMBER($E5),J$4&gt;=$D5,J$4&lt;=$E5,WEEKDAY(J$4,2)&lt;=5,COUNTIF('Sources &amp; Change Log'!$J$2:$J$5,J$4)=0,COUNTIFS('Team Calendar'!$A$5:$A$12,$F5,'Team Calendar'!$C$5:$C$12,J$4)=0),1,"")</f>
        <v/>
      </c>
      <c r="K5" s="166">
        <f>IF(AND(ISNUMBER($D5),ISNUMBER($E5),K$4&gt;=$D5,K$4&lt;=$E5,WEEKDAY(K$4,2)&lt;=5,COUNTIF('Sources &amp; Change Log'!$J$2:$J$5,K$4)=0,COUNTIFS('Team Calendar'!$A$5:$A$12,$F5,'Team Calendar'!$C$5:$C$12,K$4)=0),1,"")</f>
        <v/>
      </c>
      <c r="L5" s="165">
        <f>IF(AND(ISNUMBER($D5),ISNUMBER($E5),L$4&gt;=$D5,L$4&lt;=$E5,WEEKDAY(L$4,2)&lt;=5,COUNTIF('Sources &amp; Change Log'!$J$2:$J$5,L$4)=0,COUNTIFS('Team Calendar'!$A$5:$A$12,$F5,'Team Calendar'!$C$5:$C$12,L$4)=0),1,"")</f>
        <v/>
      </c>
      <c r="M5" s="167">
        <f>IF(AND(ISNUMBER($D5),ISNUMBER($E5),M$4&gt;=$D5,M$4&lt;=$E5,WEEKDAY(M$4,2)&lt;=5,COUNTIF('Sources &amp; Change Log'!$J$2:$J$5,M$4)=0,COUNTIFS('Team Calendar'!$A$5:$A$12,$F5,'Team Calendar'!$C$5:$C$12,M$4)=0),1,"")</f>
        <v/>
      </c>
      <c r="N5" s="165">
        <f>IF(AND(ISNUMBER($D5),ISNUMBER($E5),N$4&gt;=$D5,N$4&lt;=$E5,WEEKDAY(N$4,2)&lt;=5,COUNTIF('Sources &amp; Change Log'!$J$2:$J$5,N$4)=0,COUNTIFS('Team Calendar'!$A$5:$A$12,$F5,'Team Calendar'!$C$5:$C$12,N$4)=0),1,"")</f>
        <v/>
      </c>
      <c r="O5" s="165">
        <f>IF(AND(ISNUMBER($D5),ISNUMBER($E5),O$4&gt;=$D5,O$4&lt;=$E5,WEEKDAY(O$4,2)&lt;=5,COUNTIF('Sources &amp; Change Log'!$J$2:$J$5,O$4)=0,COUNTIFS('Team Calendar'!$A$5:$A$12,$F5,'Team Calendar'!$C$5:$C$12,O$4)=0),1,"")</f>
        <v/>
      </c>
      <c r="P5" s="165">
        <f>IF(AND(ISNUMBER($D5),ISNUMBER($E5),P$4&gt;=$D5,P$4&lt;=$E5,WEEKDAY(P$4,2)&lt;=5,COUNTIF('Sources &amp; Change Log'!$J$2:$J$5,P$4)=0,COUNTIFS('Team Calendar'!$A$5:$A$12,$F5,'Team Calendar'!$C$5:$C$12,P$4)=0),1,"")</f>
        <v/>
      </c>
      <c r="Q5" s="166">
        <f>IF(AND(ISNUMBER($D5),ISNUMBER($E5),Q$4&gt;=$D5,Q$4&lt;=$E5,WEEKDAY(Q$4,2)&lt;=5,COUNTIF('Sources &amp; Change Log'!$J$2:$J$5,Q$4)=0,COUNTIFS('Team Calendar'!$A$5:$A$12,$F5,'Team Calendar'!$C$5:$C$12,Q$4)=0),1,"")</f>
        <v/>
      </c>
      <c r="R5" s="166">
        <f>IF(AND(ISNUMBER($D5),ISNUMBER($E5),R$4&gt;=$D5,R$4&lt;=$E5,WEEKDAY(R$4,2)&lt;=5,COUNTIF('Sources &amp; Change Log'!$J$2:$J$5,R$4)=0,COUNTIFS('Team Calendar'!$A$5:$A$12,$F5,'Team Calendar'!$C$5:$C$12,R$4)=0),1,"")</f>
        <v/>
      </c>
      <c r="S5" s="165">
        <f>IF(AND(ISNUMBER($D5),ISNUMBER($E5),S$4&gt;=$D5,S$4&lt;=$E5,WEEKDAY(S$4,2)&lt;=5,COUNTIF('Sources &amp; Change Log'!$J$2:$J$5,S$4)=0,COUNTIFS('Team Calendar'!$A$5:$A$12,$F5,'Team Calendar'!$C$5:$C$12,S$4)=0),1,"")</f>
        <v/>
      </c>
      <c r="T5" s="165">
        <f>IF(AND(ISNUMBER($D5),ISNUMBER($E5),T$4&gt;=$D5,T$4&lt;=$E5,WEEKDAY(T$4,2)&lt;=5,COUNTIF('Sources &amp; Change Log'!$J$2:$J$5,T$4)=0,COUNTIFS('Team Calendar'!$A$5:$A$12,$F5,'Team Calendar'!$C$5:$C$12,T$4)=0),1,"")</f>
        <v/>
      </c>
      <c r="U5" s="165">
        <f>IF(AND(ISNUMBER($D5),ISNUMBER($E5),U$4&gt;=$D5,U$4&lt;=$E5,WEEKDAY(U$4,2)&lt;=5,COUNTIF('Sources &amp; Change Log'!$J$2:$J$5,U$4)=0,COUNTIFS('Team Calendar'!$A$5:$A$12,$F5,'Team Calendar'!$C$5:$C$12,U$4)=0),1,"")</f>
        <v/>
      </c>
      <c r="V5" s="165">
        <f>IF(AND(ISNUMBER($D5),ISNUMBER($E5),V$4&gt;=$D5,V$4&lt;=$E5,WEEKDAY(V$4,2)&lt;=5,COUNTIF('Sources &amp; Change Log'!$J$2:$J$5,V$4)=0,COUNTIFS('Team Calendar'!$A$5:$A$12,$F5,'Team Calendar'!$C$5:$C$12,V$4)=0),1,"")</f>
        <v/>
      </c>
      <c r="W5" s="165">
        <f>IF(AND(ISNUMBER($D5),ISNUMBER($E5),W$4&gt;=$D5,W$4&lt;=$E5,WEEKDAY(W$4,2)&lt;=5,COUNTIF('Sources &amp; Change Log'!$J$2:$J$5,W$4)=0,COUNTIFS('Team Calendar'!$A$5:$A$12,$F5,'Team Calendar'!$C$5:$C$12,W$4)=0),1,"")</f>
        <v/>
      </c>
      <c r="X5" s="166">
        <f>IF(AND(ISNUMBER($D5),ISNUMBER($E5),X$4&gt;=$D5,X$4&lt;=$E5,WEEKDAY(X$4,2)&lt;=5,COUNTIF('Sources &amp; Change Log'!$J$2:$J$5,X$4)=0,COUNTIFS('Team Calendar'!$A$5:$A$12,$F5,'Team Calendar'!$C$5:$C$12,X$4)=0),1,"")</f>
        <v/>
      </c>
      <c r="Y5" s="166">
        <f>IF(AND(ISNUMBER($D5),ISNUMBER($E5),Y$4&gt;=$D5,Y$4&lt;=$E5,WEEKDAY(Y$4,2)&lt;=5,COUNTIF('Sources &amp; Change Log'!$J$2:$J$5,Y$4)=0,COUNTIFS('Team Calendar'!$A$5:$A$12,$F5,'Team Calendar'!$C$5:$C$12,Y$4)=0),1,"")</f>
        <v/>
      </c>
      <c r="Z5" s="165">
        <f>IF(AND(ISNUMBER($D5),ISNUMBER($E5),Z$4&gt;=$D5,Z$4&lt;=$E5,WEEKDAY(Z$4,2)&lt;=5,COUNTIF('Sources &amp; Change Log'!$J$2:$J$5,Z$4)=0,COUNTIFS('Team Calendar'!$A$5:$A$12,$F5,'Team Calendar'!$C$5:$C$12,Z$4)=0),1,"")</f>
        <v/>
      </c>
      <c r="AA5" s="165">
        <f>IF(AND(ISNUMBER($D5),ISNUMBER($E5),AA$4&gt;=$D5,AA$4&lt;=$E5,WEEKDAY(AA$4,2)&lt;=5,COUNTIF('Sources &amp; Change Log'!$J$2:$J$5,AA$4)=0,COUNTIFS('Team Calendar'!$A$5:$A$12,$F5,'Team Calendar'!$C$5:$C$12,AA$4)=0),1,"")</f>
        <v/>
      </c>
      <c r="AB5" s="165">
        <f>IF(AND(ISNUMBER($D5),ISNUMBER($E5),AB$4&gt;=$D5,AB$4&lt;=$E5,WEEKDAY(AB$4,2)&lt;=5,COUNTIF('Sources &amp; Change Log'!$J$2:$J$5,AB$4)=0,COUNTIFS('Team Calendar'!$A$5:$A$12,$F5,'Team Calendar'!$C$5:$C$12,AB$4)=0),1,"")</f>
        <v/>
      </c>
      <c r="AC5" s="165">
        <f>IF(AND(ISNUMBER($D5),ISNUMBER($E5),AC$4&gt;=$D5,AC$4&lt;=$E5,WEEKDAY(AC$4,2)&lt;=5,COUNTIF('Sources &amp; Change Log'!$J$2:$J$5,AC$4)=0,COUNTIFS('Team Calendar'!$A$5:$A$12,$F5,'Team Calendar'!$C$5:$C$12,AC$4)=0),1,"")</f>
        <v/>
      </c>
      <c r="AD5" s="165">
        <f>IF(AND(ISNUMBER($D5),ISNUMBER($E5),AD$4&gt;=$D5,AD$4&lt;=$E5,WEEKDAY(AD$4,2)&lt;=5,COUNTIF('Sources &amp; Change Log'!$J$2:$J$5,AD$4)=0,COUNTIFS('Team Calendar'!$A$5:$A$12,$F5,'Team Calendar'!$C$5:$C$12,AD$4)=0),1,"")</f>
        <v/>
      </c>
      <c r="AE5" s="166">
        <f>IF(AND(ISNUMBER($D5),ISNUMBER($E5),AE$4&gt;=$D5,AE$4&lt;=$E5,WEEKDAY(AE$4,2)&lt;=5,COUNTIF('Sources &amp; Change Log'!$J$2:$J$5,AE$4)=0,COUNTIFS('Team Calendar'!$A$5:$A$12,$F5,'Team Calendar'!$C$5:$C$12,AE$4)=0),1,"")</f>
        <v/>
      </c>
      <c r="AF5" s="166">
        <f>IF(AND(ISNUMBER($D5),ISNUMBER($E5),AF$4&gt;=$D5,AF$4&lt;=$E5,WEEKDAY(AF$4,2)&lt;=5,COUNTIF('Sources &amp; Change Log'!$J$2:$J$5,AF$4)=0,COUNTIFS('Team Calendar'!$A$5:$A$12,$F5,'Team Calendar'!$C$5:$C$12,AF$4)=0),1,"")</f>
        <v/>
      </c>
      <c r="AG5" s="165">
        <f>IF(AND(ISNUMBER($D5),ISNUMBER($E5),AG$4&gt;=$D5,AG$4&lt;=$E5,WEEKDAY(AG$4,2)&lt;=5,COUNTIF('Sources &amp; Change Log'!$J$2:$J$5,AG$4)=0,COUNTIFS('Team Calendar'!$A$5:$A$12,$F5,'Team Calendar'!$C$5:$C$12,AG$4)=0),1,"")</f>
        <v/>
      </c>
      <c r="AH5" s="165">
        <f>IF(AND(ISNUMBER($D5),ISNUMBER($E5),AH$4&gt;=$D5,AH$4&lt;=$E5,WEEKDAY(AH$4,2)&lt;=5,COUNTIF('Sources &amp; Change Log'!$J$2:$J$5,AH$4)=0,COUNTIFS('Team Calendar'!$A$5:$A$12,$F5,'Team Calendar'!$C$5:$C$12,AH$4)=0),1,"")</f>
        <v/>
      </c>
      <c r="AI5" s="165">
        <f>IF(AND(ISNUMBER($D5),ISNUMBER($E5),AI$4&gt;=$D5,AI$4&lt;=$E5,WEEKDAY(AI$4,2)&lt;=5,COUNTIF('Sources &amp; Change Log'!$J$2:$J$5,AI$4)=0,COUNTIFS('Team Calendar'!$A$5:$A$12,$F5,'Team Calendar'!$C$5:$C$12,AI$4)=0),1,"")</f>
        <v/>
      </c>
    </row>
    <row r="6" ht="24" customHeight="1">
      <c r="A6" s="13">
        <f>WBS!A5</f>
        <v/>
      </c>
      <c r="B6" s="13">
        <f>WBS!B5</f>
        <v/>
      </c>
      <c r="C6" s="13">
        <f>WBS!G5</f>
        <v/>
      </c>
      <c r="D6" s="164">
        <f>IF(WBS!H5="","",WBS!H5)</f>
        <v/>
      </c>
      <c r="E6" s="164">
        <f>IF(WBS!I5="","",WBS!I5)</f>
        <v/>
      </c>
      <c r="F6" s="13">
        <f>WBS!L5</f>
        <v/>
      </c>
      <c r="G6" s="165">
        <f>IF(AND(ISNUMBER($D6),ISNUMBER($E6),G$4&gt;=$D6,G$4&lt;=$E6,WEEKDAY(G$4,2)&lt;=5,COUNTIF('Sources &amp; Change Log'!$J$2:$J$5,G$4)=0,COUNTIFS('Team Calendar'!$A$5:$A$12,$F6,'Team Calendar'!$C$5:$C$12,G$4)=0),1,"")</f>
        <v/>
      </c>
      <c r="H6" s="165">
        <f>IF(AND(ISNUMBER($D6),ISNUMBER($E6),H$4&gt;=$D6,H$4&lt;=$E6,WEEKDAY(H$4,2)&lt;=5,COUNTIF('Sources &amp; Change Log'!$J$2:$J$5,H$4)=0,COUNTIFS('Team Calendar'!$A$5:$A$12,$F6,'Team Calendar'!$C$5:$C$12,H$4)=0),1,"")</f>
        <v/>
      </c>
      <c r="I6" s="165">
        <f>IF(AND(ISNUMBER($D6),ISNUMBER($E6),I$4&gt;=$D6,I$4&lt;=$E6,WEEKDAY(I$4,2)&lt;=5,COUNTIF('Sources &amp; Change Log'!$J$2:$J$5,I$4)=0,COUNTIFS('Team Calendar'!$A$5:$A$12,$F6,'Team Calendar'!$C$5:$C$12,I$4)=0),1,"")</f>
        <v/>
      </c>
      <c r="J6" s="166">
        <f>IF(AND(ISNUMBER($D6),ISNUMBER($E6),J$4&gt;=$D6,J$4&lt;=$E6,WEEKDAY(J$4,2)&lt;=5,COUNTIF('Sources &amp; Change Log'!$J$2:$J$5,J$4)=0,COUNTIFS('Team Calendar'!$A$5:$A$12,$F6,'Team Calendar'!$C$5:$C$12,J$4)=0),1,"")</f>
        <v/>
      </c>
      <c r="K6" s="166">
        <f>IF(AND(ISNUMBER($D6),ISNUMBER($E6),K$4&gt;=$D6,K$4&lt;=$E6,WEEKDAY(K$4,2)&lt;=5,COUNTIF('Sources &amp; Change Log'!$J$2:$J$5,K$4)=0,COUNTIFS('Team Calendar'!$A$5:$A$12,$F6,'Team Calendar'!$C$5:$C$12,K$4)=0),1,"")</f>
        <v/>
      </c>
      <c r="L6" s="165">
        <f>IF(AND(ISNUMBER($D6),ISNUMBER($E6),L$4&gt;=$D6,L$4&lt;=$E6,WEEKDAY(L$4,2)&lt;=5,COUNTIF('Sources &amp; Change Log'!$J$2:$J$5,L$4)=0,COUNTIFS('Team Calendar'!$A$5:$A$12,$F6,'Team Calendar'!$C$5:$C$12,L$4)=0),1,"")</f>
        <v/>
      </c>
      <c r="M6" s="167">
        <f>IF(AND(ISNUMBER($D6),ISNUMBER($E6),M$4&gt;=$D6,M$4&lt;=$E6,WEEKDAY(M$4,2)&lt;=5,COUNTIF('Sources &amp; Change Log'!$J$2:$J$5,M$4)=0,COUNTIFS('Team Calendar'!$A$5:$A$12,$F6,'Team Calendar'!$C$5:$C$12,M$4)=0),1,"")</f>
        <v/>
      </c>
      <c r="N6" s="165">
        <f>IF(AND(ISNUMBER($D6),ISNUMBER($E6),N$4&gt;=$D6,N$4&lt;=$E6,WEEKDAY(N$4,2)&lt;=5,COUNTIF('Sources &amp; Change Log'!$J$2:$J$5,N$4)=0,COUNTIFS('Team Calendar'!$A$5:$A$12,$F6,'Team Calendar'!$C$5:$C$12,N$4)=0),1,"")</f>
        <v/>
      </c>
      <c r="O6" s="165">
        <f>IF(AND(ISNUMBER($D6),ISNUMBER($E6),O$4&gt;=$D6,O$4&lt;=$E6,WEEKDAY(O$4,2)&lt;=5,COUNTIF('Sources &amp; Change Log'!$J$2:$J$5,O$4)=0,COUNTIFS('Team Calendar'!$A$5:$A$12,$F6,'Team Calendar'!$C$5:$C$12,O$4)=0),1,"")</f>
        <v/>
      </c>
      <c r="P6" s="165">
        <f>IF(AND(ISNUMBER($D6),ISNUMBER($E6),P$4&gt;=$D6,P$4&lt;=$E6,WEEKDAY(P$4,2)&lt;=5,COUNTIF('Sources &amp; Change Log'!$J$2:$J$5,P$4)=0,COUNTIFS('Team Calendar'!$A$5:$A$12,$F6,'Team Calendar'!$C$5:$C$12,P$4)=0),1,"")</f>
        <v/>
      </c>
      <c r="Q6" s="166">
        <f>IF(AND(ISNUMBER($D6),ISNUMBER($E6),Q$4&gt;=$D6,Q$4&lt;=$E6,WEEKDAY(Q$4,2)&lt;=5,COUNTIF('Sources &amp; Change Log'!$J$2:$J$5,Q$4)=0,COUNTIFS('Team Calendar'!$A$5:$A$12,$F6,'Team Calendar'!$C$5:$C$12,Q$4)=0),1,"")</f>
        <v/>
      </c>
      <c r="R6" s="166">
        <f>IF(AND(ISNUMBER($D6),ISNUMBER($E6),R$4&gt;=$D6,R$4&lt;=$E6,WEEKDAY(R$4,2)&lt;=5,COUNTIF('Sources &amp; Change Log'!$J$2:$J$5,R$4)=0,COUNTIFS('Team Calendar'!$A$5:$A$12,$F6,'Team Calendar'!$C$5:$C$12,R$4)=0),1,"")</f>
        <v/>
      </c>
      <c r="S6" s="165">
        <f>IF(AND(ISNUMBER($D6),ISNUMBER($E6),S$4&gt;=$D6,S$4&lt;=$E6,WEEKDAY(S$4,2)&lt;=5,COUNTIF('Sources &amp; Change Log'!$J$2:$J$5,S$4)=0,COUNTIFS('Team Calendar'!$A$5:$A$12,$F6,'Team Calendar'!$C$5:$C$12,S$4)=0),1,"")</f>
        <v/>
      </c>
      <c r="T6" s="165">
        <f>IF(AND(ISNUMBER($D6),ISNUMBER($E6),T$4&gt;=$D6,T$4&lt;=$E6,WEEKDAY(T$4,2)&lt;=5,COUNTIF('Sources &amp; Change Log'!$J$2:$J$5,T$4)=0,COUNTIFS('Team Calendar'!$A$5:$A$12,$F6,'Team Calendar'!$C$5:$C$12,T$4)=0),1,"")</f>
        <v/>
      </c>
      <c r="U6" s="165">
        <f>IF(AND(ISNUMBER($D6),ISNUMBER($E6),U$4&gt;=$D6,U$4&lt;=$E6,WEEKDAY(U$4,2)&lt;=5,COUNTIF('Sources &amp; Change Log'!$J$2:$J$5,U$4)=0,COUNTIFS('Team Calendar'!$A$5:$A$12,$F6,'Team Calendar'!$C$5:$C$12,U$4)=0),1,"")</f>
        <v/>
      </c>
      <c r="V6" s="165">
        <f>IF(AND(ISNUMBER($D6),ISNUMBER($E6),V$4&gt;=$D6,V$4&lt;=$E6,WEEKDAY(V$4,2)&lt;=5,COUNTIF('Sources &amp; Change Log'!$J$2:$J$5,V$4)=0,COUNTIFS('Team Calendar'!$A$5:$A$12,$F6,'Team Calendar'!$C$5:$C$12,V$4)=0),1,"")</f>
        <v/>
      </c>
      <c r="W6" s="165">
        <f>IF(AND(ISNUMBER($D6),ISNUMBER($E6),W$4&gt;=$D6,W$4&lt;=$E6,WEEKDAY(W$4,2)&lt;=5,COUNTIF('Sources &amp; Change Log'!$J$2:$J$5,W$4)=0,COUNTIFS('Team Calendar'!$A$5:$A$12,$F6,'Team Calendar'!$C$5:$C$12,W$4)=0),1,"")</f>
        <v/>
      </c>
      <c r="X6" s="166">
        <f>IF(AND(ISNUMBER($D6),ISNUMBER($E6),X$4&gt;=$D6,X$4&lt;=$E6,WEEKDAY(X$4,2)&lt;=5,COUNTIF('Sources &amp; Change Log'!$J$2:$J$5,X$4)=0,COUNTIFS('Team Calendar'!$A$5:$A$12,$F6,'Team Calendar'!$C$5:$C$12,X$4)=0),1,"")</f>
        <v/>
      </c>
      <c r="Y6" s="166">
        <f>IF(AND(ISNUMBER($D6),ISNUMBER($E6),Y$4&gt;=$D6,Y$4&lt;=$E6,WEEKDAY(Y$4,2)&lt;=5,COUNTIF('Sources &amp; Change Log'!$J$2:$J$5,Y$4)=0,COUNTIFS('Team Calendar'!$A$5:$A$12,$F6,'Team Calendar'!$C$5:$C$12,Y$4)=0),1,"")</f>
        <v/>
      </c>
      <c r="Z6" s="165">
        <f>IF(AND(ISNUMBER($D6),ISNUMBER($E6),Z$4&gt;=$D6,Z$4&lt;=$E6,WEEKDAY(Z$4,2)&lt;=5,COUNTIF('Sources &amp; Change Log'!$J$2:$J$5,Z$4)=0,COUNTIFS('Team Calendar'!$A$5:$A$12,$F6,'Team Calendar'!$C$5:$C$12,Z$4)=0),1,"")</f>
        <v/>
      </c>
      <c r="AA6" s="165">
        <f>IF(AND(ISNUMBER($D6),ISNUMBER($E6),AA$4&gt;=$D6,AA$4&lt;=$E6,WEEKDAY(AA$4,2)&lt;=5,COUNTIF('Sources &amp; Change Log'!$J$2:$J$5,AA$4)=0,COUNTIFS('Team Calendar'!$A$5:$A$12,$F6,'Team Calendar'!$C$5:$C$12,AA$4)=0),1,"")</f>
        <v/>
      </c>
      <c r="AB6" s="165">
        <f>IF(AND(ISNUMBER($D6),ISNUMBER($E6),AB$4&gt;=$D6,AB$4&lt;=$E6,WEEKDAY(AB$4,2)&lt;=5,COUNTIF('Sources &amp; Change Log'!$J$2:$J$5,AB$4)=0,COUNTIFS('Team Calendar'!$A$5:$A$12,$F6,'Team Calendar'!$C$5:$C$12,AB$4)=0),1,"")</f>
        <v/>
      </c>
      <c r="AC6" s="165">
        <f>IF(AND(ISNUMBER($D6),ISNUMBER($E6),AC$4&gt;=$D6,AC$4&lt;=$E6,WEEKDAY(AC$4,2)&lt;=5,COUNTIF('Sources &amp; Change Log'!$J$2:$J$5,AC$4)=0,COUNTIFS('Team Calendar'!$A$5:$A$12,$F6,'Team Calendar'!$C$5:$C$12,AC$4)=0),1,"")</f>
        <v/>
      </c>
      <c r="AD6" s="165">
        <f>IF(AND(ISNUMBER($D6),ISNUMBER($E6),AD$4&gt;=$D6,AD$4&lt;=$E6,WEEKDAY(AD$4,2)&lt;=5,COUNTIF('Sources &amp; Change Log'!$J$2:$J$5,AD$4)=0,COUNTIFS('Team Calendar'!$A$5:$A$12,$F6,'Team Calendar'!$C$5:$C$12,AD$4)=0),1,"")</f>
        <v/>
      </c>
      <c r="AE6" s="166">
        <f>IF(AND(ISNUMBER($D6),ISNUMBER($E6),AE$4&gt;=$D6,AE$4&lt;=$E6,WEEKDAY(AE$4,2)&lt;=5,COUNTIF('Sources &amp; Change Log'!$J$2:$J$5,AE$4)=0,COUNTIFS('Team Calendar'!$A$5:$A$12,$F6,'Team Calendar'!$C$5:$C$12,AE$4)=0),1,"")</f>
        <v/>
      </c>
      <c r="AF6" s="166">
        <f>IF(AND(ISNUMBER($D6),ISNUMBER($E6),AF$4&gt;=$D6,AF$4&lt;=$E6,WEEKDAY(AF$4,2)&lt;=5,COUNTIF('Sources &amp; Change Log'!$J$2:$J$5,AF$4)=0,COUNTIFS('Team Calendar'!$A$5:$A$12,$F6,'Team Calendar'!$C$5:$C$12,AF$4)=0),1,"")</f>
        <v/>
      </c>
      <c r="AG6" s="165">
        <f>IF(AND(ISNUMBER($D6),ISNUMBER($E6),AG$4&gt;=$D6,AG$4&lt;=$E6,WEEKDAY(AG$4,2)&lt;=5,COUNTIF('Sources &amp; Change Log'!$J$2:$J$5,AG$4)=0,COUNTIFS('Team Calendar'!$A$5:$A$12,$F6,'Team Calendar'!$C$5:$C$12,AG$4)=0),1,"")</f>
        <v/>
      </c>
      <c r="AH6" s="165">
        <f>IF(AND(ISNUMBER($D6),ISNUMBER($E6),AH$4&gt;=$D6,AH$4&lt;=$E6,WEEKDAY(AH$4,2)&lt;=5,COUNTIF('Sources &amp; Change Log'!$J$2:$J$5,AH$4)=0,COUNTIFS('Team Calendar'!$A$5:$A$12,$F6,'Team Calendar'!$C$5:$C$12,AH$4)=0),1,"")</f>
        <v/>
      </c>
      <c r="AI6" s="165">
        <f>IF(AND(ISNUMBER($D6),ISNUMBER($E6),AI$4&gt;=$D6,AI$4&lt;=$E6,WEEKDAY(AI$4,2)&lt;=5,COUNTIF('Sources &amp; Change Log'!$J$2:$J$5,AI$4)=0,COUNTIFS('Team Calendar'!$A$5:$A$12,$F6,'Team Calendar'!$C$5:$C$12,AI$4)=0),1,"")</f>
        <v/>
      </c>
    </row>
    <row r="7" ht="24" customHeight="1">
      <c r="A7" s="13">
        <f>WBS!A7</f>
        <v/>
      </c>
      <c r="B7" s="13">
        <f>WBS!B7</f>
        <v/>
      </c>
      <c r="C7" s="13">
        <f>WBS!G7</f>
        <v/>
      </c>
      <c r="D7" s="164">
        <f>IF(WBS!H7="","",WBS!H7)</f>
        <v/>
      </c>
      <c r="E7" s="164">
        <f>IF(WBS!I7="","",WBS!I7)</f>
        <v/>
      </c>
      <c r="F7" s="13">
        <f>WBS!L7</f>
        <v/>
      </c>
      <c r="G7" s="165">
        <f>IF(AND(ISNUMBER($D7),ISNUMBER($E7),G$4&gt;=$D7,G$4&lt;=$E7,WEEKDAY(G$4,2)&lt;=5,COUNTIF('Sources &amp; Change Log'!$J$2:$J$5,G$4)=0,COUNTIFS('Team Calendar'!$A$5:$A$12,$F7,'Team Calendar'!$C$5:$C$12,G$4)=0),1,"")</f>
        <v/>
      </c>
      <c r="H7" s="165">
        <f>IF(AND(ISNUMBER($D7),ISNUMBER($E7),H$4&gt;=$D7,H$4&lt;=$E7,WEEKDAY(H$4,2)&lt;=5,COUNTIF('Sources &amp; Change Log'!$J$2:$J$5,H$4)=0,COUNTIFS('Team Calendar'!$A$5:$A$12,$F7,'Team Calendar'!$C$5:$C$12,H$4)=0),1,"")</f>
        <v/>
      </c>
      <c r="I7" s="165">
        <f>IF(AND(ISNUMBER($D7),ISNUMBER($E7),I$4&gt;=$D7,I$4&lt;=$E7,WEEKDAY(I$4,2)&lt;=5,COUNTIF('Sources &amp; Change Log'!$J$2:$J$5,I$4)=0,COUNTIFS('Team Calendar'!$A$5:$A$12,$F7,'Team Calendar'!$C$5:$C$12,I$4)=0),1,"")</f>
        <v/>
      </c>
      <c r="J7" s="166">
        <f>IF(AND(ISNUMBER($D7),ISNUMBER($E7),J$4&gt;=$D7,J$4&lt;=$E7,WEEKDAY(J$4,2)&lt;=5,COUNTIF('Sources &amp; Change Log'!$J$2:$J$5,J$4)=0,COUNTIFS('Team Calendar'!$A$5:$A$12,$F7,'Team Calendar'!$C$5:$C$12,J$4)=0),1,"")</f>
        <v/>
      </c>
      <c r="K7" s="166">
        <f>IF(AND(ISNUMBER($D7),ISNUMBER($E7),K$4&gt;=$D7,K$4&lt;=$E7,WEEKDAY(K$4,2)&lt;=5,COUNTIF('Sources &amp; Change Log'!$J$2:$J$5,K$4)=0,COUNTIFS('Team Calendar'!$A$5:$A$12,$F7,'Team Calendar'!$C$5:$C$12,K$4)=0),1,"")</f>
        <v/>
      </c>
      <c r="L7" s="165">
        <f>IF(AND(ISNUMBER($D7),ISNUMBER($E7),L$4&gt;=$D7,L$4&lt;=$E7,WEEKDAY(L$4,2)&lt;=5,COUNTIF('Sources &amp; Change Log'!$J$2:$J$5,L$4)=0,COUNTIFS('Team Calendar'!$A$5:$A$12,$F7,'Team Calendar'!$C$5:$C$12,L$4)=0),1,"")</f>
        <v/>
      </c>
      <c r="M7" s="167">
        <f>IF(AND(ISNUMBER($D7),ISNUMBER($E7),M$4&gt;=$D7,M$4&lt;=$E7,WEEKDAY(M$4,2)&lt;=5,COUNTIF('Sources &amp; Change Log'!$J$2:$J$5,M$4)=0,COUNTIFS('Team Calendar'!$A$5:$A$12,$F7,'Team Calendar'!$C$5:$C$12,M$4)=0),1,"")</f>
        <v/>
      </c>
      <c r="N7" s="165">
        <f>IF(AND(ISNUMBER($D7),ISNUMBER($E7),N$4&gt;=$D7,N$4&lt;=$E7,WEEKDAY(N$4,2)&lt;=5,COUNTIF('Sources &amp; Change Log'!$J$2:$J$5,N$4)=0,COUNTIFS('Team Calendar'!$A$5:$A$12,$F7,'Team Calendar'!$C$5:$C$12,N$4)=0),1,"")</f>
        <v/>
      </c>
      <c r="O7" s="165">
        <f>IF(AND(ISNUMBER($D7),ISNUMBER($E7),O$4&gt;=$D7,O$4&lt;=$E7,WEEKDAY(O$4,2)&lt;=5,COUNTIF('Sources &amp; Change Log'!$J$2:$J$5,O$4)=0,COUNTIFS('Team Calendar'!$A$5:$A$12,$F7,'Team Calendar'!$C$5:$C$12,O$4)=0),1,"")</f>
        <v/>
      </c>
      <c r="P7" s="165">
        <f>IF(AND(ISNUMBER($D7),ISNUMBER($E7),P$4&gt;=$D7,P$4&lt;=$E7,WEEKDAY(P$4,2)&lt;=5,COUNTIF('Sources &amp; Change Log'!$J$2:$J$5,P$4)=0,COUNTIFS('Team Calendar'!$A$5:$A$12,$F7,'Team Calendar'!$C$5:$C$12,P$4)=0),1,"")</f>
        <v/>
      </c>
      <c r="Q7" s="166">
        <f>IF(AND(ISNUMBER($D7),ISNUMBER($E7),Q$4&gt;=$D7,Q$4&lt;=$E7,WEEKDAY(Q$4,2)&lt;=5,COUNTIF('Sources &amp; Change Log'!$J$2:$J$5,Q$4)=0,COUNTIFS('Team Calendar'!$A$5:$A$12,$F7,'Team Calendar'!$C$5:$C$12,Q$4)=0),1,"")</f>
        <v/>
      </c>
      <c r="R7" s="166">
        <f>IF(AND(ISNUMBER($D7),ISNUMBER($E7),R$4&gt;=$D7,R$4&lt;=$E7,WEEKDAY(R$4,2)&lt;=5,COUNTIF('Sources &amp; Change Log'!$J$2:$J$5,R$4)=0,COUNTIFS('Team Calendar'!$A$5:$A$12,$F7,'Team Calendar'!$C$5:$C$12,R$4)=0),1,"")</f>
        <v/>
      </c>
      <c r="S7" s="165">
        <f>IF(AND(ISNUMBER($D7),ISNUMBER($E7),S$4&gt;=$D7,S$4&lt;=$E7,WEEKDAY(S$4,2)&lt;=5,COUNTIF('Sources &amp; Change Log'!$J$2:$J$5,S$4)=0,COUNTIFS('Team Calendar'!$A$5:$A$12,$F7,'Team Calendar'!$C$5:$C$12,S$4)=0),1,"")</f>
        <v/>
      </c>
      <c r="T7" s="168">
        <f>IF(AND(ISNUMBER($D7),ISNUMBER($E7),T$4&gt;=$D7,T$4&lt;=$E7,WEEKDAY(T$4,2)&lt;=5,COUNTIF('Sources &amp; Change Log'!$J$2:$J$5,T$4)=0,COUNTIFS('Team Calendar'!$A$5:$A$12,$F7,'Team Calendar'!$C$5:$C$12,T$4)=0),1,"")</f>
        <v/>
      </c>
      <c r="U7" s="165">
        <f>IF(AND(ISNUMBER($D7),ISNUMBER($E7),U$4&gt;=$D7,U$4&lt;=$E7,WEEKDAY(U$4,2)&lt;=5,COUNTIF('Sources &amp; Change Log'!$J$2:$J$5,U$4)=0,COUNTIFS('Team Calendar'!$A$5:$A$12,$F7,'Team Calendar'!$C$5:$C$12,U$4)=0),1,"")</f>
        <v/>
      </c>
      <c r="V7" s="165">
        <f>IF(AND(ISNUMBER($D7),ISNUMBER($E7),V$4&gt;=$D7,V$4&lt;=$E7,WEEKDAY(V$4,2)&lt;=5,COUNTIF('Sources &amp; Change Log'!$J$2:$J$5,V$4)=0,COUNTIFS('Team Calendar'!$A$5:$A$12,$F7,'Team Calendar'!$C$5:$C$12,V$4)=0),1,"")</f>
        <v/>
      </c>
      <c r="W7" s="165">
        <f>IF(AND(ISNUMBER($D7),ISNUMBER($E7),W$4&gt;=$D7,W$4&lt;=$E7,WEEKDAY(W$4,2)&lt;=5,COUNTIF('Sources &amp; Change Log'!$J$2:$J$5,W$4)=0,COUNTIFS('Team Calendar'!$A$5:$A$12,$F7,'Team Calendar'!$C$5:$C$12,W$4)=0),1,"")</f>
        <v/>
      </c>
      <c r="X7" s="166">
        <f>IF(AND(ISNUMBER($D7),ISNUMBER($E7),X$4&gt;=$D7,X$4&lt;=$E7,WEEKDAY(X$4,2)&lt;=5,COUNTIF('Sources &amp; Change Log'!$J$2:$J$5,X$4)=0,COUNTIFS('Team Calendar'!$A$5:$A$12,$F7,'Team Calendar'!$C$5:$C$12,X$4)=0),1,"")</f>
        <v/>
      </c>
      <c r="Y7" s="166">
        <f>IF(AND(ISNUMBER($D7),ISNUMBER($E7),Y$4&gt;=$D7,Y$4&lt;=$E7,WEEKDAY(Y$4,2)&lt;=5,COUNTIF('Sources &amp; Change Log'!$J$2:$J$5,Y$4)=0,COUNTIFS('Team Calendar'!$A$5:$A$12,$F7,'Team Calendar'!$C$5:$C$12,Y$4)=0),1,"")</f>
        <v/>
      </c>
      <c r="Z7" s="165">
        <f>IF(AND(ISNUMBER($D7),ISNUMBER($E7),Z$4&gt;=$D7,Z$4&lt;=$E7,WEEKDAY(Z$4,2)&lt;=5,COUNTIF('Sources &amp; Change Log'!$J$2:$J$5,Z$4)=0,COUNTIFS('Team Calendar'!$A$5:$A$12,$F7,'Team Calendar'!$C$5:$C$12,Z$4)=0),1,"")</f>
        <v/>
      </c>
      <c r="AA7" s="165">
        <f>IF(AND(ISNUMBER($D7),ISNUMBER($E7),AA$4&gt;=$D7,AA$4&lt;=$E7,WEEKDAY(AA$4,2)&lt;=5,COUNTIF('Sources &amp; Change Log'!$J$2:$J$5,AA$4)=0,COUNTIFS('Team Calendar'!$A$5:$A$12,$F7,'Team Calendar'!$C$5:$C$12,AA$4)=0),1,"")</f>
        <v/>
      </c>
      <c r="AB7" s="165">
        <f>IF(AND(ISNUMBER($D7),ISNUMBER($E7),AB$4&gt;=$D7,AB$4&lt;=$E7,WEEKDAY(AB$4,2)&lt;=5,COUNTIF('Sources &amp; Change Log'!$J$2:$J$5,AB$4)=0,COUNTIFS('Team Calendar'!$A$5:$A$12,$F7,'Team Calendar'!$C$5:$C$12,AB$4)=0),1,"")</f>
        <v/>
      </c>
      <c r="AC7" s="165">
        <f>IF(AND(ISNUMBER($D7),ISNUMBER($E7),AC$4&gt;=$D7,AC$4&lt;=$E7,WEEKDAY(AC$4,2)&lt;=5,COUNTIF('Sources &amp; Change Log'!$J$2:$J$5,AC$4)=0,COUNTIFS('Team Calendar'!$A$5:$A$12,$F7,'Team Calendar'!$C$5:$C$12,AC$4)=0),1,"")</f>
        <v/>
      </c>
      <c r="AD7" s="165">
        <f>IF(AND(ISNUMBER($D7),ISNUMBER($E7),AD$4&gt;=$D7,AD$4&lt;=$E7,WEEKDAY(AD$4,2)&lt;=5,COUNTIF('Sources &amp; Change Log'!$J$2:$J$5,AD$4)=0,COUNTIFS('Team Calendar'!$A$5:$A$12,$F7,'Team Calendar'!$C$5:$C$12,AD$4)=0),1,"")</f>
        <v/>
      </c>
      <c r="AE7" s="166">
        <f>IF(AND(ISNUMBER($D7),ISNUMBER($E7),AE$4&gt;=$D7,AE$4&lt;=$E7,WEEKDAY(AE$4,2)&lt;=5,COUNTIF('Sources &amp; Change Log'!$J$2:$J$5,AE$4)=0,COUNTIFS('Team Calendar'!$A$5:$A$12,$F7,'Team Calendar'!$C$5:$C$12,AE$4)=0),1,"")</f>
        <v/>
      </c>
      <c r="AF7" s="166">
        <f>IF(AND(ISNUMBER($D7),ISNUMBER($E7),AF$4&gt;=$D7,AF$4&lt;=$E7,WEEKDAY(AF$4,2)&lt;=5,COUNTIF('Sources &amp; Change Log'!$J$2:$J$5,AF$4)=0,COUNTIFS('Team Calendar'!$A$5:$A$12,$F7,'Team Calendar'!$C$5:$C$12,AF$4)=0),1,"")</f>
        <v/>
      </c>
      <c r="AG7" s="165">
        <f>IF(AND(ISNUMBER($D7),ISNUMBER($E7),AG$4&gt;=$D7,AG$4&lt;=$E7,WEEKDAY(AG$4,2)&lt;=5,COUNTIF('Sources &amp; Change Log'!$J$2:$J$5,AG$4)=0,COUNTIFS('Team Calendar'!$A$5:$A$12,$F7,'Team Calendar'!$C$5:$C$12,AG$4)=0),1,"")</f>
        <v/>
      </c>
      <c r="AH7" s="165">
        <f>IF(AND(ISNUMBER($D7),ISNUMBER($E7),AH$4&gt;=$D7,AH$4&lt;=$E7,WEEKDAY(AH$4,2)&lt;=5,COUNTIF('Sources &amp; Change Log'!$J$2:$J$5,AH$4)=0,COUNTIFS('Team Calendar'!$A$5:$A$12,$F7,'Team Calendar'!$C$5:$C$12,AH$4)=0),1,"")</f>
        <v/>
      </c>
      <c r="AI7" s="165">
        <f>IF(AND(ISNUMBER($D7),ISNUMBER($E7),AI$4&gt;=$D7,AI$4&lt;=$E7,WEEKDAY(AI$4,2)&lt;=5,COUNTIF('Sources &amp; Change Log'!$J$2:$J$5,AI$4)=0,COUNTIFS('Team Calendar'!$A$5:$A$12,$F7,'Team Calendar'!$C$5:$C$12,AI$4)=0),1,"")</f>
        <v/>
      </c>
    </row>
    <row r="8" ht="24" customHeight="1">
      <c r="A8" s="13">
        <f>WBS!A6</f>
        <v/>
      </c>
      <c r="B8" s="13">
        <f>WBS!B6</f>
        <v/>
      </c>
      <c r="C8" s="13">
        <f>WBS!G6</f>
        <v/>
      </c>
      <c r="D8" s="164">
        <f>IF(WBS!H6="","",WBS!H6)</f>
        <v/>
      </c>
      <c r="E8" s="164">
        <f>IF(WBS!I6="","",WBS!I6)</f>
        <v/>
      </c>
      <c r="F8" s="13">
        <f>WBS!L6</f>
        <v/>
      </c>
      <c r="G8" s="165">
        <f>IF(AND(ISNUMBER($D8),ISNUMBER($E8),G$4&gt;=$D8,G$4&lt;=$E8,WEEKDAY(G$4,2)&lt;=5,COUNTIF('Sources &amp; Change Log'!$J$2:$J$5,G$4)=0,COUNTIFS('Team Calendar'!$A$5:$A$12,$F8,'Team Calendar'!$C$5:$C$12,G$4)=0),1,"")</f>
        <v/>
      </c>
      <c r="H8" s="165">
        <f>IF(AND(ISNUMBER($D8),ISNUMBER($E8),H$4&gt;=$D8,H$4&lt;=$E8,WEEKDAY(H$4,2)&lt;=5,COUNTIF('Sources &amp; Change Log'!$J$2:$J$5,H$4)=0,COUNTIFS('Team Calendar'!$A$5:$A$12,$F8,'Team Calendar'!$C$5:$C$12,H$4)=0),1,"")</f>
        <v/>
      </c>
      <c r="I8" s="165">
        <f>IF(AND(ISNUMBER($D8),ISNUMBER($E8),I$4&gt;=$D8,I$4&lt;=$E8,WEEKDAY(I$4,2)&lt;=5,COUNTIF('Sources &amp; Change Log'!$J$2:$J$5,I$4)=0,COUNTIFS('Team Calendar'!$A$5:$A$12,$F8,'Team Calendar'!$C$5:$C$12,I$4)=0),1,"")</f>
        <v/>
      </c>
      <c r="J8" s="166">
        <f>IF(AND(ISNUMBER($D8),ISNUMBER($E8),J$4&gt;=$D8,J$4&lt;=$E8,WEEKDAY(J$4,2)&lt;=5,COUNTIF('Sources &amp; Change Log'!$J$2:$J$5,J$4)=0,COUNTIFS('Team Calendar'!$A$5:$A$12,$F8,'Team Calendar'!$C$5:$C$12,J$4)=0),1,"")</f>
        <v/>
      </c>
      <c r="K8" s="166">
        <f>IF(AND(ISNUMBER($D8),ISNUMBER($E8),K$4&gt;=$D8,K$4&lt;=$E8,WEEKDAY(K$4,2)&lt;=5,COUNTIF('Sources &amp; Change Log'!$J$2:$J$5,K$4)=0,COUNTIFS('Team Calendar'!$A$5:$A$12,$F8,'Team Calendar'!$C$5:$C$12,K$4)=0),1,"")</f>
        <v/>
      </c>
      <c r="L8" s="165">
        <f>IF(AND(ISNUMBER($D8),ISNUMBER($E8),L$4&gt;=$D8,L$4&lt;=$E8,WEEKDAY(L$4,2)&lt;=5,COUNTIF('Sources &amp; Change Log'!$J$2:$J$5,L$4)=0,COUNTIFS('Team Calendar'!$A$5:$A$12,$F8,'Team Calendar'!$C$5:$C$12,L$4)=0),1,"")</f>
        <v/>
      </c>
      <c r="M8" s="167">
        <f>IF(AND(ISNUMBER($D8),ISNUMBER($E8),M$4&gt;=$D8,M$4&lt;=$E8,WEEKDAY(M$4,2)&lt;=5,COUNTIF('Sources &amp; Change Log'!$J$2:$J$5,M$4)=0,COUNTIFS('Team Calendar'!$A$5:$A$12,$F8,'Team Calendar'!$C$5:$C$12,M$4)=0),1,"")</f>
        <v/>
      </c>
      <c r="N8" s="165">
        <f>IF(AND(ISNUMBER($D8),ISNUMBER($E8),N$4&gt;=$D8,N$4&lt;=$E8,WEEKDAY(N$4,2)&lt;=5,COUNTIF('Sources &amp; Change Log'!$J$2:$J$5,N$4)=0,COUNTIFS('Team Calendar'!$A$5:$A$12,$F8,'Team Calendar'!$C$5:$C$12,N$4)=0),1,"")</f>
        <v/>
      </c>
      <c r="O8" s="165">
        <f>IF(AND(ISNUMBER($D8),ISNUMBER($E8),O$4&gt;=$D8,O$4&lt;=$E8,WEEKDAY(O$4,2)&lt;=5,COUNTIF('Sources &amp; Change Log'!$J$2:$J$5,O$4)=0,COUNTIFS('Team Calendar'!$A$5:$A$12,$F8,'Team Calendar'!$C$5:$C$12,O$4)=0),1,"")</f>
        <v/>
      </c>
      <c r="P8" s="165">
        <f>IF(AND(ISNUMBER($D8),ISNUMBER($E8),P$4&gt;=$D8,P$4&lt;=$E8,WEEKDAY(P$4,2)&lt;=5,COUNTIF('Sources &amp; Change Log'!$J$2:$J$5,P$4)=0,COUNTIFS('Team Calendar'!$A$5:$A$12,$F8,'Team Calendar'!$C$5:$C$12,P$4)=0),1,"")</f>
        <v/>
      </c>
      <c r="Q8" s="166">
        <f>IF(AND(ISNUMBER($D8),ISNUMBER($E8),Q$4&gt;=$D8,Q$4&lt;=$E8,WEEKDAY(Q$4,2)&lt;=5,COUNTIF('Sources &amp; Change Log'!$J$2:$J$5,Q$4)=0,COUNTIFS('Team Calendar'!$A$5:$A$12,$F8,'Team Calendar'!$C$5:$C$12,Q$4)=0),1,"")</f>
        <v/>
      </c>
      <c r="R8" s="166">
        <f>IF(AND(ISNUMBER($D8),ISNUMBER($E8),R$4&gt;=$D8,R$4&lt;=$E8,WEEKDAY(R$4,2)&lt;=5,COUNTIF('Sources &amp; Change Log'!$J$2:$J$5,R$4)=0,COUNTIFS('Team Calendar'!$A$5:$A$12,$F8,'Team Calendar'!$C$5:$C$12,R$4)=0),1,"")</f>
        <v/>
      </c>
      <c r="S8" s="165">
        <f>IF(AND(ISNUMBER($D8),ISNUMBER($E8),S$4&gt;=$D8,S$4&lt;=$E8,WEEKDAY(S$4,2)&lt;=5,COUNTIF('Sources &amp; Change Log'!$J$2:$J$5,S$4)=0,COUNTIFS('Team Calendar'!$A$5:$A$12,$F8,'Team Calendar'!$C$5:$C$12,S$4)=0),1,"")</f>
        <v/>
      </c>
      <c r="T8" s="165">
        <f>IF(AND(ISNUMBER($D8),ISNUMBER($E8),T$4&gt;=$D8,T$4&lt;=$E8,WEEKDAY(T$4,2)&lt;=5,COUNTIF('Sources &amp; Change Log'!$J$2:$J$5,T$4)=0,COUNTIFS('Team Calendar'!$A$5:$A$12,$F8,'Team Calendar'!$C$5:$C$12,T$4)=0),1,"")</f>
        <v/>
      </c>
      <c r="U8" s="165">
        <f>IF(AND(ISNUMBER($D8),ISNUMBER($E8),U$4&gt;=$D8,U$4&lt;=$E8,WEEKDAY(U$4,2)&lt;=5,COUNTIF('Sources &amp; Change Log'!$J$2:$J$5,U$4)=0,COUNTIFS('Team Calendar'!$A$5:$A$12,$F8,'Team Calendar'!$C$5:$C$12,U$4)=0),1,"")</f>
        <v/>
      </c>
      <c r="V8" s="165">
        <f>IF(AND(ISNUMBER($D8),ISNUMBER($E8),V$4&gt;=$D8,V$4&lt;=$E8,WEEKDAY(V$4,2)&lt;=5,COUNTIF('Sources &amp; Change Log'!$J$2:$J$5,V$4)=0,COUNTIFS('Team Calendar'!$A$5:$A$12,$F8,'Team Calendar'!$C$5:$C$12,V$4)=0),1,"")</f>
        <v/>
      </c>
      <c r="W8" s="165">
        <f>IF(AND(ISNUMBER($D8),ISNUMBER($E8),W$4&gt;=$D8,W$4&lt;=$E8,WEEKDAY(W$4,2)&lt;=5,COUNTIF('Sources &amp; Change Log'!$J$2:$J$5,W$4)=0,COUNTIFS('Team Calendar'!$A$5:$A$12,$F8,'Team Calendar'!$C$5:$C$12,W$4)=0),1,"")</f>
        <v/>
      </c>
      <c r="X8" s="166">
        <f>IF(AND(ISNUMBER($D8),ISNUMBER($E8),X$4&gt;=$D8,X$4&lt;=$E8,WEEKDAY(X$4,2)&lt;=5,COUNTIF('Sources &amp; Change Log'!$J$2:$J$5,X$4)=0,COUNTIFS('Team Calendar'!$A$5:$A$12,$F8,'Team Calendar'!$C$5:$C$12,X$4)=0),1,"")</f>
        <v/>
      </c>
      <c r="Y8" s="166">
        <f>IF(AND(ISNUMBER($D8),ISNUMBER($E8),Y$4&gt;=$D8,Y$4&lt;=$E8,WEEKDAY(Y$4,2)&lt;=5,COUNTIF('Sources &amp; Change Log'!$J$2:$J$5,Y$4)=0,COUNTIFS('Team Calendar'!$A$5:$A$12,$F8,'Team Calendar'!$C$5:$C$12,Y$4)=0),1,"")</f>
        <v/>
      </c>
      <c r="Z8" s="165">
        <f>IF(AND(ISNUMBER($D8),ISNUMBER($E8),Z$4&gt;=$D8,Z$4&lt;=$E8,WEEKDAY(Z$4,2)&lt;=5,COUNTIF('Sources &amp; Change Log'!$J$2:$J$5,Z$4)=0,COUNTIFS('Team Calendar'!$A$5:$A$12,$F8,'Team Calendar'!$C$5:$C$12,Z$4)=0),1,"")</f>
        <v/>
      </c>
      <c r="AA8" s="165">
        <f>IF(AND(ISNUMBER($D8),ISNUMBER($E8),AA$4&gt;=$D8,AA$4&lt;=$E8,WEEKDAY(AA$4,2)&lt;=5,COUNTIF('Sources &amp; Change Log'!$J$2:$J$5,AA$4)=0,COUNTIFS('Team Calendar'!$A$5:$A$12,$F8,'Team Calendar'!$C$5:$C$12,AA$4)=0),1,"")</f>
        <v/>
      </c>
      <c r="AB8" s="165">
        <f>IF(AND(ISNUMBER($D8),ISNUMBER($E8),AB$4&gt;=$D8,AB$4&lt;=$E8,WEEKDAY(AB$4,2)&lt;=5,COUNTIF('Sources &amp; Change Log'!$J$2:$J$5,AB$4)=0,COUNTIFS('Team Calendar'!$A$5:$A$12,$F8,'Team Calendar'!$C$5:$C$12,AB$4)=0),1,"")</f>
        <v/>
      </c>
      <c r="AC8" s="165">
        <f>IF(AND(ISNUMBER($D8),ISNUMBER($E8),AC$4&gt;=$D8,AC$4&lt;=$E8,WEEKDAY(AC$4,2)&lt;=5,COUNTIF('Sources &amp; Change Log'!$J$2:$J$5,AC$4)=0,COUNTIFS('Team Calendar'!$A$5:$A$12,$F8,'Team Calendar'!$C$5:$C$12,AC$4)=0),1,"")</f>
        <v/>
      </c>
      <c r="AD8" s="165">
        <f>IF(AND(ISNUMBER($D8),ISNUMBER($E8),AD$4&gt;=$D8,AD$4&lt;=$E8,WEEKDAY(AD$4,2)&lt;=5,COUNTIF('Sources &amp; Change Log'!$J$2:$J$5,AD$4)=0,COUNTIFS('Team Calendar'!$A$5:$A$12,$F8,'Team Calendar'!$C$5:$C$12,AD$4)=0),1,"")</f>
        <v/>
      </c>
      <c r="AE8" s="166">
        <f>IF(AND(ISNUMBER($D8),ISNUMBER($E8),AE$4&gt;=$D8,AE$4&lt;=$E8,WEEKDAY(AE$4,2)&lt;=5,COUNTIF('Sources &amp; Change Log'!$J$2:$J$5,AE$4)=0,COUNTIFS('Team Calendar'!$A$5:$A$12,$F8,'Team Calendar'!$C$5:$C$12,AE$4)=0),1,"")</f>
        <v/>
      </c>
      <c r="AF8" s="166">
        <f>IF(AND(ISNUMBER($D8),ISNUMBER($E8),AF$4&gt;=$D8,AF$4&lt;=$E8,WEEKDAY(AF$4,2)&lt;=5,COUNTIF('Sources &amp; Change Log'!$J$2:$J$5,AF$4)=0,COUNTIFS('Team Calendar'!$A$5:$A$12,$F8,'Team Calendar'!$C$5:$C$12,AF$4)=0),1,"")</f>
        <v/>
      </c>
      <c r="AG8" s="165">
        <f>IF(AND(ISNUMBER($D8),ISNUMBER($E8),AG$4&gt;=$D8,AG$4&lt;=$E8,WEEKDAY(AG$4,2)&lt;=5,COUNTIF('Sources &amp; Change Log'!$J$2:$J$5,AG$4)=0,COUNTIFS('Team Calendar'!$A$5:$A$12,$F8,'Team Calendar'!$C$5:$C$12,AG$4)=0),1,"")</f>
        <v/>
      </c>
      <c r="AH8" s="165">
        <f>IF(AND(ISNUMBER($D8),ISNUMBER($E8),AH$4&gt;=$D8,AH$4&lt;=$E8,WEEKDAY(AH$4,2)&lt;=5,COUNTIF('Sources &amp; Change Log'!$J$2:$J$5,AH$4)=0,COUNTIFS('Team Calendar'!$A$5:$A$12,$F8,'Team Calendar'!$C$5:$C$12,AH$4)=0),1,"")</f>
        <v/>
      </c>
      <c r="AI8" s="165">
        <f>IF(AND(ISNUMBER($D8),ISNUMBER($E8),AI$4&gt;=$D8,AI$4&lt;=$E8,WEEKDAY(AI$4,2)&lt;=5,COUNTIF('Sources &amp; Change Log'!$J$2:$J$5,AI$4)=0,COUNTIFS('Team Calendar'!$A$5:$A$12,$F8,'Team Calendar'!$C$5:$C$12,AI$4)=0),1,"")</f>
        <v/>
      </c>
    </row>
    <row r="9" ht="24" customHeight="1">
      <c r="A9" s="13">
        <f>WBS!A8</f>
        <v/>
      </c>
      <c r="B9" s="13">
        <f>WBS!B8</f>
        <v/>
      </c>
      <c r="C9" s="13">
        <f>WBS!G8</f>
        <v/>
      </c>
      <c r="D9" s="164">
        <f>IF(WBS!H8="","",WBS!H8)</f>
        <v/>
      </c>
      <c r="E9" s="164">
        <f>IF(WBS!I8="","",WBS!I8)</f>
        <v/>
      </c>
      <c r="F9" s="13">
        <f>WBS!L8</f>
        <v/>
      </c>
      <c r="G9" s="165">
        <f>IF(AND(ISNUMBER($D9),ISNUMBER($E9),G$4&gt;=$D9,G$4&lt;=$E9,WEEKDAY(G$4,2)&lt;=5,COUNTIF('Sources &amp; Change Log'!$J$2:$J$5,G$4)=0,COUNTIFS('Team Calendar'!$A$5:$A$12,$F9,'Team Calendar'!$C$5:$C$12,G$4)=0),1,"")</f>
        <v/>
      </c>
      <c r="H9" s="165">
        <f>IF(AND(ISNUMBER($D9),ISNUMBER($E9),H$4&gt;=$D9,H$4&lt;=$E9,WEEKDAY(H$4,2)&lt;=5,COUNTIF('Sources &amp; Change Log'!$J$2:$J$5,H$4)=0,COUNTIFS('Team Calendar'!$A$5:$A$12,$F9,'Team Calendar'!$C$5:$C$12,H$4)=0),1,"")</f>
        <v/>
      </c>
      <c r="I9" s="165">
        <f>IF(AND(ISNUMBER($D9),ISNUMBER($E9),I$4&gt;=$D9,I$4&lt;=$E9,WEEKDAY(I$4,2)&lt;=5,COUNTIF('Sources &amp; Change Log'!$J$2:$J$5,I$4)=0,COUNTIFS('Team Calendar'!$A$5:$A$12,$F9,'Team Calendar'!$C$5:$C$12,I$4)=0),1,"")</f>
        <v/>
      </c>
      <c r="J9" s="166">
        <f>IF(AND(ISNUMBER($D9),ISNUMBER($E9),J$4&gt;=$D9,J$4&lt;=$E9,WEEKDAY(J$4,2)&lt;=5,COUNTIF('Sources &amp; Change Log'!$J$2:$J$5,J$4)=0,COUNTIFS('Team Calendar'!$A$5:$A$12,$F9,'Team Calendar'!$C$5:$C$12,J$4)=0),1,"")</f>
        <v/>
      </c>
      <c r="K9" s="166">
        <f>IF(AND(ISNUMBER($D9),ISNUMBER($E9),K$4&gt;=$D9,K$4&lt;=$E9,WEEKDAY(K$4,2)&lt;=5,COUNTIF('Sources &amp; Change Log'!$J$2:$J$5,K$4)=0,COUNTIFS('Team Calendar'!$A$5:$A$12,$F9,'Team Calendar'!$C$5:$C$12,K$4)=0),1,"")</f>
        <v/>
      </c>
      <c r="L9" s="165">
        <f>IF(AND(ISNUMBER($D9),ISNUMBER($E9),L$4&gt;=$D9,L$4&lt;=$E9,WEEKDAY(L$4,2)&lt;=5,COUNTIF('Sources &amp; Change Log'!$J$2:$J$5,L$4)=0,COUNTIFS('Team Calendar'!$A$5:$A$12,$F9,'Team Calendar'!$C$5:$C$12,L$4)=0),1,"")</f>
        <v/>
      </c>
      <c r="M9" s="167">
        <f>IF(AND(ISNUMBER($D9),ISNUMBER($E9),M$4&gt;=$D9,M$4&lt;=$E9,WEEKDAY(M$4,2)&lt;=5,COUNTIF('Sources &amp; Change Log'!$J$2:$J$5,M$4)=0,COUNTIFS('Team Calendar'!$A$5:$A$12,$F9,'Team Calendar'!$C$5:$C$12,M$4)=0),1,"")</f>
        <v/>
      </c>
      <c r="N9" s="165">
        <f>IF(AND(ISNUMBER($D9),ISNUMBER($E9),N$4&gt;=$D9,N$4&lt;=$E9,WEEKDAY(N$4,2)&lt;=5,COUNTIF('Sources &amp; Change Log'!$J$2:$J$5,N$4)=0,COUNTIFS('Team Calendar'!$A$5:$A$12,$F9,'Team Calendar'!$C$5:$C$12,N$4)=0),1,"")</f>
        <v/>
      </c>
      <c r="O9" s="165">
        <f>IF(AND(ISNUMBER($D9),ISNUMBER($E9),O$4&gt;=$D9,O$4&lt;=$E9,WEEKDAY(O$4,2)&lt;=5,COUNTIF('Sources &amp; Change Log'!$J$2:$J$5,O$4)=0,COUNTIFS('Team Calendar'!$A$5:$A$12,$F9,'Team Calendar'!$C$5:$C$12,O$4)=0),1,"")</f>
        <v/>
      </c>
      <c r="P9" s="169">
        <f>IF(AND(ISNUMBER($D9),ISNUMBER($E9),P$4&gt;=$D9,P$4&lt;=$E9,WEEKDAY(P$4,2)&lt;=5,COUNTIF('Sources &amp; Change Log'!$J$2:$J$5,P$4)=0,COUNTIFS('Team Calendar'!$A$5:$A$12,$F9,'Team Calendar'!$C$5:$C$12,P$4)=0),1,"")</f>
        <v/>
      </c>
      <c r="Q9" s="166">
        <f>IF(AND(ISNUMBER($D9),ISNUMBER($E9),Q$4&gt;=$D9,Q$4&lt;=$E9,WEEKDAY(Q$4,2)&lt;=5,COUNTIF('Sources &amp; Change Log'!$J$2:$J$5,Q$4)=0,COUNTIFS('Team Calendar'!$A$5:$A$12,$F9,'Team Calendar'!$C$5:$C$12,Q$4)=0),1,"")</f>
        <v/>
      </c>
      <c r="R9" s="166">
        <f>IF(AND(ISNUMBER($D9),ISNUMBER($E9),R$4&gt;=$D9,R$4&lt;=$E9,WEEKDAY(R$4,2)&lt;=5,COUNTIF('Sources &amp; Change Log'!$J$2:$J$5,R$4)=0,COUNTIFS('Team Calendar'!$A$5:$A$12,$F9,'Team Calendar'!$C$5:$C$12,R$4)=0),1,"")</f>
        <v/>
      </c>
      <c r="S9" s="165">
        <f>IF(AND(ISNUMBER($D9),ISNUMBER($E9),S$4&gt;=$D9,S$4&lt;=$E9,WEEKDAY(S$4,2)&lt;=5,COUNTIF('Sources &amp; Change Log'!$J$2:$J$5,S$4)=0,COUNTIFS('Team Calendar'!$A$5:$A$12,$F9,'Team Calendar'!$C$5:$C$12,S$4)=0),1,"")</f>
        <v/>
      </c>
      <c r="T9" s="165">
        <f>IF(AND(ISNUMBER($D9),ISNUMBER($E9),T$4&gt;=$D9,T$4&lt;=$E9,WEEKDAY(T$4,2)&lt;=5,COUNTIF('Sources &amp; Change Log'!$J$2:$J$5,T$4)=0,COUNTIFS('Team Calendar'!$A$5:$A$12,$F9,'Team Calendar'!$C$5:$C$12,T$4)=0),1,"")</f>
        <v/>
      </c>
      <c r="U9" s="165">
        <f>IF(AND(ISNUMBER($D9),ISNUMBER($E9),U$4&gt;=$D9,U$4&lt;=$E9,WEEKDAY(U$4,2)&lt;=5,COUNTIF('Sources &amp; Change Log'!$J$2:$J$5,U$4)=0,COUNTIFS('Team Calendar'!$A$5:$A$12,$F9,'Team Calendar'!$C$5:$C$12,U$4)=0),1,"")</f>
        <v/>
      </c>
      <c r="V9" s="165">
        <f>IF(AND(ISNUMBER($D9),ISNUMBER($E9),V$4&gt;=$D9,V$4&lt;=$E9,WEEKDAY(V$4,2)&lt;=5,COUNTIF('Sources &amp; Change Log'!$J$2:$J$5,V$4)=0,COUNTIFS('Team Calendar'!$A$5:$A$12,$F9,'Team Calendar'!$C$5:$C$12,V$4)=0),1,"")</f>
        <v/>
      </c>
      <c r="W9" s="165">
        <f>IF(AND(ISNUMBER($D9),ISNUMBER($E9),W$4&gt;=$D9,W$4&lt;=$E9,WEEKDAY(W$4,2)&lt;=5,COUNTIF('Sources &amp; Change Log'!$J$2:$J$5,W$4)=0,COUNTIFS('Team Calendar'!$A$5:$A$12,$F9,'Team Calendar'!$C$5:$C$12,W$4)=0),1,"")</f>
        <v/>
      </c>
      <c r="X9" s="166">
        <f>IF(AND(ISNUMBER($D9),ISNUMBER($E9),X$4&gt;=$D9,X$4&lt;=$E9,WEEKDAY(X$4,2)&lt;=5,COUNTIF('Sources &amp; Change Log'!$J$2:$J$5,X$4)=0,COUNTIFS('Team Calendar'!$A$5:$A$12,$F9,'Team Calendar'!$C$5:$C$12,X$4)=0),1,"")</f>
        <v/>
      </c>
      <c r="Y9" s="166">
        <f>IF(AND(ISNUMBER($D9),ISNUMBER($E9),Y$4&gt;=$D9,Y$4&lt;=$E9,WEEKDAY(Y$4,2)&lt;=5,COUNTIF('Sources &amp; Change Log'!$J$2:$J$5,Y$4)=0,COUNTIFS('Team Calendar'!$A$5:$A$12,$F9,'Team Calendar'!$C$5:$C$12,Y$4)=0),1,"")</f>
        <v/>
      </c>
      <c r="Z9" s="165">
        <f>IF(AND(ISNUMBER($D9),ISNUMBER($E9),Z$4&gt;=$D9,Z$4&lt;=$E9,WEEKDAY(Z$4,2)&lt;=5,COUNTIF('Sources &amp; Change Log'!$J$2:$J$5,Z$4)=0,COUNTIFS('Team Calendar'!$A$5:$A$12,$F9,'Team Calendar'!$C$5:$C$12,Z$4)=0),1,"")</f>
        <v/>
      </c>
      <c r="AA9" s="165">
        <f>IF(AND(ISNUMBER($D9),ISNUMBER($E9),AA$4&gt;=$D9,AA$4&lt;=$E9,WEEKDAY(AA$4,2)&lt;=5,COUNTIF('Sources &amp; Change Log'!$J$2:$J$5,AA$4)=0,COUNTIFS('Team Calendar'!$A$5:$A$12,$F9,'Team Calendar'!$C$5:$C$12,AA$4)=0),1,"")</f>
        <v/>
      </c>
      <c r="AB9" s="165">
        <f>IF(AND(ISNUMBER($D9),ISNUMBER($E9),AB$4&gt;=$D9,AB$4&lt;=$E9,WEEKDAY(AB$4,2)&lt;=5,COUNTIF('Sources &amp; Change Log'!$J$2:$J$5,AB$4)=0,COUNTIFS('Team Calendar'!$A$5:$A$12,$F9,'Team Calendar'!$C$5:$C$12,AB$4)=0),1,"")</f>
        <v/>
      </c>
      <c r="AC9" s="165">
        <f>IF(AND(ISNUMBER($D9),ISNUMBER($E9),AC$4&gt;=$D9,AC$4&lt;=$E9,WEEKDAY(AC$4,2)&lt;=5,COUNTIF('Sources &amp; Change Log'!$J$2:$J$5,AC$4)=0,COUNTIFS('Team Calendar'!$A$5:$A$12,$F9,'Team Calendar'!$C$5:$C$12,AC$4)=0),1,"")</f>
        <v/>
      </c>
      <c r="AD9" s="165">
        <f>IF(AND(ISNUMBER($D9),ISNUMBER($E9),AD$4&gt;=$D9,AD$4&lt;=$E9,WEEKDAY(AD$4,2)&lt;=5,COUNTIF('Sources &amp; Change Log'!$J$2:$J$5,AD$4)=0,COUNTIFS('Team Calendar'!$A$5:$A$12,$F9,'Team Calendar'!$C$5:$C$12,AD$4)=0),1,"")</f>
        <v/>
      </c>
      <c r="AE9" s="166">
        <f>IF(AND(ISNUMBER($D9),ISNUMBER($E9),AE$4&gt;=$D9,AE$4&lt;=$E9,WEEKDAY(AE$4,2)&lt;=5,COUNTIF('Sources &amp; Change Log'!$J$2:$J$5,AE$4)=0,COUNTIFS('Team Calendar'!$A$5:$A$12,$F9,'Team Calendar'!$C$5:$C$12,AE$4)=0),1,"")</f>
        <v/>
      </c>
      <c r="AF9" s="166">
        <f>IF(AND(ISNUMBER($D9),ISNUMBER($E9),AF$4&gt;=$D9,AF$4&lt;=$E9,WEEKDAY(AF$4,2)&lt;=5,COUNTIF('Sources &amp; Change Log'!$J$2:$J$5,AF$4)=0,COUNTIFS('Team Calendar'!$A$5:$A$12,$F9,'Team Calendar'!$C$5:$C$12,AF$4)=0),1,"")</f>
        <v/>
      </c>
      <c r="AG9" s="165">
        <f>IF(AND(ISNUMBER($D9),ISNUMBER($E9),AG$4&gt;=$D9,AG$4&lt;=$E9,WEEKDAY(AG$4,2)&lt;=5,COUNTIF('Sources &amp; Change Log'!$J$2:$J$5,AG$4)=0,COUNTIFS('Team Calendar'!$A$5:$A$12,$F9,'Team Calendar'!$C$5:$C$12,AG$4)=0),1,"")</f>
        <v/>
      </c>
      <c r="AH9" s="165">
        <f>IF(AND(ISNUMBER($D9),ISNUMBER($E9),AH$4&gt;=$D9,AH$4&lt;=$E9,WEEKDAY(AH$4,2)&lt;=5,COUNTIF('Sources &amp; Change Log'!$J$2:$J$5,AH$4)=0,COUNTIFS('Team Calendar'!$A$5:$A$12,$F9,'Team Calendar'!$C$5:$C$12,AH$4)=0),1,"")</f>
        <v/>
      </c>
      <c r="AI9" s="165">
        <f>IF(AND(ISNUMBER($D9),ISNUMBER($E9),AI$4&gt;=$D9,AI$4&lt;=$E9,WEEKDAY(AI$4,2)&lt;=5,COUNTIF('Sources &amp; Change Log'!$J$2:$J$5,AI$4)=0,COUNTIFS('Team Calendar'!$A$5:$A$12,$F9,'Team Calendar'!$C$5:$C$12,AI$4)=0),1,"")</f>
        <v/>
      </c>
    </row>
    <row r="10" ht="24" customHeight="1">
      <c r="A10" s="13">
        <f>WBS!A9</f>
        <v/>
      </c>
      <c r="B10" s="13">
        <f>WBS!B9</f>
        <v/>
      </c>
      <c r="C10" s="13">
        <f>WBS!G9</f>
        <v/>
      </c>
      <c r="D10" s="164">
        <f>IF(WBS!H9="","",WBS!H9)</f>
        <v/>
      </c>
      <c r="E10" s="164">
        <f>IF(WBS!I9="","",WBS!I9)</f>
        <v/>
      </c>
      <c r="F10" s="13">
        <f>WBS!L9</f>
        <v/>
      </c>
      <c r="G10" s="165">
        <f>IF(AND(ISNUMBER($D10),ISNUMBER($E10),G$4&gt;=$D10,G$4&lt;=$E10,WEEKDAY(G$4,2)&lt;=5,COUNTIF('Sources &amp; Change Log'!$J$2:$J$5,G$4)=0,COUNTIFS('Team Calendar'!$A$5:$A$12,$F10,'Team Calendar'!$C$5:$C$12,G$4)=0),1,"")</f>
        <v/>
      </c>
      <c r="H10" s="165">
        <f>IF(AND(ISNUMBER($D10),ISNUMBER($E10),H$4&gt;=$D10,H$4&lt;=$E10,WEEKDAY(H$4,2)&lt;=5,COUNTIF('Sources &amp; Change Log'!$J$2:$J$5,H$4)=0,COUNTIFS('Team Calendar'!$A$5:$A$12,$F10,'Team Calendar'!$C$5:$C$12,H$4)=0),1,"")</f>
        <v/>
      </c>
      <c r="I10" s="165">
        <f>IF(AND(ISNUMBER($D10),ISNUMBER($E10),I$4&gt;=$D10,I$4&lt;=$E10,WEEKDAY(I$4,2)&lt;=5,COUNTIF('Sources &amp; Change Log'!$J$2:$J$5,I$4)=0,COUNTIFS('Team Calendar'!$A$5:$A$12,$F10,'Team Calendar'!$C$5:$C$12,I$4)=0),1,"")</f>
        <v/>
      </c>
      <c r="J10" s="166">
        <f>IF(AND(ISNUMBER($D10),ISNUMBER($E10),J$4&gt;=$D10,J$4&lt;=$E10,WEEKDAY(J$4,2)&lt;=5,COUNTIF('Sources &amp; Change Log'!$J$2:$J$5,J$4)=0,COUNTIFS('Team Calendar'!$A$5:$A$12,$F10,'Team Calendar'!$C$5:$C$12,J$4)=0),1,"")</f>
        <v/>
      </c>
      <c r="K10" s="166">
        <f>IF(AND(ISNUMBER($D10),ISNUMBER($E10),K$4&gt;=$D10,K$4&lt;=$E10,WEEKDAY(K$4,2)&lt;=5,COUNTIF('Sources &amp; Change Log'!$J$2:$J$5,K$4)=0,COUNTIFS('Team Calendar'!$A$5:$A$12,$F10,'Team Calendar'!$C$5:$C$12,K$4)=0),1,"")</f>
        <v/>
      </c>
      <c r="L10" s="165">
        <f>IF(AND(ISNUMBER($D10),ISNUMBER($E10),L$4&gt;=$D10,L$4&lt;=$E10,WEEKDAY(L$4,2)&lt;=5,COUNTIF('Sources &amp; Change Log'!$J$2:$J$5,L$4)=0,COUNTIFS('Team Calendar'!$A$5:$A$12,$F10,'Team Calendar'!$C$5:$C$12,L$4)=0),1,"")</f>
        <v/>
      </c>
      <c r="M10" s="167">
        <f>IF(AND(ISNUMBER($D10),ISNUMBER($E10),M$4&gt;=$D10,M$4&lt;=$E10,WEEKDAY(M$4,2)&lt;=5,COUNTIF('Sources &amp; Change Log'!$J$2:$J$5,M$4)=0,COUNTIFS('Team Calendar'!$A$5:$A$12,$F10,'Team Calendar'!$C$5:$C$12,M$4)=0),1,"")</f>
        <v/>
      </c>
      <c r="N10" s="165">
        <f>IF(AND(ISNUMBER($D10),ISNUMBER($E10),N$4&gt;=$D10,N$4&lt;=$E10,WEEKDAY(N$4,2)&lt;=5,COUNTIF('Sources &amp; Change Log'!$J$2:$J$5,N$4)=0,COUNTIFS('Team Calendar'!$A$5:$A$12,$F10,'Team Calendar'!$C$5:$C$12,N$4)=0),1,"")</f>
        <v/>
      </c>
      <c r="O10" s="165">
        <f>IF(AND(ISNUMBER($D10),ISNUMBER($E10),O$4&gt;=$D10,O$4&lt;=$E10,WEEKDAY(O$4,2)&lt;=5,COUNTIF('Sources &amp; Change Log'!$J$2:$J$5,O$4)=0,COUNTIFS('Team Calendar'!$A$5:$A$12,$F10,'Team Calendar'!$C$5:$C$12,O$4)=0),1,"")</f>
        <v/>
      </c>
      <c r="P10" s="165">
        <f>IF(AND(ISNUMBER($D10),ISNUMBER($E10),P$4&gt;=$D10,P$4&lt;=$E10,WEEKDAY(P$4,2)&lt;=5,COUNTIF('Sources &amp; Change Log'!$J$2:$J$5,P$4)=0,COUNTIFS('Team Calendar'!$A$5:$A$12,$F10,'Team Calendar'!$C$5:$C$12,P$4)=0),1,"")</f>
        <v/>
      </c>
      <c r="Q10" s="166">
        <f>IF(AND(ISNUMBER($D10),ISNUMBER($E10),Q$4&gt;=$D10,Q$4&lt;=$E10,WEEKDAY(Q$4,2)&lt;=5,COUNTIF('Sources &amp; Change Log'!$J$2:$J$5,Q$4)=0,COUNTIFS('Team Calendar'!$A$5:$A$12,$F10,'Team Calendar'!$C$5:$C$12,Q$4)=0),1,"")</f>
        <v/>
      </c>
      <c r="R10" s="166">
        <f>IF(AND(ISNUMBER($D10),ISNUMBER($E10),R$4&gt;=$D10,R$4&lt;=$E10,WEEKDAY(R$4,2)&lt;=5,COUNTIF('Sources &amp; Change Log'!$J$2:$J$5,R$4)=0,COUNTIFS('Team Calendar'!$A$5:$A$12,$F10,'Team Calendar'!$C$5:$C$12,R$4)=0),1,"")</f>
        <v/>
      </c>
      <c r="S10" s="165">
        <f>IF(AND(ISNUMBER($D10),ISNUMBER($E10),S$4&gt;=$D10,S$4&lt;=$E10,WEEKDAY(S$4,2)&lt;=5,COUNTIF('Sources &amp; Change Log'!$J$2:$J$5,S$4)=0,COUNTIFS('Team Calendar'!$A$5:$A$12,$F10,'Team Calendar'!$C$5:$C$12,S$4)=0),1,"")</f>
        <v/>
      </c>
      <c r="T10" s="165">
        <f>IF(AND(ISNUMBER($D10),ISNUMBER($E10),T$4&gt;=$D10,T$4&lt;=$E10,WEEKDAY(T$4,2)&lt;=5,COUNTIF('Sources &amp; Change Log'!$J$2:$J$5,T$4)=0,COUNTIFS('Team Calendar'!$A$5:$A$12,$F10,'Team Calendar'!$C$5:$C$12,T$4)=0),1,"")</f>
        <v/>
      </c>
      <c r="U10" s="165">
        <f>IF(AND(ISNUMBER($D10),ISNUMBER($E10),U$4&gt;=$D10,U$4&lt;=$E10,WEEKDAY(U$4,2)&lt;=5,COUNTIF('Sources &amp; Change Log'!$J$2:$J$5,U$4)=0,COUNTIFS('Team Calendar'!$A$5:$A$12,$F10,'Team Calendar'!$C$5:$C$12,U$4)=0),1,"")</f>
        <v/>
      </c>
      <c r="V10" s="165">
        <f>IF(AND(ISNUMBER($D10),ISNUMBER($E10),V$4&gt;=$D10,V$4&lt;=$E10,WEEKDAY(V$4,2)&lt;=5,COUNTIF('Sources &amp; Change Log'!$J$2:$J$5,V$4)=0,COUNTIFS('Team Calendar'!$A$5:$A$12,$F10,'Team Calendar'!$C$5:$C$12,V$4)=0),1,"")</f>
        <v/>
      </c>
      <c r="W10" s="165">
        <f>IF(AND(ISNUMBER($D10),ISNUMBER($E10),W$4&gt;=$D10,W$4&lt;=$E10,WEEKDAY(W$4,2)&lt;=5,COUNTIF('Sources &amp; Change Log'!$J$2:$J$5,W$4)=0,COUNTIFS('Team Calendar'!$A$5:$A$12,$F10,'Team Calendar'!$C$5:$C$12,W$4)=0),1,"")</f>
        <v/>
      </c>
      <c r="X10" s="166">
        <f>IF(AND(ISNUMBER($D10),ISNUMBER($E10),X$4&gt;=$D10,X$4&lt;=$E10,WEEKDAY(X$4,2)&lt;=5,COUNTIF('Sources &amp; Change Log'!$J$2:$J$5,X$4)=0,COUNTIFS('Team Calendar'!$A$5:$A$12,$F10,'Team Calendar'!$C$5:$C$12,X$4)=0),1,"")</f>
        <v/>
      </c>
      <c r="Y10" s="166">
        <f>IF(AND(ISNUMBER($D10),ISNUMBER($E10),Y$4&gt;=$D10,Y$4&lt;=$E10,WEEKDAY(Y$4,2)&lt;=5,COUNTIF('Sources &amp; Change Log'!$J$2:$J$5,Y$4)=0,COUNTIFS('Team Calendar'!$A$5:$A$12,$F10,'Team Calendar'!$C$5:$C$12,Y$4)=0),1,"")</f>
        <v/>
      </c>
      <c r="Z10" s="165">
        <f>IF(AND(ISNUMBER($D10),ISNUMBER($E10),Z$4&gt;=$D10,Z$4&lt;=$E10,WEEKDAY(Z$4,2)&lt;=5,COUNTIF('Sources &amp; Change Log'!$J$2:$J$5,Z$4)=0,COUNTIFS('Team Calendar'!$A$5:$A$12,$F10,'Team Calendar'!$C$5:$C$12,Z$4)=0),1,"")</f>
        <v/>
      </c>
      <c r="AA10" s="165">
        <f>IF(AND(ISNUMBER($D10),ISNUMBER($E10),AA$4&gt;=$D10,AA$4&lt;=$E10,WEEKDAY(AA$4,2)&lt;=5,COUNTIF('Sources &amp; Change Log'!$J$2:$J$5,AA$4)=0,COUNTIFS('Team Calendar'!$A$5:$A$12,$F10,'Team Calendar'!$C$5:$C$12,AA$4)=0),1,"")</f>
        <v/>
      </c>
      <c r="AB10" s="165">
        <f>IF(AND(ISNUMBER($D10),ISNUMBER($E10),AB$4&gt;=$D10,AB$4&lt;=$E10,WEEKDAY(AB$4,2)&lt;=5,COUNTIF('Sources &amp; Change Log'!$J$2:$J$5,AB$4)=0,COUNTIFS('Team Calendar'!$A$5:$A$12,$F10,'Team Calendar'!$C$5:$C$12,AB$4)=0),1,"")</f>
        <v/>
      </c>
      <c r="AC10" s="165">
        <f>IF(AND(ISNUMBER($D10),ISNUMBER($E10),AC$4&gt;=$D10,AC$4&lt;=$E10,WEEKDAY(AC$4,2)&lt;=5,COUNTIF('Sources &amp; Change Log'!$J$2:$J$5,AC$4)=0,COUNTIFS('Team Calendar'!$A$5:$A$12,$F10,'Team Calendar'!$C$5:$C$12,AC$4)=0),1,"")</f>
        <v/>
      </c>
      <c r="AD10" s="165">
        <f>IF(AND(ISNUMBER($D10),ISNUMBER($E10),AD$4&gt;=$D10,AD$4&lt;=$E10,WEEKDAY(AD$4,2)&lt;=5,COUNTIF('Sources &amp; Change Log'!$J$2:$J$5,AD$4)=0,COUNTIFS('Team Calendar'!$A$5:$A$12,$F10,'Team Calendar'!$C$5:$C$12,AD$4)=0),1,"")</f>
        <v/>
      </c>
      <c r="AE10" s="166">
        <f>IF(AND(ISNUMBER($D10),ISNUMBER($E10),AE$4&gt;=$D10,AE$4&lt;=$E10,WEEKDAY(AE$4,2)&lt;=5,COUNTIF('Sources &amp; Change Log'!$J$2:$J$5,AE$4)=0,COUNTIFS('Team Calendar'!$A$5:$A$12,$F10,'Team Calendar'!$C$5:$C$12,AE$4)=0),1,"")</f>
        <v/>
      </c>
      <c r="AF10" s="166">
        <f>IF(AND(ISNUMBER($D10),ISNUMBER($E10),AF$4&gt;=$D10,AF$4&lt;=$E10,WEEKDAY(AF$4,2)&lt;=5,COUNTIF('Sources &amp; Change Log'!$J$2:$J$5,AF$4)=0,COUNTIFS('Team Calendar'!$A$5:$A$12,$F10,'Team Calendar'!$C$5:$C$12,AF$4)=0),1,"")</f>
        <v/>
      </c>
      <c r="AG10" s="165">
        <f>IF(AND(ISNUMBER($D10),ISNUMBER($E10),AG$4&gt;=$D10,AG$4&lt;=$E10,WEEKDAY(AG$4,2)&lt;=5,COUNTIF('Sources &amp; Change Log'!$J$2:$J$5,AG$4)=0,COUNTIFS('Team Calendar'!$A$5:$A$12,$F10,'Team Calendar'!$C$5:$C$12,AG$4)=0),1,"")</f>
        <v/>
      </c>
      <c r="AH10" s="165">
        <f>IF(AND(ISNUMBER($D10),ISNUMBER($E10),AH$4&gt;=$D10,AH$4&lt;=$E10,WEEKDAY(AH$4,2)&lt;=5,COUNTIF('Sources &amp; Change Log'!$J$2:$J$5,AH$4)=0,COUNTIFS('Team Calendar'!$A$5:$A$12,$F10,'Team Calendar'!$C$5:$C$12,AH$4)=0),1,"")</f>
        <v/>
      </c>
      <c r="AI10" s="165">
        <f>IF(AND(ISNUMBER($D10),ISNUMBER($E10),AI$4&gt;=$D10,AI$4&lt;=$E10,WEEKDAY(AI$4,2)&lt;=5,COUNTIF('Sources &amp; Change Log'!$J$2:$J$5,AI$4)=0,COUNTIFS('Team Calendar'!$A$5:$A$12,$F10,'Team Calendar'!$C$5:$C$12,AI$4)=0),1,"")</f>
        <v/>
      </c>
    </row>
    <row r="11" ht="24" customHeight="1">
      <c r="A11" s="13">
        <f>WBS!A10</f>
        <v/>
      </c>
      <c r="B11" s="13">
        <f>WBS!B10</f>
        <v/>
      </c>
      <c r="C11" s="13">
        <f>WBS!G10</f>
        <v/>
      </c>
      <c r="D11" s="164">
        <f>IF(WBS!H10="","",WBS!H10)</f>
        <v/>
      </c>
      <c r="E11" s="164">
        <f>IF(WBS!I10="","",WBS!I10)</f>
        <v/>
      </c>
      <c r="F11" s="13">
        <f>WBS!L10</f>
        <v/>
      </c>
      <c r="G11" s="165">
        <f>IF(AND(ISNUMBER($D11),ISNUMBER($E11),G$4&gt;=$D11,G$4&lt;=$E11,WEEKDAY(G$4,2)&lt;=5,COUNTIF('Sources &amp; Change Log'!$J$2:$J$5,G$4)=0,COUNTIFS('Team Calendar'!$A$5:$A$12,$F11,'Team Calendar'!$C$5:$C$12,G$4)=0),1,"")</f>
        <v/>
      </c>
      <c r="H11" s="165">
        <f>IF(AND(ISNUMBER($D11),ISNUMBER($E11),H$4&gt;=$D11,H$4&lt;=$E11,WEEKDAY(H$4,2)&lt;=5,COUNTIF('Sources &amp; Change Log'!$J$2:$J$5,H$4)=0,COUNTIFS('Team Calendar'!$A$5:$A$12,$F11,'Team Calendar'!$C$5:$C$12,H$4)=0),1,"")</f>
        <v/>
      </c>
      <c r="I11" s="165">
        <f>IF(AND(ISNUMBER($D11),ISNUMBER($E11),I$4&gt;=$D11,I$4&lt;=$E11,WEEKDAY(I$4,2)&lt;=5,COUNTIF('Sources &amp; Change Log'!$J$2:$J$5,I$4)=0,COUNTIFS('Team Calendar'!$A$5:$A$12,$F11,'Team Calendar'!$C$5:$C$12,I$4)=0),1,"")</f>
        <v/>
      </c>
      <c r="J11" s="166">
        <f>IF(AND(ISNUMBER($D11),ISNUMBER($E11),J$4&gt;=$D11,J$4&lt;=$E11,WEEKDAY(J$4,2)&lt;=5,COUNTIF('Sources &amp; Change Log'!$J$2:$J$5,J$4)=0,COUNTIFS('Team Calendar'!$A$5:$A$12,$F11,'Team Calendar'!$C$5:$C$12,J$4)=0),1,"")</f>
        <v/>
      </c>
      <c r="K11" s="166">
        <f>IF(AND(ISNUMBER($D11),ISNUMBER($E11),K$4&gt;=$D11,K$4&lt;=$E11,WEEKDAY(K$4,2)&lt;=5,COUNTIF('Sources &amp; Change Log'!$J$2:$J$5,K$4)=0,COUNTIFS('Team Calendar'!$A$5:$A$12,$F11,'Team Calendar'!$C$5:$C$12,K$4)=0),1,"")</f>
        <v/>
      </c>
      <c r="L11" s="165">
        <f>IF(AND(ISNUMBER($D11),ISNUMBER($E11),L$4&gt;=$D11,L$4&lt;=$E11,WEEKDAY(L$4,2)&lt;=5,COUNTIF('Sources &amp; Change Log'!$J$2:$J$5,L$4)=0,COUNTIFS('Team Calendar'!$A$5:$A$12,$F11,'Team Calendar'!$C$5:$C$12,L$4)=0),1,"")</f>
        <v/>
      </c>
      <c r="M11" s="167">
        <f>IF(AND(ISNUMBER($D11),ISNUMBER($E11),M$4&gt;=$D11,M$4&lt;=$E11,WEEKDAY(M$4,2)&lt;=5,COUNTIF('Sources &amp; Change Log'!$J$2:$J$5,M$4)=0,COUNTIFS('Team Calendar'!$A$5:$A$12,$F11,'Team Calendar'!$C$5:$C$12,M$4)=0),1,"")</f>
        <v/>
      </c>
      <c r="N11" s="165">
        <f>IF(AND(ISNUMBER($D11),ISNUMBER($E11),N$4&gt;=$D11,N$4&lt;=$E11,WEEKDAY(N$4,2)&lt;=5,COUNTIF('Sources &amp; Change Log'!$J$2:$J$5,N$4)=0,COUNTIFS('Team Calendar'!$A$5:$A$12,$F11,'Team Calendar'!$C$5:$C$12,N$4)=0),1,"")</f>
        <v/>
      </c>
      <c r="O11" s="165">
        <f>IF(AND(ISNUMBER($D11),ISNUMBER($E11),O$4&gt;=$D11,O$4&lt;=$E11,WEEKDAY(O$4,2)&lt;=5,COUNTIF('Sources &amp; Change Log'!$J$2:$J$5,O$4)=0,COUNTIFS('Team Calendar'!$A$5:$A$12,$F11,'Team Calendar'!$C$5:$C$12,O$4)=0),1,"")</f>
        <v/>
      </c>
      <c r="P11" s="165">
        <f>IF(AND(ISNUMBER($D11),ISNUMBER($E11),P$4&gt;=$D11,P$4&lt;=$E11,WEEKDAY(P$4,2)&lt;=5,COUNTIF('Sources &amp; Change Log'!$J$2:$J$5,P$4)=0,COUNTIFS('Team Calendar'!$A$5:$A$12,$F11,'Team Calendar'!$C$5:$C$12,P$4)=0),1,"")</f>
        <v/>
      </c>
      <c r="Q11" s="166">
        <f>IF(AND(ISNUMBER($D11),ISNUMBER($E11),Q$4&gt;=$D11,Q$4&lt;=$E11,WEEKDAY(Q$4,2)&lt;=5,COUNTIF('Sources &amp; Change Log'!$J$2:$J$5,Q$4)=0,COUNTIFS('Team Calendar'!$A$5:$A$12,$F11,'Team Calendar'!$C$5:$C$12,Q$4)=0),1,"")</f>
        <v/>
      </c>
      <c r="R11" s="166">
        <f>IF(AND(ISNUMBER($D11),ISNUMBER($E11),R$4&gt;=$D11,R$4&lt;=$E11,WEEKDAY(R$4,2)&lt;=5,COUNTIF('Sources &amp; Change Log'!$J$2:$J$5,R$4)=0,COUNTIFS('Team Calendar'!$A$5:$A$12,$F11,'Team Calendar'!$C$5:$C$12,R$4)=0),1,"")</f>
        <v/>
      </c>
      <c r="S11" s="165">
        <f>IF(AND(ISNUMBER($D11),ISNUMBER($E11),S$4&gt;=$D11,S$4&lt;=$E11,WEEKDAY(S$4,2)&lt;=5,COUNTIF('Sources &amp; Change Log'!$J$2:$J$5,S$4)=0,COUNTIFS('Team Calendar'!$A$5:$A$12,$F11,'Team Calendar'!$C$5:$C$12,S$4)=0),1,"")</f>
        <v/>
      </c>
      <c r="T11" s="168">
        <f>IF(AND(ISNUMBER($D11),ISNUMBER($E11),T$4&gt;=$D11,T$4&lt;=$E11,WEEKDAY(T$4,2)&lt;=5,COUNTIF('Sources &amp; Change Log'!$J$2:$J$5,T$4)=0,COUNTIFS('Team Calendar'!$A$5:$A$12,$F11,'Team Calendar'!$C$5:$C$12,T$4)=0),1,"")</f>
        <v/>
      </c>
      <c r="U11" s="165">
        <f>IF(AND(ISNUMBER($D11),ISNUMBER($E11),U$4&gt;=$D11,U$4&lt;=$E11,WEEKDAY(U$4,2)&lt;=5,COUNTIF('Sources &amp; Change Log'!$J$2:$J$5,U$4)=0,COUNTIFS('Team Calendar'!$A$5:$A$12,$F11,'Team Calendar'!$C$5:$C$12,U$4)=0),1,"")</f>
        <v/>
      </c>
      <c r="V11" s="165">
        <f>IF(AND(ISNUMBER($D11),ISNUMBER($E11),V$4&gt;=$D11,V$4&lt;=$E11,WEEKDAY(V$4,2)&lt;=5,COUNTIF('Sources &amp; Change Log'!$J$2:$J$5,V$4)=0,COUNTIFS('Team Calendar'!$A$5:$A$12,$F11,'Team Calendar'!$C$5:$C$12,V$4)=0),1,"")</f>
        <v/>
      </c>
      <c r="W11" s="165">
        <f>IF(AND(ISNUMBER($D11),ISNUMBER($E11),W$4&gt;=$D11,W$4&lt;=$E11,WEEKDAY(W$4,2)&lt;=5,COUNTIF('Sources &amp; Change Log'!$J$2:$J$5,W$4)=0,COUNTIFS('Team Calendar'!$A$5:$A$12,$F11,'Team Calendar'!$C$5:$C$12,W$4)=0),1,"")</f>
        <v/>
      </c>
      <c r="X11" s="166">
        <f>IF(AND(ISNUMBER($D11),ISNUMBER($E11),X$4&gt;=$D11,X$4&lt;=$E11,WEEKDAY(X$4,2)&lt;=5,COUNTIF('Sources &amp; Change Log'!$J$2:$J$5,X$4)=0,COUNTIFS('Team Calendar'!$A$5:$A$12,$F11,'Team Calendar'!$C$5:$C$12,X$4)=0),1,"")</f>
        <v/>
      </c>
      <c r="Y11" s="166">
        <f>IF(AND(ISNUMBER($D11),ISNUMBER($E11),Y$4&gt;=$D11,Y$4&lt;=$E11,WEEKDAY(Y$4,2)&lt;=5,COUNTIF('Sources &amp; Change Log'!$J$2:$J$5,Y$4)=0,COUNTIFS('Team Calendar'!$A$5:$A$12,$F11,'Team Calendar'!$C$5:$C$12,Y$4)=0),1,"")</f>
        <v/>
      </c>
      <c r="Z11" s="165">
        <f>IF(AND(ISNUMBER($D11),ISNUMBER($E11),Z$4&gt;=$D11,Z$4&lt;=$E11,WEEKDAY(Z$4,2)&lt;=5,COUNTIF('Sources &amp; Change Log'!$J$2:$J$5,Z$4)=0,COUNTIFS('Team Calendar'!$A$5:$A$12,$F11,'Team Calendar'!$C$5:$C$12,Z$4)=0),1,"")</f>
        <v/>
      </c>
      <c r="AA11" s="165">
        <f>IF(AND(ISNUMBER($D11),ISNUMBER($E11),AA$4&gt;=$D11,AA$4&lt;=$E11,WEEKDAY(AA$4,2)&lt;=5,COUNTIF('Sources &amp; Change Log'!$J$2:$J$5,AA$4)=0,COUNTIFS('Team Calendar'!$A$5:$A$12,$F11,'Team Calendar'!$C$5:$C$12,AA$4)=0),1,"")</f>
        <v/>
      </c>
      <c r="AB11" s="165">
        <f>IF(AND(ISNUMBER($D11),ISNUMBER($E11),AB$4&gt;=$D11,AB$4&lt;=$E11,WEEKDAY(AB$4,2)&lt;=5,COUNTIF('Sources &amp; Change Log'!$J$2:$J$5,AB$4)=0,COUNTIFS('Team Calendar'!$A$5:$A$12,$F11,'Team Calendar'!$C$5:$C$12,AB$4)=0),1,"")</f>
        <v/>
      </c>
      <c r="AC11" s="165">
        <f>IF(AND(ISNUMBER($D11),ISNUMBER($E11),AC$4&gt;=$D11,AC$4&lt;=$E11,WEEKDAY(AC$4,2)&lt;=5,COUNTIF('Sources &amp; Change Log'!$J$2:$J$5,AC$4)=0,COUNTIFS('Team Calendar'!$A$5:$A$12,$F11,'Team Calendar'!$C$5:$C$12,AC$4)=0),1,"")</f>
        <v/>
      </c>
      <c r="AD11" s="165">
        <f>IF(AND(ISNUMBER($D11),ISNUMBER($E11),AD$4&gt;=$D11,AD$4&lt;=$E11,WEEKDAY(AD$4,2)&lt;=5,COUNTIF('Sources &amp; Change Log'!$J$2:$J$5,AD$4)=0,COUNTIFS('Team Calendar'!$A$5:$A$12,$F11,'Team Calendar'!$C$5:$C$12,AD$4)=0),1,"")</f>
        <v/>
      </c>
      <c r="AE11" s="166">
        <f>IF(AND(ISNUMBER($D11),ISNUMBER($E11),AE$4&gt;=$D11,AE$4&lt;=$E11,WEEKDAY(AE$4,2)&lt;=5,COUNTIF('Sources &amp; Change Log'!$J$2:$J$5,AE$4)=0,COUNTIFS('Team Calendar'!$A$5:$A$12,$F11,'Team Calendar'!$C$5:$C$12,AE$4)=0),1,"")</f>
        <v/>
      </c>
      <c r="AF11" s="166">
        <f>IF(AND(ISNUMBER($D11),ISNUMBER($E11),AF$4&gt;=$D11,AF$4&lt;=$E11,WEEKDAY(AF$4,2)&lt;=5,COUNTIF('Sources &amp; Change Log'!$J$2:$J$5,AF$4)=0,COUNTIFS('Team Calendar'!$A$5:$A$12,$F11,'Team Calendar'!$C$5:$C$12,AF$4)=0),1,"")</f>
        <v/>
      </c>
      <c r="AG11" s="165">
        <f>IF(AND(ISNUMBER($D11),ISNUMBER($E11),AG$4&gt;=$D11,AG$4&lt;=$E11,WEEKDAY(AG$4,2)&lt;=5,COUNTIF('Sources &amp; Change Log'!$J$2:$J$5,AG$4)=0,COUNTIFS('Team Calendar'!$A$5:$A$12,$F11,'Team Calendar'!$C$5:$C$12,AG$4)=0),1,"")</f>
        <v/>
      </c>
      <c r="AH11" s="165">
        <f>IF(AND(ISNUMBER($D11),ISNUMBER($E11),AH$4&gt;=$D11,AH$4&lt;=$E11,WEEKDAY(AH$4,2)&lt;=5,COUNTIF('Sources &amp; Change Log'!$J$2:$J$5,AH$4)=0,COUNTIFS('Team Calendar'!$A$5:$A$12,$F11,'Team Calendar'!$C$5:$C$12,AH$4)=0),1,"")</f>
        <v/>
      </c>
      <c r="AI11" s="165">
        <f>IF(AND(ISNUMBER($D11),ISNUMBER($E11),AI$4&gt;=$D11,AI$4&lt;=$E11,WEEKDAY(AI$4,2)&lt;=5,COUNTIF('Sources &amp; Change Log'!$J$2:$J$5,AI$4)=0,COUNTIFS('Team Calendar'!$A$5:$A$12,$F11,'Team Calendar'!$C$5:$C$12,AI$4)=0),1,"")</f>
        <v/>
      </c>
    </row>
    <row r="12" ht="24" customHeight="1">
      <c r="A12" s="13">
        <f>WBS!A11</f>
        <v/>
      </c>
      <c r="B12" s="13">
        <f>WBS!B11</f>
        <v/>
      </c>
      <c r="C12" s="13">
        <f>WBS!G11</f>
        <v/>
      </c>
      <c r="D12" s="164">
        <f>IF(WBS!H11="","",WBS!H11)</f>
        <v/>
      </c>
      <c r="E12" s="164">
        <f>IF(WBS!I11="","",WBS!I11)</f>
        <v/>
      </c>
      <c r="F12" s="13">
        <f>WBS!L11</f>
        <v/>
      </c>
      <c r="G12" s="165">
        <f>IF(AND(ISNUMBER($D12),ISNUMBER($E12),G$4&gt;=$D12,G$4&lt;=$E12,WEEKDAY(G$4,2)&lt;=5,COUNTIF('Sources &amp; Change Log'!$J$2:$J$5,G$4)=0,COUNTIFS('Team Calendar'!$A$5:$A$12,$F12,'Team Calendar'!$C$5:$C$12,G$4)=0),1,"")</f>
        <v/>
      </c>
      <c r="H12" s="165">
        <f>IF(AND(ISNUMBER($D12),ISNUMBER($E12),H$4&gt;=$D12,H$4&lt;=$E12,WEEKDAY(H$4,2)&lt;=5,COUNTIF('Sources &amp; Change Log'!$J$2:$J$5,H$4)=0,COUNTIFS('Team Calendar'!$A$5:$A$12,$F12,'Team Calendar'!$C$5:$C$12,H$4)=0),1,"")</f>
        <v/>
      </c>
      <c r="I12" s="165">
        <f>IF(AND(ISNUMBER($D12),ISNUMBER($E12),I$4&gt;=$D12,I$4&lt;=$E12,WEEKDAY(I$4,2)&lt;=5,COUNTIF('Sources &amp; Change Log'!$J$2:$J$5,I$4)=0,COUNTIFS('Team Calendar'!$A$5:$A$12,$F12,'Team Calendar'!$C$5:$C$12,I$4)=0),1,"")</f>
        <v/>
      </c>
      <c r="J12" s="166">
        <f>IF(AND(ISNUMBER($D12),ISNUMBER($E12),J$4&gt;=$D12,J$4&lt;=$E12,WEEKDAY(J$4,2)&lt;=5,COUNTIF('Sources &amp; Change Log'!$J$2:$J$5,J$4)=0,COUNTIFS('Team Calendar'!$A$5:$A$12,$F12,'Team Calendar'!$C$5:$C$12,J$4)=0),1,"")</f>
        <v/>
      </c>
      <c r="K12" s="166">
        <f>IF(AND(ISNUMBER($D12),ISNUMBER($E12),K$4&gt;=$D12,K$4&lt;=$E12,WEEKDAY(K$4,2)&lt;=5,COUNTIF('Sources &amp; Change Log'!$J$2:$J$5,K$4)=0,COUNTIFS('Team Calendar'!$A$5:$A$12,$F12,'Team Calendar'!$C$5:$C$12,K$4)=0),1,"")</f>
        <v/>
      </c>
      <c r="L12" s="165">
        <f>IF(AND(ISNUMBER($D12),ISNUMBER($E12),L$4&gt;=$D12,L$4&lt;=$E12,WEEKDAY(L$4,2)&lt;=5,COUNTIF('Sources &amp; Change Log'!$J$2:$J$5,L$4)=0,COUNTIFS('Team Calendar'!$A$5:$A$12,$F12,'Team Calendar'!$C$5:$C$12,L$4)=0),1,"")</f>
        <v/>
      </c>
      <c r="M12" s="167">
        <f>IF(AND(ISNUMBER($D12),ISNUMBER($E12),M$4&gt;=$D12,M$4&lt;=$E12,WEEKDAY(M$4,2)&lt;=5,COUNTIF('Sources &amp; Change Log'!$J$2:$J$5,M$4)=0,COUNTIFS('Team Calendar'!$A$5:$A$12,$F12,'Team Calendar'!$C$5:$C$12,M$4)=0),1,"")</f>
        <v/>
      </c>
      <c r="N12" s="165">
        <f>IF(AND(ISNUMBER($D12),ISNUMBER($E12),N$4&gt;=$D12,N$4&lt;=$E12,WEEKDAY(N$4,2)&lt;=5,COUNTIF('Sources &amp; Change Log'!$J$2:$J$5,N$4)=0,COUNTIFS('Team Calendar'!$A$5:$A$12,$F12,'Team Calendar'!$C$5:$C$12,N$4)=0),1,"")</f>
        <v/>
      </c>
      <c r="O12" s="165">
        <f>IF(AND(ISNUMBER($D12),ISNUMBER($E12),O$4&gt;=$D12,O$4&lt;=$E12,WEEKDAY(O$4,2)&lt;=5,COUNTIF('Sources &amp; Change Log'!$J$2:$J$5,O$4)=0,COUNTIFS('Team Calendar'!$A$5:$A$12,$F12,'Team Calendar'!$C$5:$C$12,O$4)=0),1,"")</f>
        <v/>
      </c>
      <c r="P12" s="165">
        <f>IF(AND(ISNUMBER($D12),ISNUMBER($E12),P$4&gt;=$D12,P$4&lt;=$E12,WEEKDAY(P$4,2)&lt;=5,COUNTIF('Sources &amp; Change Log'!$J$2:$J$5,P$4)=0,COUNTIFS('Team Calendar'!$A$5:$A$12,$F12,'Team Calendar'!$C$5:$C$12,P$4)=0),1,"")</f>
        <v/>
      </c>
      <c r="Q12" s="166">
        <f>IF(AND(ISNUMBER($D12),ISNUMBER($E12),Q$4&gt;=$D12,Q$4&lt;=$E12,WEEKDAY(Q$4,2)&lt;=5,COUNTIF('Sources &amp; Change Log'!$J$2:$J$5,Q$4)=0,COUNTIFS('Team Calendar'!$A$5:$A$12,$F12,'Team Calendar'!$C$5:$C$12,Q$4)=0),1,"")</f>
        <v/>
      </c>
      <c r="R12" s="166">
        <f>IF(AND(ISNUMBER($D12),ISNUMBER($E12),R$4&gt;=$D12,R$4&lt;=$E12,WEEKDAY(R$4,2)&lt;=5,COUNTIF('Sources &amp; Change Log'!$J$2:$J$5,R$4)=0,COUNTIFS('Team Calendar'!$A$5:$A$12,$F12,'Team Calendar'!$C$5:$C$12,R$4)=0),1,"")</f>
        <v/>
      </c>
      <c r="S12" s="165">
        <f>IF(AND(ISNUMBER($D12),ISNUMBER($E12),S$4&gt;=$D12,S$4&lt;=$E12,WEEKDAY(S$4,2)&lt;=5,COUNTIF('Sources &amp; Change Log'!$J$2:$J$5,S$4)=0,COUNTIFS('Team Calendar'!$A$5:$A$12,$F12,'Team Calendar'!$C$5:$C$12,S$4)=0),1,"")</f>
        <v/>
      </c>
      <c r="T12" s="165">
        <f>IF(AND(ISNUMBER($D12),ISNUMBER($E12),T$4&gt;=$D12,T$4&lt;=$E12,WEEKDAY(T$4,2)&lt;=5,COUNTIF('Sources &amp; Change Log'!$J$2:$J$5,T$4)=0,COUNTIFS('Team Calendar'!$A$5:$A$12,$F12,'Team Calendar'!$C$5:$C$12,T$4)=0),1,"")</f>
        <v/>
      </c>
      <c r="U12" s="165">
        <f>IF(AND(ISNUMBER($D12),ISNUMBER($E12),U$4&gt;=$D12,U$4&lt;=$E12,WEEKDAY(U$4,2)&lt;=5,COUNTIF('Sources &amp; Change Log'!$J$2:$J$5,U$4)=0,COUNTIFS('Team Calendar'!$A$5:$A$12,$F12,'Team Calendar'!$C$5:$C$12,U$4)=0),1,"")</f>
        <v/>
      </c>
      <c r="V12" s="165">
        <f>IF(AND(ISNUMBER($D12),ISNUMBER($E12),V$4&gt;=$D12,V$4&lt;=$E12,WEEKDAY(V$4,2)&lt;=5,COUNTIF('Sources &amp; Change Log'!$J$2:$J$5,V$4)=0,COUNTIFS('Team Calendar'!$A$5:$A$12,$F12,'Team Calendar'!$C$5:$C$12,V$4)=0),1,"")</f>
        <v/>
      </c>
      <c r="W12" s="165">
        <f>IF(AND(ISNUMBER($D12),ISNUMBER($E12),W$4&gt;=$D12,W$4&lt;=$E12,WEEKDAY(W$4,2)&lt;=5,COUNTIF('Sources &amp; Change Log'!$J$2:$J$5,W$4)=0,COUNTIFS('Team Calendar'!$A$5:$A$12,$F12,'Team Calendar'!$C$5:$C$12,W$4)=0),1,"")</f>
        <v/>
      </c>
      <c r="X12" s="166">
        <f>IF(AND(ISNUMBER($D12),ISNUMBER($E12),X$4&gt;=$D12,X$4&lt;=$E12,WEEKDAY(X$4,2)&lt;=5,COUNTIF('Sources &amp; Change Log'!$J$2:$J$5,X$4)=0,COUNTIFS('Team Calendar'!$A$5:$A$12,$F12,'Team Calendar'!$C$5:$C$12,X$4)=0),1,"")</f>
        <v/>
      </c>
      <c r="Y12" s="166">
        <f>IF(AND(ISNUMBER($D12),ISNUMBER($E12),Y$4&gt;=$D12,Y$4&lt;=$E12,WEEKDAY(Y$4,2)&lt;=5,COUNTIF('Sources &amp; Change Log'!$J$2:$J$5,Y$4)=0,COUNTIFS('Team Calendar'!$A$5:$A$12,$F12,'Team Calendar'!$C$5:$C$12,Y$4)=0),1,"")</f>
        <v/>
      </c>
      <c r="Z12" s="165">
        <f>IF(AND(ISNUMBER($D12),ISNUMBER($E12),Z$4&gt;=$D12,Z$4&lt;=$E12,WEEKDAY(Z$4,2)&lt;=5,COUNTIF('Sources &amp; Change Log'!$J$2:$J$5,Z$4)=0,COUNTIFS('Team Calendar'!$A$5:$A$12,$F12,'Team Calendar'!$C$5:$C$12,Z$4)=0),1,"")</f>
        <v/>
      </c>
      <c r="AA12" s="165">
        <f>IF(AND(ISNUMBER($D12),ISNUMBER($E12),AA$4&gt;=$D12,AA$4&lt;=$E12,WEEKDAY(AA$4,2)&lt;=5,COUNTIF('Sources &amp; Change Log'!$J$2:$J$5,AA$4)=0,COUNTIFS('Team Calendar'!$A$5:$A$12,$F12,'Team Calendar'!$C$5:$C$12,AA$4)=0),1,"")</f>
        <v/>
      </c>
      <c r="AB12" s="165">
        <f>IF(AND(ISNUMBER($D12),ISNUMBER($E12),AB$4&gt;=$D12,AB$4&lt;=$E12,WEEKDAY(AB$4,2)&lt;=5,COUNTIF('Sources &amp; Change Log'!$J$2:$J$5,AB$4)=0,COUNTIFS('Team Calendar'!$A$5:$A$12,$F12,'Team Calendar'!$C$5:$C$12,AB$4)=0),1,"")</f>
        <v/>
      </c>
      <c r="AC12" s="165">
        <f>IF(AND(ISNUMBER($D12),ISNUMBER($E12),AC$4&gt;=$D12,AC$4&lt;=$E12,WEEKDAY(AC$4,2)&lt;=5,COUNTIF('Sources &amp; Change Log'!$J$2:$J$5,AC$4)=0,COUNTIFS('Team Calendar'!$A$5:$A$12,$F12,'Team Calendar'!$C$5:$C$12,AC$4)=0),1,"")</f>
        <v/>
      </c>
      <c r="AD12" s="165">
        <f>IF(AND(ISNUMBER($D12),ISNUMBER($E12),AD$4&gt;=$D12,AD$4&lt;=$E12,WEEKDAY(AD$4,2)&lt;=5,COUNTIF('Sources &amp; Change Log'!$J$2:$J$5,AD$4)=0,COUNTIFS('Team Calendar'!$A$5:$A$12,$F12,'Team Calendar'!$C$5:$C$12,AD$4)=0),1,"")</f>
        <v/>
      </c>
      <c r="AE12" s="166">
        <f>IF(AND(ISNUMBER($D12),ISNUMBER($E12),AE$4&gt;=$D12,AE$4&lt;=$E12,WEEKDAY(AE$4,2)&lt;=5,COUNTIF('Sources &amp; Change Log'!$J$2:$J$5,AE$4)=0,COUNTIFS('Team Calendar'!$A$5:$A$12,$F12,'Team Calendar'!$C$5:$C$12,AE$4)=0),1,"")</f>
        <v/>
      </c>
      <c r="AF12" s="166">
        <f>IF(AND(ISNUMBER($D12),ISNUMBER($E12),AF$4&gt;=$D12,AF$4&lt;=$E12,WEEKDAY(AF$4,2)&lt;=5,COUNTIF('Sources &amp; Change Log'!$J$2:$J$5,AF$4)=0,COUNTIFS('Team Calendar'!$A$5:$A$12,$F12,'Team Calendar'!$C$5:$C$12,AF$4)=0),1,"")</f>
        <v/>
      </c>
      <c r="AG12" s="165">
        <f>IF(AND(ISNUMBER($D12),ISNUMBER($E12),AG$4&gt;=$D12,AG$4&lt;=$E12,WEEKDAY(AG$4,2)&lt;=5,COUNTIF('Sources &amp; Change Log'!$J$2:$J$5,AG$4)=0,COUNTIFS('Team Calendar'!$A$5:$A$12,$F12,'Team Calendar'!$C$5:$C$12,AG$4)=0),1,"")</f>
        <v/>
      </c>
      <c r="AH12" s="165">
        <f>IF(AND(ISNUMBER($D12),ISNUMBER($E12),AH$4&gt;=$D12,AH$4&lt;=$E12,WEEKDAY(AH$4,2)&lt;=5,COUNTIF('Sources &amp; Change Log'!$J$2:$J$5,AH$4)=0,COUNTIFS('Team Calendar'!$A$5:$A$12,$F12,'Team Calendar'!$C$5:$C$12,AH$4)=0),1,"")</f>
        <v/>
      </c>
      <c r="AI12" s="165">
        <f>IF(AND(ISNUMBER($D12),ISNUMBER($E12),AI$4&gt;=$D12,AI$4&lt;=$E12,WEEKDAY(AI$4,2)&lt;=5,COUNTIF('Sources &amp; Change Log'!$J$2:$J$5,AI$4)=0,COUNTIFS('Team Calendar'!$A$5:$A$12,$F12,'Team Calendar'!$C$5:$C$12,AI$4)=0),1,"")</f>
        <v/>
      </c>
    </row>
    <row r="13" ht="24" customHeight="1">
      <c r="A13" s="13">
        <f>WBS!A12</f>
        <v/>
      </c>
      <c r="B13" s="13">
        <f>WBS!B12</f>
        <v/>
      </c>
      <c r="C13" s="13">
        <f>WBS!G12</f>
        <v/>
      </c>
      <c r="D13" s="164">
        <f>IF(WBS!H12="","",WBS!H12)</f>
        <v/>
      </c>
      <c r="E13" s="164">
        <f>IF(WBS!I12="","",WBS!I12)</f>
        <v/>
      </c>
      <c r="F13" s="13">
        <f>WBS!L12</f>
        <v/>
      </c>
      <c r="G13" s="165">
        <f>IF(AND(ISNUMBER($D13),ISNUMBER($E13),G$4&gt;=$D13,G$4&lt;=$E13,WEEKDAY(G$4,2)&lt;=5,COUNTIF('Sources &amp; Change Log'!$J$2:$J$5,G$4)=0,COUNTIFS('Team Calendar'!$A$5:$A$12,$F13,'Team Calendar'!$C$5:$C$12,G$4)=0),1,"")</f>
        <v/>
      </c>
      <c r="H13" s="165">
        <f>IF(AND(ISNUMBER($D13),ISNUMBER($E13),H$4&gt;=$D13,H$4&lt;=$E13,WEEKDAY(H$4,2)&lt;=5,COUNTIF('Sources &amp; Change Log'!$J$2:$J$5,H$4)=0,COUNTIFS('Team Calendar'!$A$5:$A$12,$F13,'Team Calendar'!$C$5:$C$12,H$4)=0),1,"")</f>
        <v/>
      </c>
      <c r="I13" s="165">
        <f>IF(AND(ISNUMBER($D13),ISNUMBER($E13),I$4&gt;=$D13,I$4&lt;=$E13,WEEKDAY(I$4,2)&lt;=5,COUNTIF('Sources &amp; Change Log'!$J$2:$J$5,I$4)=0,COUNTIFS('Team Calendar'!$A$5:$A$12,$F13,'Team Calendar'!$C$5:$C$12,I$4)=0),1,"")</f>
        <v/>
      </c>
      <c r="J13" s="166">
        <f>IF(AND(ISNUMBER($D13),ISNUMBER($E13),J$4&gt;=$D13,J$4&lt;=$E13,WEEKDAY(J$4,2)&lt;=5,COUNTIF('Sources &amp; Change Log'!$J$2:$J$5,J$4)=0,COUNTIFS('Team Calendar'!$A$5:$A$12,$F13,'Team Calendar'!$C$5:$C$12,J$4)=0),1,"")</f>
        <v/>
      </c>
      <c r="K13" s="166">
        <f>IF(AND(ISNUMBER($D13),ISNUMBER($E13),K$4&gt;=$D13,K$4&lt;=$E13,WEEKDAY(K$4,2)&lt;=5,COUNTIF('Sources &amp; Change Log'!$J$2:$J$5,K$4)=0,COUNTIFS('Team Calendar'!$A$5:$A$12,$F13,'Team Calendar'!$C$5:$C$12,K$4)=0),1,"")</f>
        <v/>
      </c>
      <c r="L13" s="165">
        <f>IF(AND(ISNUMBER($D13),ISNUMBER($E13),L$4&gt;=$D13,L$4&lt;=$E13,WEEKDAY(L$4,2)&lt;=5,COUNTIF('Sources &amp; Change Log'!$J$2:$J$5,L$4)=0,COUNTIFS('Team Calendar'!$A$5:$A$12,$F13,'Team Calendar'!$C$5:$C$12,L$4)=0),1,"")</f>
        <v/>
      </c>
      <c r="M13" s="167">
        <f>IF(AND(ISNUMBER($D13),ISNUMBER($E13),M$4&gt;=$D13,M$4&lt;=$E13,WEEKDAY(M$4,2)&lt;=5,COUNTIF('Sources &amp; Change Log'!$J$2:$J$5,M$4)=0,COUNTIFS('Team Calendar'!$A$5:$A$12,$F13,'Team Calendar'!$C$5:$C$12,M$4)=0),1,"")</f>
        <v/>
      </c>
      <c r="N13" s="165">
        <f>IF(AND(ISNUMBER($D13),ISNUMBER($E13),N$4&gt;=$D13,N$4&lt;=$E13,WEEKDAY(N$4,2)&lt;=5,COUNTIF('Sources &amp; Change Log'!$J$2:$J$5,N$4)=0,COUNTIFS('Team Calendar'!$A$5:$A$12,$F13,'Team Calendar'!$C$5:$C$12,N$4)=0),1,"")</f>
        <v/>
      </c>
      <c r="O13" s="165">
        <f>IF(AND(ISNUMBER($D13),ISNUMBER($E13),O$4&gt;=$D13,O$4&lt;=$E13,WEEKDAY(O$4,2)&lt;=5,COUNTIF('Sources &amp; Change Log'!$J$2:$J$5,O$4)=0,COUNTIFS('Team Calendar'!$A$5:$A$12,$F13,'Team Calendar'!$C$5:$C$12,O$4)=0),1,"")</f>
        <v/>
      </c>
      <c r="P13" s="169">
        <f>IF(AND(ISNUMBER($D13),ISNUMBER($E13),P$4&gt;=$D13,P$4&lt;=$E13,WEEKDAY(P$4,2)&lt;=5,COUNTIF('Sources &amp; Change Log'!$J$2:$J$5,P$4)=0,COUNTIFS('Team Calendar'!$A$5:$A$12,$F13,'Team Calendar'!$C$5:$C$12,P$4)=0),1,"")</f>
        <v/>
      </c>
      <c r="Q13" s="166">
        <f>IF(AND(ISNUMBER($D13),ISNUMBER($E13),Q$4&gt;=$D13,Q$4&lt;=$E13,WEEKDAY(Q$4,2)&lt;=5,COUNTIF('Sources &amp; Change Log'!$J$2:$J$5,Q$4)=0,COUNTIFS('Team Calendar'!$A$5:$A$12,$F13,'Team Calendar'!$C$5:$C$12,Q$4)=0),1,"")</f>
        <v/>
      </c>
      <c r="R13" s="166">
        <f>IF(AND(ISNUMBER($D13),ISNUMBER($E13),R$4&gt;=$D13,R$4&lt;=$E13,WEEKDAY(R$4,2)&lt;=5,COUNTIF('Sources &amp; Change Log'!$J$2:$J$5,R$4)=0,COUNTIFS('Team Calendar'!$A$5:$A$12,$F13,'Team Calendar'!$C$5:$C$12,R$4)=0),1,"")</f>
        <v/>
      </c>
      <c r="S13" s="165">
        <f>IF(AND(ISNUMBER($D13),ISNUMBER($E13),S$4&gt;=$D13,S$4&lt;=$E13,WEEKDAY(S$4,2)&lt;=5,COUNTIF('Sources &amp; Change Log'!$J$2:$J$5,S$4)=0,COUNTIFS('Team Calendar'!$A$5:$A$12,$F13,'Team Calendar'!$C$5:$C$12,S$4)=0),1,"")</f>
        <v/>
      </c>
      <c r="T13" s="165">
        <f>IF(AND(ISNUMBER($D13),ISNUMBER($E13),T$4&gt;=$D13,T$4&lt;=$E13,WEEKDAY(T$4,2)&lt;=5,COUNTIF('Sources &amp; Change Log'!$J$2:$J$5,T$4)=0,COUNTIFS('Team Calendar'!$A$5:$A$12,$F13,'Team Calendar'!$C$5:$C$12,T$4)=0),1,"")</f>
        <v/>
      </c>
      <c r="U13" s="165">
        <f>IF(AND(ISNUMBER($D13),ISNUMBER($E13),U$4&gt;=$D13,U$4&lt;=$E13,WEEKDAY(U$4,2)&lt;=5,COUNTIF('Sources &amp; Change Log'!$J$2:$J$5,U$4)=0,COUNTIFS('Team Calendar'!$A$5:$A$12,$F13,'Team Calendar'!$C$5:$C$12,U$4)=0),1,"")</f>
        <v/>
      </c>
      <c r="V13" s="165">
        <f>IF(AND(ISNUMBER($D13),ISNUMBER($E13),V$4&gt;=$D13,V$4&lt;=$E13,WEEKDAY(V$4,2)&lt;=5,COUNTIF('Sources &amp; Change Log'!$J$2:$J$5,V$4)=0,COUNTIFS('Team Calendar'!$A$5:$A$12,$F13,'Team Calendar'!$C$5:$C$12,V$4)=0),1,"")</f>
        <v/>
      </c>
      <c r="W13" s="165">
        <f>IF(AND(ISNUMBER($D13),ISNUMBER($E13),W$4&gt;=$D13,W$4&lt;=$E13,WEEKDAY(W$4,2)&lt;=5,COUNTIF('Sources &amp; Change Log'!$J$2:$J$5,W$4)=0,COUNTIFS('Team Calendar'!$A$5:$A$12,$F13,'Team Calendar'!$C$5:$C$12,W$4)=0),1,"")</f>
        <v/>
      </c>
      <c r="X13" s="166">
        <f>IF(AND(ISNUMBER($D13),ISNUMBER($E13),X$4&gt;=$D13,X$4&lt;=$E13,WEEKDAY(X$4,2)&lt;=5,COUNTIF('Sources &amp; Change Log'!$J$2:$J$5,X$4)=0,COUNTIFS('Team Calendar'!$A$5:$A$12,$F13,'Team Calendar'!$C$5:$C$12,X$4)=0),1,"")</f>
        <v/>
      </c>
      <c r="Y13" s="166">
        <f>IF(AND(ISNUMBER($D13),ISNUMBER($E13),Y$4&gt;=$D13,Y$4&lt;=$E13,WEEKDAY(Y$4,2)&lt;=5,COUNTIF('Sources &amp; Change Log'!$J$2:$J$5,Y$4)=0,COUNTIFS('Team Calendar'!$A$5:$A$12,$F13,'Team Calendar'!$C$5:$C$12,Y$4)=0),1,"")</f>
        <v/>
      </c>
      <c r="Z13" s="165">
        <f>IF(AND(ISNUMBER($D13),ISNUMBER($E13),Z$4&gt;=$D13,Z$4&lt;=$E13,WEEKDAY(Z$4,2)&lt;=5,COUNTIF('Sources &amp; Change Log'!$J$2:$J$5,Z$4)=0,COUNTIFS('Team Calendar'!$A$5:$A$12,$F13,'Team Calendar'!$C$5:$C$12,Z$4)=0),1,"")</f>
        <v/>
      </c>
      <c r="AA13" s="165">
        <f>IF(AND(ISNUMBER($D13),ISNUMBER($E13),AA$4&gt;=$D13,AA$4&lt;=$E13,WEEKDAY(AA$4,2)&lt;=5,COUNTIF('Sources &amp; Change Log'!$J$2:$J$5,AA$4)=0,COUNTIFS('Team Calendar'!$A$5:$A$12,$F13,'Team Calendar'!$C$5:$C$12,AA$4)=0),1,"")</f>
        <v/>
      </c>
      <c r="AB13" s="165">
        <f>IF(AND(ISNUMBER($D13),ISNUMBER($E13),AB$4&gt;=$D13,AB$4&lt;=$E13,WEEKDAY(AB$4,2)&lt;=5,COUNTIF('Sources &amp; Change Log'!$J$2:$J$5,AB$4)=0,COUNTIFS('Team Calendar'!$A$5:$A$12,$F13,'Team Calendar'!$C$5:$C$12,AB$4)=0),1,"")</f>
        <v/>
      </c>
      <c r="AC13" s="165">
        <f>IF(AND(ISNUMBER($D13),ISNUMBER($E13),AC$4&gt;=$D13,AC$4&lt;=$E13,WEEKDAY(AC$4,2)&lt;=5,COUNTIF('Sources &amp; Change Log'!$J$2:$J$5,AC$4)=0,COUNTIFS('Team Calendar'!$A$5:$A$12,$F13,'Team Calendar'!$C$5:$C$12,AC$4)=0),1,"")</f>
        <v/>
      </c>
      <c r="AD13" s="165">
        <f>IF(AND(ISNUMBER($D13),ISNUMBER($E13),AD$4&gt;=$D13,AD$4&lt;=$E13,WEEKDAY(AD$4,2)&lt;=5,COUNTIF('Sources &amp; Change Log'!$J$2:$J$5,AD$4)=0,COUNTIFS('Team Calendar'!$A$5:$A$12,$F13,'Team Calendar'!$C$5:$C$12,AD$4)=0),1,"")</f>
        <v/>
      </c>
      <c r="AE13" s="166">
        <f>IF(AND(ISNUMBER($D13),ISNUMBER($E13),AE$4&gt;=$D13,AE$4&lt;=$E13,WEEKDAY(AE$4,2)&lt;=5,COUNTIF('Sources &amp; Change Log'!$J$2:$J$5,AE$4)=0,COUNTIFS('Team Calendar'!$A$5:$A$12,$F13,'Team Calendar'!$C$5:$C$12,AE$4)=0),1,"")</f>
        <v/>
      </c>
      <c r="AF13" s="166">
        <f>IF(AND(ISNUMBER($D13),ISNUMBER($E13),AF$4&gt;=$D13,AF$4&lt;=$E13,WEEKDAY(AF$4,2)&lt;=5,COUNTIF('Sources &amp; Change Log'!$J$2:$J$5,AF$4)=0,COUNTIFS('Team Calendar'!$A$5:$A$12,$F13,'Team Calendar'!$C$5:$C$12,AF$4)=0),1,"")</f>
        <v/>
      </c>
      <c r="AG13" s="165">
        <f>IF(AND(ISNUMBER($D13),ISNUMBER($E13),AG$4&gt;=$D13,AG$4&lt;=$E13,WEEKDAY(AG$4,2)&lt;=5,COUNTIF('Sources &amp; Change Log'!$J$2:$J$5,AG$4)=0,COUNTIFS('Team Calendar'!$A$5:$A$12,$F13,'Team Calendar'!$C$5:$C$12,AG$4)=0),1,"")</f>
        <v/>
      </c>
      <c r="AH13" s="165">
        <f>IF(AND(ISNUMBER($D13),ISNUMBER($E13),AH$4&gt;=$D13,AH$4&lt;=$E13,WEEKDAY(AH$4,2)&lt;=5,COUNTIF('Sources &amp; Change Log'!$J$2:$J$5,AH$4)=0,COUNTIFS('Team Calendar'!$A$5:$A$12,$F13,'Team Calendar'!$C$5:$C$12,AH$4)=0),1,"")</f>
        <v/>
      </c>
      <c r="AI13" s="165">
        <f>IF(AND(ISNUMBER($D13),ISNUMBER($E13),AI$4&gt;=$D13,AI$4&lt;=$E13,WEEKDAY(AI$4,2)&lt;=5,COUNTIF('Sources &amp; Change Log'!$J$2:$J$5,AI$4)=0,COUNTIFS('Team Calendar'!$A$5:$A$12,$F13,'Team Calendar'!$C$5:$C$12,AI$4)=0),1,"")</f>
        <v/>
      </c>
    </row>
    <row r="14" ht="24" customHeight="1">
      <c r="A14" s="13">
        <f>WBS!A13</f>
        <v/>
      </c>
      <c r="B14" s="13">
        <f>WBS!B13</f>
        <v/>
      </c>
      <c r="C14" s="13">
        <f>WBS!G13</f>
        <v/>
      </c>
      <c r="D14" s="164">
        <f>IF(WBS!H13="","",WBS!H13)</f>
        <v/>
      </c>
      <c r="E14" s="164">
        <f>IF(WBS!I13="","",WBS!I13)</f>
        <v/>
      </c>
      <c r="F14" s="13">
        <f>WBS!L13</f>
        <v/>
      </c>
      <c r="G14" s="165">
        <f>IF(AND(ISNUMBER($D14),ISNUMBER($E14),G$4&gt;=$D14,G$4&lt;=$E14,WEEKDAY(G$4,2)&lt;=5,COUNTIF('Sources &amp; Change Log'!$J$2:$J$5,G$4)=0,COUNTIFS('Team Calendar'!$A$5:$A$12,$F14,'Team Calendar'!$C$5:$C$12,G$4)=0),1,"")</f>
        <v/>
      </c>
      <c r="H14" s="165">
        <f>IF(AND(ISNUMBER($D14),ISNUMBER($E14),H$4&gt;=$D14,H$4&lt;=$E14,WEEKDAY(H$4,2)&lt;=5,COUNTIF('Sources &amp; Change Log'!$J$2:$J$5,H$4)=0,COUNTIFS('Team Calendar'!$A$5:$A$12,$F14,'Team Calendar'!$C$5:$C$12,H$4)=0),1,"")</f>
        <v/>
      </c>
      <c r="I14" s="165">
        <f>IF(AND(ISNUMBER($D14),ISNUMBER($E14),I$4&gt;=$D14,I$4&lt;=$E14,WEEKDAY(I$4,2)&lt;=5,COUNTIF('Sources &amp; Change Log'!$J$2:$J$5,I$4)=0,COUNTIFS('Team Calendar'!$A$5:$A$12,$F14,'Team Calendar'!$C$5:$C$12,I$4)=0),1,"")</f>
        <v/>
      </c>
      <c r="J14" s="166">
        <f>IF(AND(ISNUMBER($D14),ISNUMBER($E14),J$4&gt;=$D14,J$4&lt;=$E14,WEEKDAY(J$4,2)&lt;=5,COUNTIF('Sources &amp; Change Log'!$J$2:$J$5,J$4)=0,COUNTIFS('Team Calendar'!$A$5:$A$12,$F14,'Team Calendar'!$C$5:$C$12,J$4)=0),1,"")</f>
        <v/>
      </c>
      <c r="K14" s="166">
        <f>IF(AND(ISNUMBER($D14),ISNUMBER($E14),K$4&gt;=$D14,K$4&lt;=$E14,WEEKDAY(K$4,2)&lt;=5,COUNTIF('Sources &amp; Change Log'!$J$2:$J$5,K$4)=0,COUNTIFS('Team Calendar'!$A$5:$A$12,$F14,'Team Calendar'!$C$5:$C$12,K$4)=0),1,"")</f>
        <v/>
      </c>
      <c r="L14" s="165">
        <f>IF(AND(ISNUMBER($D14),ISNUMBER($E14),L$4&gt;=$D14,L$4&lt;=$E14,WEEKDAY(L$4,2)&lt;=5,COUNTIF('Sources &amp; Change Log'!$J$2:$J$5,L$4)=0,COUNTIFS('Team Calendar'!$A$5:$A$12,$F14,'Team Calendar'!$C$5:$C$12,L$4)=0),1,"")</f>
        <v/>
      </c>
      <c r="M14" s="167">
        <f>IF(AND(ISNUMBER($D14),ISNUMBER($E14),M$4&gt;=$D14,M$4&lt;=$E14,WEEKDAY(M$4,2)&lt;=5,COUNTIF('Sources &amp; Change Log'!$J$2:$J$5,M$4)=0,COUNTIFS('Team Calendar'!$A$5:$A$12,$F14,'Team Calendar'!$C$5:$C$12,M$4)=0),1,"")</f>
        <v/>
      </c>
      <c r="N14" s="165">
        <f>IF(AND(ISNUMBER($D14),ISNUMBER($E14),N$4&gt;=$D14,N$4&lt;=$E14,WEEKDAY(N$4,2)&lt;=5,COUNTIF('Sources &amp; Change Log'!$J$2:$J$5,N$4)=0,COUNTIFS('Team Calendar'!$A$5:$A$12,$F14,'Team Calendar'!$C$5:$C$12,N$4)=0),1,"")</f>
        <v/>
      </c>
      <c r="O14" s="165">
        <f>IF(AND(ISNUMBER($D14),ISNUMBER($E14),O$4&gt;=$D14,O$4&lt;=$E14,WEEKDAY(O$4,2)&lt;=5,COUNTIF('Sources &amp; Change Log'!$J$2:$J$5,O$4)=0,COUNTIFS('Team Calendar'!$A$5:$A$12,$F14,'Team Calendar'!$C$5:$C$12,O$4)=0),1,"")</f>
        <v/>
      </c>
      <c r="P14" s="165">
        <f>IF(AND(ISNUMBER($D14),ISNUMBER($E14),P$4&gt;=$D14,P$4&lt;=$E14,WEEKDAY(P$4,2)&lt;=5,COUNTIF('Sources &amp; Change Log'!$J$2:$J$5,P$4)=0,COUNTIFS('Team Calendar'!$A$5:$A$12,$F14,'Team Calendar'!$C$5:$C$12,P$4)=0),1,"")</f>
        <v/>
      </c>
      <c r="Q14" s="166">
        <f>IF(AND(ISNUMBER($D14),ISNUMBER($E14),Q$4&gt;=$D14,Q$4&lt;=$E14,WEEKDAY(Q$4,2)&lt;=5,COUNTIF('Sources &amp; Change Log'!$J$2:$J$5,Q$4)=0,COUNTIFS('Team Calendar'!$A$5:$A$12,$F14,'Team Calendar'!$C$5:$C$12,Q$4)=0),1,"")</f>
        <v/>
      </c>
      <c r="R14" s="166">
        <f>IF(AND(ISNUMBER($D14),ISNUMBER($E14),R$4&gt;=$D14,R$4&lt;=$E14,WEEKDAY(R$4,2)&lt;=5,COUNTIF('Sources &amp; Change Log'!$J$2:$J$5,R$4)=0,COUNTIFS('Team Calendar'!$A$5:$A$12,$F14,'Team Calendar'!$C$5:$C$12,R$4)=0),1,"")</f>
        <v/>
      </c>
      <c r="S14" s="165">
        <f>IF(AND(ISNUMBER($D14),ISNUMBER($E14),S$4&gt;=$D14,S$4&lt;=$E14,WEEKDAY(S$4,2)&lt;=5,COUNTIF('Sources &amp; Change Log'!$J$2:$J$5,S$4)=0,COUNTIFS('Team Calendar'!$A$5:$A$12,$F14,'Team Calendar'!$C$5:$C$12,S$4)=0),1,"")</f>
        <v/>
      </c>
      <c r="T14" s="165">
        <f>IF(AND(ISNUMBER($D14),ISNUMBER($E14),T$4&gt;=$D14,T$4&lt;=$E14,WEEKDAY(T$4,2)&lt;=5,COUNTIF('Sources &amp; Change Log'!$J$2:$J$5,T$4)=0,COUNTIFS('Team Calendar'!$A$5:$A$12,$F14,'Team Calendar'!$C$5:$C$12,T$4)=0),1,"")</f>
        <v/>
      </c>
      <c r="U14" s="165">
        <f>IF(AND(ISNUMBER($D14),ISNUMBER($E14),U$4&gt;=$D14,U$4&lt;=$E14,WEEKDAY(U$4,2)&lt;=5,COUNTIF('Sources &amp; Change Log'!$J$2:$J$5,U$4)=0,COUNTIFS('Team Calendar'!$A$5:$A$12,$F14,'Team Calendar'!$C$5:$C$12,U$4)=0),1,"")</f>
        <v/>
      </c>
      <c r="V14" s="165">
        <f>IF(AND(ISNUMBER($D14),ISNUMBER($E14),V$4&gt;=$D14,V$4&lt;=$E14,WEEKDAY(V$4,2)&lt;=5,COUNTIF('Sources &amp; Change Log'!$J$2:$J$5,V$4)=0,COUNTIFS('Team Calendar'!$A$5:$A$12,$F14,'Team Calendar'!$C$5:$C$12,V$4)=0),1,"")</f>
        <v/>
      </c>
      <c r="W14" s="165">
        <f>IF(AND(ISNUMBER($D14),ISNUMBER($E14),W$4&gt;=$D14,W$4&lt;=$E14,WEEKDAY(W$4,2)&lt;=5,COUNTIF('Sources &amp; Change Log'!$J$2:$J$5,W$4)=0,COUNTIFS('Team Calendar'!$A$5:$A$12,$F14,'Team Calendar'!$C$5:$C$12,W$4)=0),1,"")</f>
        <v/>
      </c>
      <c r="X14" s="166">
        <f>IF(AND(ISNUMBER($D14),ISNUMBER($E14),X$4&gt;=$D14,X$4&lt;=$E14,WEEKDAY(X$4,2)&lt;=5,COUNTIF('Sources &amp; Change Log'!$J$2:$J$5,X$4)=0,COUNTIFS('Team Calendar'!$A$5:$A$12,$F14,'Team Calendar'!$C$5:$C$12,X$4)=0),1,"")</f>
        <v/>
      </c>
      <c r="Y14" s="166">
        <f>IF(AND(ISNUMBER($D14),ISNUMBER($E14),Y$4&gt;=$D14,Y$4&lt;=$E14,WEEKDAY(Y$4,2)&lt;=5,COUNTIF('Sources &amp; Change Log'!$J$2:$J$5,Y$4)=0,COUNTIFS('Team Calendar'!$A$5:$A$12,$F14,'Team Calendar'!$C$5:$C$12,Y$4)=0),1,"")</f>
        <v/>
      </c>
      <c r="Z14" s="165">
        <f>IF(AND(ISNUMBER($D14),ISNUMBER($E14),Z$4&gt;=$D14,Z$4&lt;=$E14,WEEKDAY(Z$4,2)&lt;=5,COUNTIF('Sources &amp; Change Log'!$J$2:$J$5,Z$4)=0,COUNTIFS('Team Calendar'!$A$5:$A$12,$F14,'Team Calendar'!$C$5:$C$12,Z$4)=0),1,"")</f>
        <v/>
      </c>
      <c r="AA14" s="165">
        <f>IF(AND(ISNUMBER($D14),ISNUMBER($E14),AA$4&gt;=$D14,AA$4&lt;=$E14,WEEKDAY(AA$4,2)&lt;=5,COUNTIF('Sources &amp; Change Log'!$J$2:$J$5,AA$4)=0,COUNTIFS('Team Calendar'!$A$5:$A$12,$F14,'Team Calendar'!$C$5:$C$12,AA$4)=0),1,"")</f>
        <v/>
      </c>
      <c r="AB14" s="165">
        <f>IF(AND(ISNUMBER($D14),ISNUMBER($E14),AB$4&gt;=$D14,AB$4&lt;=$E14,WEEKDAY(AB$4,2)&lt;=5,COUNTIF('Sources &amp; Change Log'!$J$2:$J$5,AB$4)=0,COUNTIFS('Team Calendar'!$A$5:$A$12,$F14,'Team Calendar'!$C$5:$C$12,AB$4)=0),1,"")</f>
        <v/>
      </c>
      <c r="AC14" s="165">
        <f>IF(AND(ISNUMBER($D14),ISNUMBER($E14),AC$4&gt;=$D14,AC$4&lt;=$E14,WEEKDAY(AC$4,2)&lt;=5,COUNTIF('Sources &amp; Change Log'!$J$2:$J$5,AC$4)=0,COUNTIFS('Team Calendar'!$A$5:$A$12,$F14,'Team Calendar'!$C$5:$C$12,AC$4)=0),1,"")</f>
        <v/>
      </c>
      <c r="AD14" s="165">
        <f>IF(AND(ISNUMBER($D14),ISNUMBER($E14),AD$4&gt;=$D14,AD$4&lt;=$E14,WEEKDAY(AD$4,2)&lt;=5,COUNTIF('Sources &amp; Change Log'!$J$2:$J$5,AD$4)=0,COUNTIFS('Team Calendar'!$A$5:$A$12,$F14,'Team Calendar'!$C$5:$C$12,AD$4)=0),1,"")</f>
        <v/>
      </c>
      <c r="AE14" s="166">
        <f>IF(AND(ISNUMBER($D14),ISNUMBER($E14),AE$4&gt;=$D14,AE$4&lt;=$E14,WEEKDAY(AE$4,2)&lt;=5,COUNTIF('Sources &amp; Change Log'!$J$2:$J$5,AE$4)=0,COUNTIFS('Team Calendar'!$A$5:$A$12,$F14,'Team Calendar'!$C$5:$C$12,AE$4)=0),1,"")</f>
        <v/>
      </c>
      <c r="AF14" s="166">
        <f>IF(AND(ISNUMBER($D14),ISNUMBER($E14),AF$4&gt;=$D14,AF$4&lt;=$E14,WEEKDAY(AF$4,2)&lt;=5,COUNTIF('Sources &amp; Change Log'!$J$2:$J$5,AF$4)=0,COUNTIFS('Team Calendar'!$A$5:$A$12,$F14,'Team Calendar'!$C$5:$C$12,AF$4)=0),1,"")</f>
        <v/>
      </c>
      <c r="AG14" s="165">
        <f>IF(AND(ISNUMBER($D14),ISNUMBER($E14),AG$4&gt;=$D14,AG$4&lt;=$E14,WEEKDAY(AG$4,2)&lt;=5,COUNTIF('Sources &amp; Change Log'!$J$2:$J$5,AG$4)=0,COUNTIFS('Team Calendar'!$A$5:$A$12,$F14,'Team Calendar'!$C$5:$C$12,AG$4)=0),1,"")</f>
        <v/>
      </c>
      <c r="AH14" s="165">
        <f>IF(AND(ISNUMBER($D14),ISNUMBER($E14),AH$4&gt;=$D14,AH$4&lt;=$E14,WEEKDAY(AH$4,2)&lt;=5,COUNTIF('Sources &amp; Change Log'!$J$2:$J$5,AH$4)=0,COUNTIFS('Team Calendar'!$A$5:$A$12,$F14,'Team Calendar'!$C$5:$C$12,AH$4)=0),1,"")</f>
        <v/>
      </c>
      <c r="AI14" s="165">
        <f>IF(AND(ISNUMBER($D14),ISNUMBER($E14),AI$4&gt;=$D14,AI$4&lt;=$E14,WEEKDAY(AI$4,2)&lt;=5,COUNTIF('Sources &amp; Change Log'!$J$2:$J$5,AI$4)=0,COUNTIFS('Team Calendar'!$A$5:$A$12,$F14,'Team Calendar'!$C$5:$C$12,AI$4)=0),1,"")</f>
        <v/>
      </c>
    </row>
    <row r="15" ht="24" customHeight="1">
      <c r="A15" s="13">
        <f>WBS!A14</f>
        <v/>
      </c>
      <c r="B15" s="13">
        <f>WBS!B14</f>
        <v/>
      </c>
      <c r="C15" s="13">
        <f>WBS!G14</f>
        <v/>
      </c>
      <c r="D15" s="164">
        <f>IF(WBS!H14="","",WBS!H14)</f>
        <v/>
      </c>
      <c r="E15" s="164">
        <f>IF(WBS!I14="","",WBS!I14)</f>
        <v/>
      </c>
      <c r="F15" s="13">
        <f>WBS!L14</f>
        <v/>
      </c>
      <c r="G15" s="165">
        <f>IF(AND(ISNUMBER($D15),ISNUMBER($E15),G$4&gt;=$D15,G$4&lt;=$E15,WEEKDAY(G$4,2)&lt;=5,COUNTIF('Sources &amp; Change Log'!$J$2:$J$5,G$4)=0,COUNTIFS('Team Calendar'!$A$5:$A$12,$F15,'Team Calendar'!$C$5:$C$12,G$4)=0),1,"")</f>
        <v/>
      </c>
      <c r="H15" s="165">
        <f>IF(AND(ISNUMBER($D15),ISNUMBER($E15),H$4&gt;=$D15,H$4&lt;=$E15,WEEKDAY(H$4,2)&lt;=5,COUNTIF('Sources &amp; Change Log'!$J$2:$J$5,H$4)=0,COUNTIFS('Team Calendar'!$A$5:$A$12,$F15,'Team Calendar'!$C$5:$C$12,H$4)=0),1,"")</f>
        <v/>
      </c>
      <c r="I15" s="165">
        <f>IF(AND(ISNUMBER($D15),ISNUMBER($E15),I$4&gt;=$D15,I$4&lt;=$E15,WEEKDAY(I$4,2)&lt;=5,COUNTIF('Sources &amp; Change Log'!$J$2:$J$5,I$4)=0,COUNTIFS('Team Calendar'!$A$5:$A$12,$F15,'Team Calendar'!$C$5:$C$12,I$4)=0),1,"")</f>
        <v/>
      </c>
      <c r="J15" s="166">
        <f>IF(AND(ISNUMBER($D15),ISNUMBER($E15),J$4&gt;=$D15,J$4&lt;=$E15,WEEKDAY(J$4,2)&lt;=5,COUNTIF('Sources &amp; Change Log'!$J$2:$J$5,J$4)=0,COUNTIFS('Team Calendar'!$A$5:$A$12,$F15,'Team Calendar'!$C$5:$C$12,J$4)=0),1,"")</f>
        <v/>
      </c>
      <c r="K15" s="166">
        <f>IF(AND(ISNUMBER($D15),ISNUMBER($E15),K$4&gt;=$D15,K$4&lt;=$E15,WEEKDAY(K$4,2)&lt;=5,COUNTIF('Sources &amp; Change Log'!$J$2:$J$5,K$4)=0,COUNTIFS('Team Calendar'!$A$5:$A$12,$F15,'Team Calendar'!$C$5:$C$12,K$4)=0),1,"")</f>
        <v/>
      </c>
      <c r="L15" s="165">
        <f>IF(AND(ISNUMBER($D15),ISNUMBER($E15),L$4&gt;=$D15,L$4&lt;=$E15,WEEKDAY(L$4,2)&lt;=5,COUNTIF('Sources &amp; Change Log'!$J$2:$J$5,L$4)=0,COUNTIFS('Team Calendar'!$A$5:$A$12,$F15,'Team Calendar'!$C$5:$C$12,L$4)=0),1,"")</f>
        <v/>
      </c>
      <c r="M15" s="167">
        <f>IF(AND(ISNUMBER($D15),ISNUMBER($E15),M$4&gt;=$D15,M$4&lt;=$E15,WEEKDAY(M$4,2)&lt;=5,COUNTIF('Sources &amp; Change Log'!$J$2:$J$5,M$4)=0,COUNTIFS('Team Calendar'!$A$5:$A$12,$F15,'Team Calendar'!$C$5:$C$12,M$4)=0),1,"")</f>
        <v/>
      </c>
      <c r="N15" s="165">
        <f>IF(AND(ISNUMBER($D15),ISNUMBER($E15),N$4&gt;=$D15,N$4&lt;=$E15,WEEKDAY(N$4,2)&lt;=5,COUNTIF('Sources &amp; Change Log'!$J$2:$J$5,N$4)=0,COUNTIFS('Team Calendar'!$A$5:$A$12,$F15,'Team Calendar'!$C$5:$C$12,N$4)=0),1,"")</f>
        <v/>
      </c>
      <c r="O15" s="165">
        <f>IF(AND(ISNUMBER($D15),ISNUMBER($E15),O$4&gt;=$D15,O$4&lt;=$E15,WEEKDAY(O$4,2)&lt;=5,COUNTIF('Sources &amp; Change Log'!$J$2:$J$5,O$4)=0,COUNTIFS('Team Calendar'!$A$5:$A$12,$F15,'Team Calendar'!$C$5:$C$12,O$4)=0),1,"")</f>
        <v/>
      </c>
      <c r="P15" s="165">
        <f>IF(AND(ISNUMBER($D15),ISNUMBER($E15),P$4&gt;=$D15,P$4&lt;=$E15,WEEKDAY(P$4,2)&lt;=5,COUNTIF('Sources &amp; Change Log'!$J$2:$J$5,P$4)=0,COUNTIFS('Team Calendar'!$A$5:$A$12,$F15,'Team Calendar'!$C$5:$C$12,P$4)=0),1,"")</f>
        <v/>
      </c>
      <c r="Q15" s="166">
        <f>IF(AND(ISNUMBER($D15),ISNUMBER($E15),Q$4&gt;=$D15,Q$4&lt;=$E15,WEEKDAY(Q$4,2)&lt;=5,COUNTIF('Sources &amp; Change Log'!$J$2:$J$5,Q$4)=0,COUNTIFS('Team Calendar'!$A$5:$A$12,$F15,'Team Calendar'!$C$5:$C$12,Q$4)=0),1,"")</f>
        <v/>
      </c>
      <c r="R15" s="166">
        <f>IF(AND(ISNUMBER($D15),ISNUMBER($E15),R$4&gt;=$D15,R$4&lt;=$E15,WEEKDAY(R$4,2)&lt;=5,COUNTIF('Sources &amp; Change Log'!$J$2:$J$5,R$4)=0,COUNTIFS('Team Calendar'!$A$5:$A$12,$F15,'Team Calendar'!$C$5:$C$12,R$4)=0),1,"")</f>
        <v/>
      </c>
      <c r="S15" s="165">
        <f>IF(AND(ISNUMBER($D15),ISNUMBER($E15),S$4&gt;=$D15,S$4&lt;=$E15,WEEKDAY(S$4,2)&lt;=5,COUNTIF('Sources &amp; Change Log'!$J$2:$J$5,S$4)=0,COUNTIFS('Team Calendar'!$A$5:$A$12,$F15,'Team Calendar'!$C$5:$C$12,S$4)=0),1,"")</f>
        <v/>
      </c>
      <c r="T15" s="165">
        <f>IF(AND(ISNUMBER($D15),ISNUMBER($E15),T$4&gt;=$D15,T$4&lt;=$E15,WEEKDAY(T$4,2)&lt;=5,COUNTIF('Sources &amp; Change Log'!$J$2:$J$5,T$4)=0,COUNTIFS('Team Calendar'!$A$5:$A$12,$F15,'Team Calendar'!$C$5:$C$12,T$4)=0),1,"")</f>
        <v/>
      </c>
      <c r="U15" s="165">
        <f>IF(AND(ISNUMBER($D15),ISNUMBER($E15),U$4&gt;=$D15,U$4&lt;=$E15,WEEKDAY(U$4,2)&lt;=5,COUNTIF('Sources &amp; Change Log'!$J$2:$J$5,U$4)=0,COUNTIFS('Team Calendar'!$A$5:$A$12,$F15,'Team Calendar'!$C$5:$C$12,U$4)=0),1,"")</f>
        <v/>
      </c>
      <c r="V15" s="165">
        <f>IF(AND(ISNUMBER($D15),ISNUMBER($E15),V$4&gt;=$D15,V$4&lt;=$E15,WEEKDAY(V$4,2)&lt;=5,COUNTIF('Sources &amp; Change Log'!$J$2:$J$5,V$4)=0,COUNTIFS('Team Calendar'!$A$5:$A$12,$F15,'Team Calendar'!$C$5:$C$12,V$4)=0),1,"")</f>
        <v/>
      </c>
      <c r="W15" s="165">
        <f>IF(AND(ISNUMBER($D15),ISNUMBER($E15),W$4&gt;=$D15,W$4&lt;=$E15,WEEKDAY(W$4,2)&lt;=5,COUNTIF('Sources &amp; Change Log'!$J$2:$J$5,W$4)=0,COUNTIFS('Team Calendar'!$A$5:$A$12,$F15,'Team Calendar'!$C$5:$C$12,W$4)=0),1,"")</f>
        <v/>
      </c>
      <c r="X15" s="166">
        <f>IF(AND(ISNUMBER($D15),ISNUMBER($E15),X$4&gt;=$D15,X$4&lt;=$E15,WEEKDAY(X$4,2)&lt;=5,COUNTIF('Sources &amp; Change Log'!$J$2:$J$5,X$4)=0,COUNTIFS('Team Calendar'!$A$5:$A$12,$F15,'Team Calendar'!$C$5:$C$12,X$4)=0),1,"")</f>
        <v/>
      </c>
      <c r="Y15" s="166">
        <f>IF(AND(ISNUMBER($D15),ISNUMBER($E15),Y$4&gt;=$D15,Y$4&lt;=$E15,WEEKDAY(Y$4,2)&lt;=5,COUNTIF('Sources &amp; Change Log'!$J$2:$J$5,Y$4)=0,COUNTIFS('Team Calendar'!$A$5:$A$12,$F15,'Team Calendar'!$C$5:$C$12,Y$4)=0),1,"")</f>
        <v/>
      </c>
      <c r="Z15" s="165">
        <f>IF(AND(ISNUMBER($D15),ISNUMBER($E15),Z$4&gt;=$D15,Z$4&lt;=$E15,WEEKDAY(Z$4,2)&lt;=5,COUNTIF('Sources &amp; Change Log'!$J$2:$J$5,Z$4)=0,COUNTIFS('Team Calendar'!$A$5:$A$12,$F15,'Team Calendar'!$C$5:$C$12,Z$4)=0),1,"")</f>
        <v/>
      </c>
      <c r="AA15" s="165">
        <f>IF(AND(ISNUMBER($D15),ISNUMBER($E15),AA$4&gt;=$D15,AA$4&lt;=$E15,WEEKDAY(AA$4,2)&lt;=5,COUNTIF('Sources &amp; Change Log'!$J$2:$J$5,AA$4)=0,COUNTIFS('Team Calendar'!$A$5:$A$12,$F15,'Team Calendar'!$C$5:$C$12,AA$4)=0),1,"")</f>
        <v/>
      </c>
      <c r="AB15" s="165">
        <f>IF(AND(ISNUMBER($D15),ISNUMBER($E15),AB$4&gt;=$D15,AB$4&lt;=$E15,WEEKDAY(AB$4,2)&lt;=5,COUNTIF('Sources &amp; Change Log'!$J$2:$J$5,AB$4)=0,COUNTIFS('Team Calendar'!$A$5:$A$12,$F15,'Team Calendar'!$C$5:$C$12,AB$4)=0),1,"")</f>
        <v/>
      </c>
      <c r="AC15" s="165">
        <f>IF(AND(ISNUMBER($D15),ISNUMBER($E15),AC$4&gt;=$D15,AC$4&lt;=$E15,WEEKDAY(AC$4,2)&lt;=5,COUNTIF('Sources &amp; Change Log'!$J$2:$J$5,AC$4)=0,COUNTIFS('Team Calendar'!$A$5:$A$12,$F15,'Team Calendar'!$C$5:$C$12,AC$4)=0),1,"")</f>
        <v/>
      </c>
      <c r="AD15" s="165">
        <f>IF(AND(ISNUMBER($D15),ISNUMBER($E15),AD$4&gt;=$D15,AD$4&lt;=$E15,WEEKDAY(AD$4,2)&lt;=5,COUNTIF('Sources &amp; Change Log'!$J$2:$J$5,AD$4)=0,COUNTIFS('Team Calendar'!$A$5:$A$12,$F15,'Team Calendar'!$C$5:$C$12,AD$4)=0),1,"")</f>
        <v/>
      </c>
      <c r="AE15" s="166">
        <f>IF(AND(ISNUMBER($D15),ISNUMBER($E15),AE$4&gt;=$D15,AE$4&lt;=$E15,WEEKDAY(AE$4,2)&lt;=5,COUNTIF('Sources &amp; Change Log'!$J$2:$J$5,AE$4)=0,COUNTIFS('Team Calendar'!$A$5:$A$12,$F15,'Team Calendar'!$C$5:$C$12,AE$4)=0),1,"")</f>
        <v/>
      </c>
      <c r="AF15" s="166">
        <f>IF(AND(ISNUMBER($D15),ISNUMBER($E15),AF$4&gt;=$D15,AF$4&lt;=$E15,WEEKDAY(AF$4,2)&lt;=5,COUNTIF('Sources &amp; Change Log'!$J$2:$J$5,AF$4)=0,COUNTIFS('Team Calendar'!$A$5:$A$12,$F15,'Team Calendar'!$C$5:$C$12,AF$4)=0),1,"")</f>
        <v/>
      </c>
      <c r="AG15" s="165">
        <f>IF(AND(ISNUMBER($D15),ISNUMBER($E15),AG$4&gt;=$D15,AG$4&lt;=$E15,WEEKDAY(AG$4,2)&lt;=5,COUNTIF('Sources &amp; Change Log'!$J$2:$J$5,AG$4)=0,COUNTIFS('Team Calendar'!$A$5:$A$12,$F15,'Team Calendar'!$C$5:$C$12,AG$4)=0),1,"")</f>
        <v/>
      </c>
      <c r="AH15" s="165">
        <f>IF(AND(ISNUMBER($D15),ISNUMBER($E15),AH$4&gt;=$D15,AH$4&lt;=$E15,WEEKDAY(AH$4,2)&lt;=5,COUNTIF('Sources &amp; Change Log'!$J$2:$J$5,AH$4)=0,COUNTIFS('Team Calendar'!$A$5:$A$12,$F15,'Team Calendar'!$C$5:$C$12,AH$4)=0),1,"")</f>
        <v/>
      </c>
      <c r="AI15" s="165">
        <f>IF(AND(ISNUMBER($D15),ISNUMBER($E15),AI$4&gt;=$D15,AI$4&lt;=$E15,WEEKDAY(AI$4,2)&lt;=5,COUNTIF('Sources &amp; Change Log'!$J$2:$J$5,AI$4)=0,COUNTIFS('Team Calendar'!$A$5:$A$12,$F15,'Team Calendar'!$C$5:$C$12,AI$4)=0),1,"")</f>
        <v/>
      </c>
    </row>
    <row r="16" ht="24" customHeight="1">
      <c r="A16" s="13">
        <f>WBS!A16</f>
        <v/>
      </c>
      <c r="B16" s="13">
        <f>WBS!B16</f>
        <v/>
      </c>
      <c r="C16" s="13">
        <f>WBS!G16</f>
        <v/>
      </c>
      <c r="D16" s="164">
        <f>IF(WBS!H16="","",WBS!H16)</f>
        <v/>
      </c>
      <c r="E16" s="164">
        <f>IF(WBS!I16="","",WBS!I16)</f>
        <v/>
      </c>
      <c r="F16" s="13">
        <f>WBS!L16</f>
        <v/>
      </c>
      <c r="G16" s="165">
        <f>IF(AND(ISNUMBER($D16),ISNUMBER($E16),G$4&gt;=$D16,G$4&lt;=$E16,WEEKDAY(G$4,2)&lt;=5,COUNTIF('Sources &amp; Change Log'!$J$2:$J$5,G$4)=0,COUNTIFS('Team Calendar'!$A$5:$A$12,$F16,'Team Calendar'!$C$5:$C$12,G$4)=0),1,"")</f>
        <v/>
      </c>
      <c r="H16" s="165">
        <f>IF(AND(ISNUMBER($D16),ISNUMBER($E16),H$4&gt;=$D16,H$4&lt;=$E16,WEEKDAY(H$4,2)&lt;=5,COUNTIF('Sources &amp; Change Log'!$J$2:$J$5,H$4)=0,COUNTIFS('Team Calendar'!$A$5:$A$12,$F16,'Team Calendar'!$C$5:$C$12,H$4)=0),1,"")</f>
        <v/>
      </c>
      <c r="I16" s="165">
        <f>IF(AND(ISNUMBER($D16),ISNUMBER($E16),I$4&gt;=$D16,I$4&lt;=$E16,WEEKDAY(I$4,2)&lt;=5,COUNTIF('Sources &amp; Change Log'!$J$2:$J$5,I$4)=0,COUNTIFS('Team Calendar'!$A$5:$A$12,$F16,'Team Calendar'!$C$5:$C$12,I$4)=0),1,"")</f>
        <v/>
      </c>
      <c r="J16" s="166">
        <f>IF(AND(ISNUMBER($D16),ISNUMBER($E16),J$4&gt;=$D16,J$4&lt;=$E16,WEEKDAY(J$4,2)&lt;=5,COUNTIF('Sources &amp; Change Log'!$J$2:$J$5,J$4)=0,COUNTIFS('Team Calendar'!$A$5:$A$12,$F16,'Team Calendar'!$C$5:$C$12,J$4)=0),1,"")</f>
        <v/>
      </c>
      <c r="K16" s="166">
        <f>IF(AND(ISNUMBER($D16),ISNUMBER($E16),K$4&gt;=$D16,K$4&lt;=$E16,WEEKDAY(K$4,2)&lt;=5,COUNTIF('Sources &amp; Change Log'!$J$2:$J$5,K$4)=0,COUNTIFS('Team Calendar'!$A$5:$A$12,$F16,'Team Calendar'!$C$5:$C$12,K$4)=0),1,"")</f>
        <v/>
      </c>
      <c r="L16" s="165">
        <f>IF(AND(ISNUMBER($D16),ISNUMBER($E16),L$4&gt;=$D16,L$4&lt;=$E16,WEEKDAY(L$4,2)&lt;=5,COUNTIF('Sources &amp; Change Log'!$J$2:$J$5,L$4)=0,COUNTIFS('Team Calendar'!$A$5:$A$12,$F16,'Team Calendar'!$C$5:$C$12,L$4)=0),1,"")</f>
        <v/>
      </c>
      <c r="M16" s="167">
        <f>IF(AND(ISNUMBER($D16),ISNUMBER($E16),M$4&gt;=$D16,M$4&lt;=$E16,WEEKDAY(M$4,2)&lt;=5,COUNTIF('Sources &amp; Change Log'!$J$2:$J$5,M$4)=0,COUNTIFS('Team Calendar'!$A$5:$A$12,$F16,'Team Calendar'!$C$5:$C$12,M$4)=0),1,"")</f>
        <v/>
      </c>
      <c r="N16" s="165">
        <f>IF(AND(ISNUMBER($D16),ISNUMBER($E16),N$4&gt;=$D16,N$4&lt;=$E16,WEEKDAY(N$4,2)&lt;=5,COUNTIF('Sources &amp; Change Log'!$J$2:$J$5,N$4)=0,COUNTIFS('Team Calendar'!$A$5:$A$12,$F16,'Team Calendar'!$C$5:$C$12,N$4)=0),1,"")</f>
        <v/>
      </c>
      <c r="O16" s="165">
        <f>IF(AND(ISNUMBER($D16),ISNUMBER($E16),O$4&gt;=$D16,O$4&lt;=$E16,WEEKDAY(O$4,2)&lt;=5,COUNTIF('Sources &amp; Change Log'!$J$2:$J$5,O$4)=0,COUNTIFS('Team Calendar'!$A$5:$A$12,$F16,'Team Calendar'!$C$5:$C$12,O$4)=0),1,"")</f>
        <v/>
      </c>
      <c r="P16" s="169">
        <f>IF(AND(ISNUMBER($D16),ISNUMBER($E16),P$4&gt;=$D16,P$4&lt;=$E16,WEEKDAY(P$4,2)&lt;=5,COUNTIF('Sources &amp; Change Log'!$J$2:$J$5,P$4)=0,COUNTIFS('Team Calendar'!$A$5:$A$12,$F16,'Team Calendar'!$C$5:$C$12,P$4)=0),1,"")</f>
        <v/>
      </c>
      <c r="Q16" s="166">
        <f>IF(AND(ISNUMBER($D16),ISNUMBER($E16),Q$4&gt;=$D16,Q$4&lt;=$E16,WEEKDAY(Q$4,2)&lt;=5,COUNTIF('Sources &amp; Change Log'!$J$2:$J$5,Q$4)=0,COUNTIFS('Team Calendar'!$A$5:$A$12,$F16,'Team Calendar'!$C$5:$C$12,Q$4)=0),1,"")</f>
        <v/>
      </c>
      <c r="R16" s="166">
        <f>IF(AND(ISNUMBER($D16),ISNUMBER($E16),R$4&gt;=$D16,R$4&lt;=$E16,WEEKDAY(R$4,2)&lt;=5,COUNTIF('Sources &amp; Change Log'!$J$2:$J$5,R$4)=0,COUNTIFS('Team Calendar'!$A$5:$A$12,$F16,'Team Calendar'!$C$5:$C$12,R$4)=0),1,"")</f>
        <v/>
      </c>
      <c r="S16" s="165">
        <f>IF(AND(ISNUMBER($D16),ISNUMBER($E16),S$4&gt;=$D16,S$4&lt;=$E16,WEEKDAY(S$4,2)&lt;=5,COUNTIF('Sources &amp; Change Log'!$J$2:$J$5,S$4)=0,COUNTIFS('Team Calendar'!$A$5:$A$12,$F16,'Team Calendar'!$C$5:$C$12,S$4)=0),1,"")</f>
        <v/>
      </c>
      <c r="T16" s="165">
        <f>IF(AND(ISNUMBER($D16),ISNUMBER($E16),T$4&gt;=$D16,T$4&lt;=$E16,WEEKDAY(T$4,2)&lt;=5,COUNTIF('Sources &amp; Change Log'!$J$2:$J$5,T$4)=0,COUNTIFS('Team Calendar'!$A$5:$A$12,$F16,'Team Calendar'!$C$5:$C$12,T$4)=0),1,"")</f>
        <v/>
      </c>
      <c r="U16" s="165">
        <f>IF(AND(ISNUMBER($D16),ISNUMBER($E16),U$4&gt;=$D16,U$4&lt;=$E16,WEEKDAY(U$4,2)&lt;=5,COUNTIF('Sources &amp; Change Log'!$J$2:$J$5,U$4)=0,COUNTIFS('Team Calendar'!$A$5:$A$12,$F16,'Team Calendar'!$C$5:$C$12,U$4)=0),1,"")</f>
        <v/>
      </c>
      <c r="V16" s="165">
        <f>IF(AND(ISNUMBER($D16),ISNUMBER($E16),V$4&gt;=$D16,V$4&lt;=$E16,WEEKDAY(V$4,2)&lt;=5,COUNTIF('Sources &amp; Change Log'!$J$2:$J$5,V$4)=0,COUNTIFS('Team Calendar'!$A$5:$A$12,$F16,'Team Calendar'!$C$5:$C$12,V$4)=0),1,"")</f>
        <v/>
      </c>
      <c r="W16" s="165">
        <f>IF(AND(ISNUMBER($D16),ISNUMBER($E16),W$4&gt;=$D16,W$4&lt;=$E16,WEEKDAY(W$4,2)&lt;=5,COUNTIF('Sources &amp; Change Log'!$J$2:$J$5,W$4)=0,COUNTIFS('Team Calendar'!$A$5:$A$12,$F16,'Team Calendar'!$C$5:$C$12,W$4)=0),1,"")</f>
        <v/>
      </c>
      <c r="X16" s="166">
        <f>IF(AND(ISNUMBER($D16),ISNUMBER($E16),X$4&gt;=$D16,X$4&lt;=$E16,WEEKDAY(X$4,2)&lt;=5,COUNTIF('Sources &amp; Change Log'!$J$2:$J$5,X$4)=0,COUNTIFS('Team Calendar'!$A$5:$A$12,$F16,'Team Calendar'!$C$5:$C$12,X$4)=0),1,"")</f>
        <v/>
      </c>
      <c r="Y16" s="166">
        <f>IF(AND(ISNUMBER($D16),ISNUMBER($E16),Y$4&gt;=$D16,Y$4&lt;=$E16,WEEKDAY(Y$4,2)&lt;=5,COUNTIF('Sources &amp; Change Log'!$J$2:$J$5,Y$4)=0,COUNTIFS('Team Calendar'!$A$5:$A$12,$F16,'Team Calendar'!$C$5:$C$12,Y$4)=0),1,"")</f>
        <v/>
      </c>
      <c r="Z16" s="165">
        <f>IF(AND(ISNUMBER($D16),ISNUMBER($E16),Z$4&gt;=$D16,Z$4&lt;=$E16,WEEKDAY(Z$4,2)&lt;=5,COUNTIF('Sources &amp; Change Log'!$J$2:$J$5,Z$4)=0,COUNTIFS('Team Calendar'!$A$5:$A$12,$F16,'Team Calendar'!$C$5:$C$12,Z$4)=0),1,"")</f>
        <v/>
      </c>
      <c r="AA16" s="165">
        <f>IF(AND(ISNUMBER($D16),ISNUMBER($E16),AA$4&gt;=$D16,AA$4&lt;=$E16,WEEKDAY(AA$4,2)&lt;=5,COUNTIF('Sources &amp; Change Log'!$J$2:$J$5,AA$4)=0,COUNTIFS('Team Calendar'!$A$5:$A$12,$F16,'Team Calendar'!$C$5:$C$12,AA$4)=0),1,"")</f>
        <v/>
      </c>
      <c r="AB16" s="165">
        <f>IF(AND(ISNUMBER($D16),ISNUMBER($E16),AB$4&gt;=$D16,AB$4&lt;=$E16,WEEKDAY(AB$4,2)&lt;=5,COUNTIF('Sources &amp; Change Log'!$J$2:$J$5,AB$4)=0,COUNTIFS('Team Calendar'!$A$5:$A$12,$F16,'Team Calendar'!$C$5:$C$12,AB$4)=0),1,"")</f>
        <v/>
      </c>
      <c r="AC16" s="165">
        <f>IF(AND(ISNUMBER($D16),ISNUMBER($E16),AC$4&gt;=$D16,AC$4&lt;=$E16,WEEKDAY(AC$4,2)&lt;=5,COUNTIF('Sources &amp; Change Log'!$J$2:$J$5,AC$4)=0,COUNTIFS('Team Calendar'!$A$5:$A$12,$F16,'Team Calendar'!$C$5:$C$12,AC$4)=0),1,"")</f>
        <v/>
      </c>
      <c r="AD16" s="165">
        <f>IF(AND(ISNUMBER($D16),ISNUMBER($E16),AD$4&gt;=$D16,AD$4&lt;=$E16,WEEKDAY(AD$4,2)&lt;=5,COUNTIF('Sources &amp; Change Log'!$J$2:$J$5,AD$4)=0,COUNTIFS('Team Calendar'!$A$5:$A$12,$F16,'Team Calendar'!$C$5:$C$12,AD$4)=0),1,"")</f>
        <v/>
      </c>
      <c r="AE16" s="166">
        <f>IF(AND(ISNUMBER($D16),ISNUMBER($E16),AE$4&gt;=$D16,AE$4&lt;=$E16,WEEKDAY(AE$4,2)&lt;=5,COUNTIF('Sources &amp; Change Log'!$J$2:$J$5,AE$4)=0,COUNTIFS('Team Calendar'!$A$5:$A$12,$F16,'Team Calendar'!$C$5:$C$12,AE$4)=0),1,"")</f>
        <v/>
      </c>
      <c r="AF16" s="166">
        <f>IF(AND(ISNUMBER($D16),ISNUMBER($E16),AF$4&gt;=$D16,AF$4&lt;=$E16,WEEKDAY(AF$4,2)&lt;=5,COUNTIF('Sources &amp; Change Log'!$J$2:$J$5,AF$4)=0,COUNTIFS('Team Calendar'!$A$5:$A$12,$F16,'Team Calendar'!$C$5:$C$12,AF$4)=0),1,"")</f>
        <v/>
      </c>
      <c r="AG16" s="165">
        <f>IF(AND(ISNUMBER($D16),ISNUMBER($E16),AG$4&gt;=$D16,AG$4&lt;=$E16,WEEKDAY(AG$4,2)&lt;=5,COUNTIF('Sources &amp; Change Log'!$J$2:$J$5,AG$4)=0,COUNTIFS('Team Calendar'!$A$5:$A$12,$F16,'Team Calendar'!$C$5:$C$12,AG$4)=0),1,"")</f>
        <v/>
      </c>
      <c r="AH16" s="165">
        <f>IF(AND(ISNUMBER($D16),ISNUMBER($E16),AH$4&gt;=$D16,AH$4&lt;=$E16,WEEKDAY(AH$4,2)&lt;=5,COUNTIF('Sources &amp; Change Log'!$J$2:$J$5,AH$4)=0,COUNTIFS('Team Calendar'!$A$5:$A$12,$F16,'Team Calendar'!$C$5:$C$12,AH$4)=0),1,"")</f>
        <v/>
      </c>
      <c r="AI16" s="165">
        <f>IF(AND(ISNUMBER($D16),ISNUMBER($E16),AI$4&gt;=$D16,AI$4&lt;=$E16,WEEKDAY(AI$4,2)&lt;=5,COUNTIF('Sources &amp; Change Log'!$J$2:$J$5,AI$4)=0,COUNTIFS('Team Calendar'!$A$5:$A$12,$F16,'Team Calendar'!$C$5:$C$12,AI$4)=0),1,"")</f>
        <v/>
      </c>
    </row>
    <row r="17" ht="24" customHeight="1">
      <c r="A17" s="13">
        <f>WBS!A15</f>
        <v/>
      </c>
      <c r="B17" s="13">
        <f>WBS!B15</f>
        <v/>
      </c>
      <c r="C17" s="13">
        <f>WBS!G15</f>
        <v/>
      </c>
      <c r="D17" s="164">
        <f>IF(WBS!H15="","",WBS!H15)</f>
        <v/>
      </c>
      <c r="E17" s="164">
        <f>IF(WBS!I15="","",WBS!I15)</f>
        <v/>
      </c>
      <c r="F17" s="13">
        <f>WBS!L15</f>
        <v/>
      </c>
      <c r="G17" s="165">
        <f>IF(AND(ISNUMBER($D17),ISNUMBER($E17),G$4&gt;=$D17,G$4&lt;=$E17,WEEKDAY(G$4,2)&lt;=5,COUNTIF('Sources &amp; Change Log'!$J$2:$J$5,G$4)=0,COUNTIFS('Team Calendar'!$A$5:$A$12,$F17,'Team Calendar'!$C$5:$C$12,G$4)=0),1,"")</f>
        <v/>
      </c>
      <c r="H17" s="165">
        <f>IF(AND(ISNUMBER($D17),ISNUMBER($E17),H$4&gt;=$D17,H$4&lt;=$E17,WEEKDAY(H$4,2)&lt;=5,COUNTIF('Sources &amp; Change Log'!$J$2:$J$5,H$4)=0,COUNTIFS('Team Calendar'!$A$5:$A$12,$F17,'Team Calendar'!$C$5:$C$12,H$4)=0),1,"")</f>
        <v/>
      </c>
      <c r="I17" s="165">
        <f>IF(AND(ISNUMBER($D17),ISNUMBER($E17),I$4&gt;=$D17,I$4&lt;=$E17,WEEKDAY(I$4,2)&lt;=5,COUNTIF('Sources &amp; Change Log'!$J$2:$J$5,I$4)=0,COUNTIFS('Team Calendar'!$A$5:$A$12,$F17,'Team Calendar'!$C$5:$C$12,I$4)=0),1,"")</f>
        <v/>
      </c>
      <c r="J17" s="166">
        <f>IF(AND(ISNUMBER($D17),ISNUMBER($E17),J$4&gt;=$D17,J$4&lt;=$E17,WEEKDAY(J$4,2)&lt;=5,COUNTIF('Sources &amp; Change Log'!$J$2:$J$5,J$4)=0,COUNTIFS('Team Calendar'!$A$5:$A$12,$F17,'Team Calendar'!$C$5:$C$12,J$4)=0),1,"")</f>
        <v/>
      </c>
      <c r="K17" s="166">
        <f>IF(AND(ISNUMBER($D17),ISNUMBER($E17),K$4&gt;=$D17,K$4&lt;=$E17,WEEKDAY(K$4,2)&lt;=5,COUNTIF('Sources &amp; Change Log'!$J$2:$J$5,K$4)=0,COUNTIFS('Team Calendar'!$A$5:$A$12,$F17,'Team Calendar'!$C$5:$C$12,K$4)=0),1,"")</f>
        <v/>
      </c>
      <c r="L17" s="165">
        <f>IF(AND(ISNUMBER($D17),ISNUMBER($E17),L$4&gt;=$D17,L$4&lt;=$E17,WEEKDAY(L$4,2)&lt;=5,COUNTIF('Sources &amp; Change Log'!$J$2:$J$5,L$4)=0,COUNTIFS('Team Calendar'!$A$5:$A$12,$F17,'Team Calendar'!$C$5:$C$12,L$4)=0),1,"")</f>
        <v/>
      </c>
      <c r="M17" s="167">
        <f>IF(AND(ISNUMBER($D17),ISNUMBER($E17),M$4&gt;=$D17,M$4&lt;=$E17,WEEKDAY(M$4,2)&lt;=5,COUNTIF('Sources &amp; Change Log'!$J$2:$J$5,M$4)=0,COUNTIFS('Team Calendar'!$A$5:$A$12,$F17,'Team Calendar'!$C$5:$C$12,M$4)=0),1,"")</f>
        <v/>
      </c>
      <c r="N17" s="165">
        <f>IF(AND(ISNUMBER($D17),ISNUMBER($E17),N$4&gt;=$D17,N$4&lt;=$E17,WEEKDAY(N$4,2)&lt;=5,COUNTIF('Sources &amp; Change Log'!$J$2:$J$5,N$4)=0,COUNTIFS('Team Calendar'!$A$5:$A$12,$F17,'Team Calendar'!$C$5:$C$12,N$4)=0),1,"")</f>
        <v/>
      </c>
      <c r="O17" s="165">
        <f>IF(AND(ISNUMBER($D17),ISNUMBER($E17),O$4&gt;=$D17,O$4&lt;=$E17,WEEKDAY(O$4,2)&lt;=5,COUNTIF('Sources &amp; Change Log'!$J$2:$J$5,O$4)=0,COUNTIFS('Team Calendar'!$A$5:$A$12,$F17,'Team Calendar'!$C$5:$C$12,O$4)=0),1,"")</f>
        <v/>
      </c>
      <c r="P17" s="165">
        <f>IF(AND(ISNUMBER($D17),ISNUMBER($E17),P$4&gt;=$D17,P$4&lt;=$E17,WEEKDAY(P$4,2)&lt;=5,COUNTIF('Sources &amp; Change Log'!$J$2:$J$5,P$4)=0,COUNTIFS('Team Calendar'!$A$5:$A$12,$F17,'Team Calendar'!$C$5:$C$12,P$4)=0),1,"")</f>
        <v/>
      </c>
      <c r="Q17" s="166">
        <f>IF(AND(ISNUMBER($D17),ISNUMBER($E17),Q$4&gt;=$D17,Q$4&lt;=$E17,WEEKDAY(Q$4,2)&lt;=5,COUNTIF('Sources &amp; Change Log'!$J$2:$J$5,Q$4)=0,COUNTIFS('Team Calendar'!$A$5:$A$12,$F17,'Team Calendar'!$C$5:$C$12,Q$4)=0),1,"")</f>
        <v/>
      </c>
      <c r="R17" s="166">
        <f>IF(AND(ISNUMBER($D17),ISNUMBER($E17),R$4&gt;=$D17,R$4&lt;=$E17,WEEKDAY(R$4,2)&lt;=5,COUNTIF('Sources &amp; Change Log'!$J$2:$J$5,R$4)=0,COUNTIFS('Team Calendar'!$A$5:$A$12,$F17,'Team Calendar'!$C$5:$C$12,R$4)=0),1,"")</f>
        <v/>
      </c>
      <c r="S17" s="165">
        <f>IF(AND(ISNUMBER($D17),ISNUMBER($E17),S$4&gt;=$D17,S$4&lt;=$E17,WEEKDAY(S$4,2)&lt;=5,COUNTIF('Sources &amp; Change Log'!$J$2:$J$5,S$4)=0,COUNTIFS('Team Calendar'!$A$5:$A$12,$F17,'Team Calendar'!$C$5:$C$12,S$4)=0),1,"")</f>
        <v/>
      </c>
      <c r="T17" s="168">
        <f>IF(AND(ISNUMBER($D17),ISNUMBER($E17),T$4&gt;=$D17,T$4&lt;=$E17,WEEKDAY(T$4,2)&lt;=5,COUNTIF('Sources &amp; Change Log'!$J$2:$J$5,T$4)=0,COUNTIFS('Team Calendar'!$A$5:$A$12,$F17,'Team Calendar'!$C$5:$C$12,T$4)=0),1,"")</f>
        <v/>
      </c>
      <c r="U17" s="165">
        <f>IF(AND(ISNUMBER($D17),ISNUMBER($E17),U$4&gt;=$D17,U$4&lt;=$E17,WEEKDAY(U$4,2)&lt;=5,COUNTIF('Sources &amp; Change Log'!$J$2:$J$5,U$4)=0,COUNTIFS('Team Calendar'!$A$5:$A$12,$F17,'Team Calendar'!$C$5:$C$12,U$4)=0),1,"")</f>
        <v/>
      </c>
      <c r="V17" s="165">
        <f>IF(AND(ISNUMBER($D17),ISNUMBER($E17),V$4&gt;=$D17,V$4&lt;=$E17,WEEKDAY(V$4,2)&lt;=5,COUNTIF('Sources &amp; Change Log'!$J$2:$J$5,V$4)=0,COUNTIFS('Team Calendar'!$A$5:$A$12,$F17,'Team Calendar'!$C$5:$C$12,V$4)=0),1,"")</f>
        <v/>
      </c>
      <c r="W17" s="165">
        <f>IF(AND(ISNUMBER($D17),ISNUMBER($E17),W$4&gt;=$D17,W$4&lt;=$E17,WEEKDAY(W$4,2)&lt;=5,COUNTIF('Sources &amp; Change Log'!$J$2:$J$5,W$4)=0,COUNTIFS('Team Calendar'!$A$5:$A$12,$F17,'Team Calendar'!$C$5:$C$12,W$4)=0),1,"")</f>
        <v/>
      </c>
      <c r="X17" s="166">
        <f>IF(AND(ISNUMBER($D17),ISNUMBER($E17),X$4&gt;=$D17,X$4&lt;=$E17,WEEKDAY(X$4,2)&lt;=5,COUNTIF('Sources &amp; Change Log'!$J$2:$J$5,X$4)=0,COUNTIFS('Team Calendar'!$A$5:$A$12,$F17,'Team Calendar'!$C$5:$C$12,X$4)=0),1,"")</f>
        <v/>
      </c>
      <c r="Y17" s="166">
        <f>IF(AND(ISNUMBER($D17),ISNUMBER($E17),Y$4&gt;=$D17,Y$4&lt;=$E17,WEEKDAY(Y$4,2)&lt;=5,COUNTIF('Sources &amp; Change Log'!$J$2:$J$5,Y$4)=0,COUNTIFS('Team Calendar'!$A$5:$A$12,$F17,'Team Calendar'!$C$5:$C$12,Y$4)=0),1,"")</f>
        <v/>
      </c>
      <c r="Z17" s="165">
        <f>IF(AND(ISNUMBER($D17),ISNUMBER($E17),Z$4&gt;=$D17,Z$4&lt;=$E17,WEEKDAY(Z$4,2)&lt;=5,COUNTIF('Sources &amp; Change Log'!$J$2:$J$5,Z$4)=0,COUNTIFS('Team Calendar'!$A$5:$A$12,$F17,'Team Calendar'!$C$5:$C$12,Z$4)=0),1,"")</f>
        <v/>
      </c>
      <c r="AA17" s="165">
        <f>IF(AND(ISNUMBER($D17),ISNUMBER($E17),AA$4&gt;=$D17,AA$4&lt;=$E17,WEEKDAY(AA$4,2)&lt;=5,COUNTIF('Sources &amp; Change Log'!$J$2:$J$5,AA$4)=0,COUNTIFS('Team Calendar'!$A$5:$A$12,$F17,'Team Calendar'!$C$5:$C$12,AA$4)=0),1,"")</f>
        <v/>
      </c>
      <c r="AB17" s="165">
        <f>IF(AND(ISNUMBER($D17),ISNUMBER($E17),AB$4&gt;=$D17,AB$4&lt;=$E17,WEEKDAY(AB$4,2)&lt;=5,COUNTIF('Sources &amp; Change Log'!$J$2:$J$5,AB$4)=0,COUNTIFS('Team Calendar'!$A$5:$A$12,$F17,'Team Calendar'!$C$5:$C$12,AB$4)=0),1,"")</f>
        <v/>
      </c>
      <c r="AC17" s="165">
        <f>IF(AND(ISNUMBER($D17),ISNUMBER($E17),AC$4&gt;=$D17,AC$4&lt;=$E17,WEEKDAY(AC$4,2)&lt;=5,COUNTIF('Sources &amp; Change Log'!$J$2:$J$5,AC$4)=0,COUNTIFS('Team Calendar'!$A$5:$A$12,$F17,'Team Calendar'!$C$5:$C$12,AC$4)=0),1,"")</f>
        <v/>
      </c>
      <c r="AD17" s="165">
        <f>IF(AND(ISNUMBER($D17),ISNUMBER($E17),AD$4&gt;=$D17,AD$4&lt;=$E17,WEEKDAY(AD$4,2)&lt;=5,COUNTIF('Sources &amp; Change Log'!$J$2:$J$5,AD$4)=0,COUNTIFS('Team Calendar'!$A$5:$A$12,$F17,'Team Calendar'!$C$5:$C$12,AD$4)=0),1,"")</f>
        <v/>
      </c>
      <c r="AE17" s="166">
        <f>IF(AND(ISNUMBER($D17),ISNUMBER($E17),AE$4&gt;=$D17,AE$4&lt;=$E17,WEEKDAY(AE$4,2)&lt;=5,COUNTIF('Sources &amp; Change Log'!$J$2:$J$5,AE$4)=0,COUNTIFS('Team Calendar'!$A$5:$A$12,$F17,'Team Calendar'!$C$5:$C$12,AE$4)=0),1,"")</f>
        <v/>
      </c>
      <c r="AF17" s="166">
        <f>IF(AND(ISNUMBER($D17),ISNUMBER($E17),AF$4&gt;=$D17,AF$4&lt;=$E17,WEEKDAY(AF$4,2)&lt;=5,COUNTIF('Sources &amp; Change Log'!$J$2:$J$5,AF$4)=0,COUNTIFS('Team Calendar'!$A$5:$A$12,$F17,'Team Calendar'!$C$5:$C$12,AF$4)=0),1,"")</f>
        <v/>
      </c>
      <c r="AG17" s="165">
        <f>IF(AND(ISNUMBER($D17),ISNUMBER($E17),AG$4&gt;=$D17,AG$4&lt;=$E17,WEEKDAY(AG$4,2)&lt;=5,COUNTIF('Sources &amp; Change Log'!$J$2:$J$5,AG$4)=0,COUNTIFS('Team Calendar'!$A$5:$A$12,$F17,'Team Calendar'!$C$5:$C$12,AG$4)=0),1,"")</f>
        <v/>
      </c>
      <c r="AH17" s="165">
        <f>IF(AND(ISNUMBER($D17),ISNUMBER($E17),AH$4&gt;=$D17,AH$4&lt;=$E17,WEEKDAY(AH$4,2)&lt;=5,COUNTIF('Sources &amp; Change Log'!$J$2:$J$5,AH$4)=0,COUNTIFS('Team Calendar'!$A$5:$A$12,$F17,'Team Calendar'!$C$5:$C$12,AH$4)=0),1,"")</f>
        <v/>
      </c>
      <c r="AI17" s="165">
        <f>IF(AND(ISNUMBER($D17),ISNUMBER($E17),AI$4&gt;=$D17,AI$4&lt;=$E17,WEEKDAY(AI$4,2)&lt;=5,COUNTIF('Sources &amp; Change Log'!$J$2:$J$5,AI$4)=0,COUNTIFS('Team Calendar'!$A$5:$A$12,$F17,'Team Calendar'!$C$5:$C$12,AI$4)=0),1,"")</f>
        <v/>
      </c>
    </row>
    <row r="18" ht="24" customHeight="1">
      <c r="A18" s="13">
        <f>WBS!A17</f>
        <v/>
      </c>
      <c r="B18" s="13">
        <f>WBS!B17</f>
        <v/>
      </c>
      <c r="C18" s="13">
        <f>WBS!G17</f>
        <v/>
      </c>
      <c r="D18" s="164">
        <f>IF(WBS!H17="","",WBS!H17)</f>
        <v/>
      </c>
      <c r="E18" s="164">
        <f>IF(WBS!I17="","",WBS!I17)</f>
        <v/>
      </c>
      <c r="F18" s="13">
        <f>WBS!L17</f>
        <v/>
      </c>
      <c r="G18" s="165">
        <f>IF(AND(ISNUMBER($D18),ISNUMBER($E18),G$4&gt;=$D18,G$4&lt;=$E18,WEEKDAY(G$4,2)&lt;=5,COUNTIF('Sources &amp; Change Log'!$J$2:$J$5,G$4)=0,COUNTIFS('Team Calendar'!$A$5:$A$12,$F18,'Team Calendar'!$C$5:$C$12,G$4)=0),1,"")</f>
        <v/>
      </c>
      <c r="H18" s="165">
        <f>IF(AND(ISNUMBER($D18),ISNUMBER($E18),H$4&gt;=$D18,H$4&lt;=$E18,WEEKDAY(H$4,2)&lt;=5,COUNTIF('Sources &amp; Change Log'!$J$2:$J$5,H$4)=0,COUNTIFS('Team Calendar'!$A$5:$A$12,$F18,'Team Calendar'!$C$5:$C$12,H$4)=0),1,"")</f>
        <v/>
      </c>
      <c r="I18" s="165">
        <f>IF(AND(ISNUMBER($D18),ISNUMBER($E18),I$4&gt;=$D18,I$4&lt;=$E18,WEEKDAY(I$4,2)&lt;=5,COUNTIF('Sources &amp; Change Log'!$J$2:$J$5,I$4)=0,COUNTIFS('Team Calendar'!$A$5:$A$12,$F18,'Team Calendar'!$C$5:$C$12,I$4)=0),1,"")</f>
        <v/>
      </c>
      <c r="J18" s="166">
        <f>IF(AND(ISNUMBER($D18),ISNUMBER($E18),J$4&gt;=$D18,J$4&lt;=$E18,WEEKDAY(J$4,2)&lt;=5,COUNTIF('Sources &amp; Change Log'!$J$2:$J$5,J$4)=0,COUNTIFS('Team Calendar'!$A$5:$A$12,$F18,'Team Calendar'!$C$5:$C$12,J$4)=0),1,"")</f>
        <v/>
      </c>
      <c r="K18" s="166">
        <f>IF(AND(ISNUMBER($D18),ISNUMBER($E18),K$4&gt;=$D18,K$4&lt;=$E18,WEEKDAY(K$4,2)&lt;=5,COUNTIF('Sources &amp; Change Log'!$J$2:$J$5,K$4)=0,COUNTIFS('Team Calendar'!$A$5:$A$12,$F18,'Team Calendar'!$C$5:$C$12,K$4)=0),1,"")</f>
        <v/>
      </c>
      <c r="L18" s="165">
        <f>IF(AND(ISNUMBER($D18),ISNUMBER($E18),L$4&gt;=$D18,L$4&lt;=$E18,WEEKDAY(L$4,2)&lt;=5,COUNTIF('Sources &amp; Change Log'!$J$2:$J$5,L$4)=0,COUNTIFS('Team Calendar'!$A$5:$A$12,$F18,'Team Calendar'!$C$5:$C$12,L$4)=0),1,"")</f>
        <v/>
      </c>
      <c r="M18" s="167">
        <f>IF(AND(ISNUMBER($D18),ISNUMBER($E18),M$4&gt;=$D18,M$4&lt;=$E18,WEEKDAY(M$4,2)&lt;=5,COUNTIF('Sources &amp; Change Log'!$J$2:$J$5,M$4)=0,COUNTIFS('Team Calendar'!$A$5:$A$12,$F18,'Team Calendar'!$C$5:$C$12,M$4)=0),1,"")</f>
        <v/>
      </c>
      <c r="N18" s="165">
        <f>IF(AND(ISNUMBER($D18),ISNUMBER($E18),N$4&gt;=$D18,N$4&lt;=$E18,WEEKDAY(N$4,2)&lt;=5,COUNTIF('Sources &amp; Change Log'!$J$2:$J$5,N$4)=0,COUNTIFS('Team Calendar'!$A$5:$A$12,$F18,'Team Calendar'!$C$5:$C$12,N$4)=0),1,"")</f>
        <v/>
      </c>
      <c r="O18" s="165">
        <f>IF(AND(ISNUMBER($D18),ISNUMBER($E18),O$4&gt;=$D18,O$4&lt;=$E18,WEEKDAY(O$4,2)&lt;=5,COUNTIF('Sources &amp; Change Log'!$J$2:$J$5,O$4)=0,COUNTIFS('Team Calendar'!$A$5:$A$12,$F18,'Team Calendar'!$C$5:$C$12,O$4)=0),1,"")</f>
        <v/>
      </c>
      <c r="P18" s="165">
        <f>IF(AND(ISNUMBER($D18),ISNUMBER($E18),P$4&gt;=$D18,P$4&lt;=$E18,WEEKDAY(P$4,2)&lt;=5,COUNTIF('Sources &amp; Change Log'!$J$2:$J$5,P$4)=0,COUNTIFS('Team Calendar'!$A$5:$A$12,$F18,'Team Calendar'!$C$5:$C$12,P$4)=0),1,"")</f>
        <v/>
      </c>
      <c r="Q18" s="166">
        <f>IF(AND(ISNUMBER($D18),ISNUMBER($E18),Q$4&gt;=$D18,Q$4&lt;=$E18,WEEKDAY(Q$4,2)&lt;=5,COUNTIF('Sources &amp; Change Log'!$J$2:$J$5,Q$4)=0,COUNTIFS('Team Calendar'!$A$5:$A$12,$F18,'Team Calendar'!$C$5:$C$12,Q$4)=0),1,"")</f>
        <v/>
      </c>
      <c r="R18" s="166">
        <f>IF(AND(ISNUMBER($D18),ISNUMBER($E18),R$4&gt;=$D18,R$4&lt;=$E18,WEEKDAY(R$4,2)&lt;=5,COUNTIF('Sources &amp; Change Log'!$J$2:$J$5,R$4)=0,COUNTIFS('Team Calendar'!$A$5:$A$12,$F18,'Team Calendar'!$C$5:$C$12,R$4)=0),1,"")</f>
        <v/>
      </c>
      <c r="S18" s="165">
        <f>IF(AND(ISNUMBER($D18),ISNUMBER($E18),S$4&gt;=$D18,S$4&lt;=$E18,WEEKDAY(S$4,2)&lt;=5,COUNTIF('Sources &amp; Change Log'!$J$2:$J$5,S$4)=0,COUNTIFS('Team Calendar'!$A$5:$A$12,$F18,'Team Calendar'!$C$5:$C$12,S$4)=0),1,"")</f>
        <v/>
      </c>
      <c r="T18" s="165">
        <f>IF(AND(ISNUMBER($D18),ISNUMBER($E18),T$4&gt;=$D18,T$4&lt;=$E18,WEEKDAY(T$4,2)&lt;=5,COUNTIF('Sources &amp; Change Log'!$J$2:$J$5,T$4)=0,COUNTIFS('Team Calendar'!$A$5:$A$12,$F18,'Team Calendar'!$C$5:$C$12,T$4)=0),1,"")</f>
        <v/>
      </c>
      <c r="U18" s="165">
        <f>IF(AND(ISNUMBER($D18),ISNUMBER($E18),U$4&gt;=$D18,U$4&lt;=$E18,WEEKDAY(U$4,2)&lt;=5,COUNTIF('Sources &amp; Change Log'!$J$2:$J$5,U$4)=0,COUNTIFS('Team Calendar'!$A$5:$A$12,$F18,'Team Calendar'!$C$5:$C$12,U$4)=0),1,"")</f>
        <v/>
      </c>
      <c r="V18" s="165">
        <f>IF(AND(ISNUMBER($D18),ISNUMBER($E18),V$4&gt;=$D18,V$4&lt;=$E18,WEEKDAY(V$4,2)&lt;=5,COUNTIF('Sources &amp; Change Log'!$J$2:$J$5,V$4)=0,COUNTIFS('Team Calendar'!$A$5:$A$12,$F18,'Team Calendar'!$C$5:$C$12,V$4)=0),1,"")</f>
        <v/>
      </c>
      <c r="W18" s="165">
        <f>IF(AND(ISNUMBER($D18),ISNUMBER($E18),W$4&gt;=$D18,W$4&lt;=$E18,WEEKDAY(W$4,2)&lt;=5,COUNTIF('Sources &amp; Change Log'!$J$2:$J$5,W$4)=0,COUNTIFS('Team Calendar'!$A$5:$A$12,$F18,'Team Calendar'!$C$5:$C$12,W$4)=0),1,"")</f>
        <v/>
      </c>
      <c r="X18" s="166">
        <f>IF(AND(ISNUMBER($D18),ISNUMBER($E18),X$4&gt;=$D18,X$4&lt;=$E18,WEEKDAY(X$4,2)&lt;=5,COUNTIF('Sources &amp; Change Log'!$J$2:$J$5,X$4)=0,COUNTIFS('Team Calendar'!$A$5:$A$12,$F18,'Team Calendar'!$C$5:$C$12,X$4)=0),1,"")</f>
        <v/>
      </c>
      <c r="Y18" s="166">
        <f>IF(AND(ISNUMBER($D18),ISNUMBER($E18),Y$4&gt;=$D18,Y$4&lt;=$E18,WEEKDAY(Y$4,2)&lt;=5,COUNTIF('Sources &amp; Change Log'!$J$2:$J$5,Y$4)=0,COUNTIFS('Team Calendar'!$A$5:$A$12,$F18,'Team Calendar'!$C$5:$C$12,Y$4)=0),1,"")</f>
        <v/>
      </c>
      <c r="Z18" s="165">
        <f>IF(AND(ISNUMBER($D18),ISNUMBER($E18),Z$4&gt;=$D18,Z$4&lt;=$E18,WEEKDAY(Z$4,2)&lt;=5,COUNTIF('Sources &amp; Change Log'!$J$2:$J$5,Z$4)=0,COUNTIFS('Team Calendar'!$A$5:$A$12,$F18,'Team Calendar'!$C$5:$C$12,Z$4)=0),1,"")</f>
        <v/>
      </c>
      <c r="AA18" s="165">
        <f>IF(AND(ISNUMBER($D18),ISNUMBER($E18),AA$4&gt;=$D18,AA$4&lt;=$E18,WEEKDAY(AA$4,2)&lt;=5,COUNTIF('Sources &amp; Change Log'!$J$2:$J$5,AA$4)=0,COUNTIFS('Team Calendar'!$A$5:$A$12,$F18,'Team Calendar'!$C$5:$C$12,AA$4)=0),1,"")</f>
        <v/>
      </c>
      <c r="AB18" s="165">
        <f>IF(AND(ISNUMBER($D18),ISNUMBER($E18),AB$4&gt;=$D18,AB$4&lt;=$E18,WEEKDAY(AB$4,2)&lt;=5,COUNTIF('Sources &amp; Change Log'!$J$2:$J$5,AB$4)=0,COUNTIFS('Team Calendar'!$A$5:$A$12,$F18,'Team Calendar'!$C$5:$C$12,AB$4)=0),1,"")</f>
        <v/>
      </c>
      <c r="AC18" s="165">
        <f>IF(AND(ISNUMBER($D18),ISNUMBER($E18),AC$4&gt;=$D18,AC$4&lt;=$E18,WEEKDAY(AC$4,2)&lt;=5,COUNTIF('Sources &amp; Change Log'!$J$2:$J$5,AC$4)=0,COUNTIFS('Team Calendar'!$A$5:$A$12,$F18,'Team Calendar'!$C$5:$C$12,AC$4)=0),1,"")</f>
        <v/>
      </c>
      <c r="AD18" s="165">
        <f>IF(AND(ISNUMBER($D18),ISNUMBER($E18),AD$4&gt;=$D18,AD$4&lt;=$E18,WEEKDAY(AD$4,2)&lt;=5,COUNTIF('Sources &amp; Change Log'!$J$2:$J$5,AD$4)=0,COUNTIFS('Team Calendar'!$A$5:$A$12,$F18,'Team Calendar'!$C$5:$C$12,AD$4)=0),1,"")</f>
        <v/>
      </c>
      <c r="AE18" s="166">
        <f>IF(AND(ISNUMBER($D18),ISNUMBER($E18),AE$4&gt;=$D18,AE$4&lt;=$E18,WEEKDAY(AE$4,2)&lt;=5,COUNTIF('Sources &amp; Change Log'!$J$2:$J$5,AE$4)=0,COUNTIFS('Team Calendar'!$A$5:$A$12,$F18,'Team Calendar'!$C$5:$C$12,AE$4)=0),1,"")</f>
        <v/>
      </c>
      <c r="AF18" s="166">
        <f>IF(AND(ISNUMBER($D18),ISNUMBER($E18),AF$4&gt;=$D18,AF$4&lt;=$E18,WEEKDAY(AF$4,2)&lt;=5,COUNTIF('Sources &amp; Change Log'!$J$2:$J$5,AF$4)=0,COUNTIFS('Team Calendar'!$A$5:$A$12,$F18,'Team Calendar'!$C$5:$C$12,AF$4)=0),1,"")</f>
        <v/>
      </c>
      <c r="AG18" s="165">
        <f>IF(AND(ISNUMBER($D18),ISNUMBER($E18),AG$4&gt;=$D18,AG$4&lt;=$E18,WEEKDAY(AG$4,2)&lt;=5,COUNTIF('Sources &amp; Change Log'!$J$2:$J$5,AG$4)=0,COUNTIFS('Team Calendar'!$A$5:$A$12,$F18,'Team Calendar'!$C$5:$C$12,AG$4)=0),1,"")</f>
        <v/>
      </c>
      <c r="AH18" s="165">
        <f>IF(AND(ISNUMBER($D18),ISNUMBER($E18),AH$4&gt;=$D18,AH$4&lt;=$E18,WEEKDAY(AH$4,2)&lt;=5,COUNTIF('Sources &amp; Change Log'!$J$2:$J$5,AH$4)=0,COUNTIFS('Team Calendar'!$A$5:$A$12,$F18,'Team Calendar'!$C$5:$C$12,AH$4)=0),1,"")</f>
        <v/>
      </c>
      <c r="AI18" s="165">
        <f>IF(AND(ISNUMBER($D18),ISNUMBER($E18),AI$4&gt;=$D18,AI$4&lt;=$E18,WEEKDAY(AI$4,2)&lt;=5,COUNTIF('Sources &amp; Change Log'!$J$2:$J$5,AI$4)=0,COUNTIFS('Team Calendar'!$A$5:$A$12,$F18,'Team Calendar'!$C$5:$C$12,AI$4)=0),1,"")</f>
        <v/>
      </c>
    </row>
    <row r="19" ht="24" customHeight="1">
      <c r="A19" s="13">
        <f>WBS!A18</f>
        <v/>
      </c>
      <c r="B19" s="13">
        <f>WBS!B18</f>
        <v/>
      </c>
      <c r="C19" s="13">
        <f>WBS!G18</f>
        <v/>
      </c>
      <c r="D19" s="164">
        <f>IF(WBS!H18="","",WBS!H18)</f>
        <v/>
      </c>
      <c r="E19" s="164">
        <f>IF(WBS!I18="","",WBS!I18)</f>
        <v/>
      </c>
      <c r="F19" s="13">
        <f>WBS!L18</f>
        <v/>
      </c>
      <c r="G19" s="165">
        <f>IF(AND(ISNUMBER($D19),ISNUMBER($E19),G$4&gt;=$D19,G$4&lt;=$E19,WEEKDAY(G$4,2)&lt;=5,COUNTIF('Sources &amp; Change Log'!$J$2:$J$5,G$4)=0,COUNTIFS('Team Calendar'!$A$5:$A$12,$F19,'Team Calendar'!$C$5:$C$12,G$4)=0),1,"")</f>
        <v/>
      </c>
      <c r="H19" s="165">
        <f>IF(AND(ISNUMBER($D19),ISNUMBER($E19),H$4&gt;=$D19,H$4&lt;=$E19,WEEKDAY(H$4,2)&lt;=5,COUNTIF('Sources &amp; Change Log'!$J$2:$J$5,H$4)=0,COUNTIFS('Team Calendar'!$A$5:$A$12,$F19,'Team Calendar'!$C$5:$C$12,H$4)=0),1,"")</f>
        <v/>
      </c>
      <c r="I19" s="165">
        <f>IF(AND(ISNUMBER($D19),ISNUMBER($E19),I$4&gt;=$D19,I$4&lt;=$E19,WEEKDAY(I$4,2)&lt;=5,COUNTIF('Sources &amp; Change Log'!$J$2:$J$5,I$4)=0,COUNTIFS('Team Calendar'!$A$5:$A$12,$F19,'Team Calendar'!$C$5:$C$12,I$4)=0),1,"")</f>
        <v/>
      </c>
      <c r="J19" s="166">
        <f>IF(AND(ISNUMBER($D19),ISNUMBER($E19),J$4&gt;=$D19,J$4&lt;=$E19,WEEKDAY(J$4,2)&lt;=5,COUNTIF('Sources &amp; Change Log'!$J$2:$J$5,J$4)=0,COUNTIFS('Team Calendar'!$A$5:$A$12,$F19,'Team Calendar'!$C$5:$C$12,J$4)=0),1,"")</f>
        <v/>
      </c>
      <c r="K19" s="166">
        <f>IF(AND(ISNUMBER($D19),ISNUMBER($E19),K$4&gt;=$D19,K$4&lt;=$E19,WEEKDAY(K$4,2)&lt;=5,COUNTIF('Sources &amp; Change Log'!$J$2:$J$5,K$4)=0,COUNTIFS('Team Calendar'!$A$5:$A$12,$F19,'Team Calendar'!$C$5:$C$12,K$4)=0),1,"")</f>
        <v/>
      </c>
      <c r="L19" s="165">
        <f>IF(AND(ISNUMBER($D19),ISNUMBER($E19),L$4&gt;=$D19,L$4&lt;=$E19,WEEKDAY(L$4,2)&lt;=5,COUNTIF('Sources &amp; Change Log'!$J$2:$J$5,L$4)=0,COUNTIFS('Team Calendar'!$A$5:$A$12,$F19,'Team Calendar'!$C$5:$C$12,L$4)=0),1,"")</f>
        <v/>
      </c>
      <c r="M19" s="167">
        <f>IF(AND(ISNUMBER($D19),ISNUMBER($E19),M$4&gt;=$D19,M$4&lt;=$E19,WEEKDAY(M$4,2)&lt;=5,COUNTIF('Sources &amp; Change Log'!$J$2:$J$5,M$4)=0,COUNTIFS('Team Calendar'!$A$5:$A$12,$F19,'Team Calendar'!$C$5:$C$12,M$4)=0),1,"")</f>
        <v/>
      </c>
      <c r="N19" s="165">
        <f>IF(AND(ISNUMBER($D19),ISNUMBER($E19),N$4&gt;=$D19,N$4&lt;=$E19,WEEKDAY(N$4,2)&lt;=5,COUNTIF('Sources &amp; Change Log'!$J$2:$J$5,N$4)=0,COUNTIFS('Team Calendar'!$A$5:$A$12,$F19,'Team Calendar'!$C$5:$C$12,N$4)=0),1,"")</f>
        <v/>
      </c>
      <c r="O19" s="165">
        <f>IF(AND(ISNUMBER($D19),ISNUMBER($E19),O$4&gt;=$D19,O$4&lt;=$E19,WEEKDAY(O$4,2)&lt;=5,COUNTIF('Sources &amp; Change Log'!$J$2:$J$5,O$4)=0,COUNTIFS('Team Calendar'!$A$5:$A$12,$F19,'Team Calendar'!$C$5:$C$12,O$4)=0),1,"")</f>
        <v/>
      </c>
      <c r="P19" s="165">
        <f>IF(AND(ISNUMBER($D19),ISNUMBER($E19),P$4&gt;=$D19,P$4&lt;=$E19,WEEKDAY(P$4,2)&lt;=5,COUNTIF('Sources &amp; Change Log'!$J$2:$J$5,P$4)=0,COUNTIFS('Team Calendar'!$A$5:$A$12,$F19,'Team Calendar'!$C$5:$C$12,P$4)=0),1,"")</f>
        <v/>
      </c>
      <c r="Q19" s="166">
        <f>IF(AND(ISNUMBER($D19),ISNUMBER($E19),Q$4&gt;=$D19,Q$4&lt;=$E19,WEEKDAY(Q$4,2)&lt;=5,COUNTIF('Sources &amp; Change Log'!$J$2:$J$5,Q$4)=0,COUNTIFS('Team Calendar'!$A$5:$A$12,$F19,'Team Calendar'!$C$5:$C$12,Q$4)=0),1,"")</f>
        <v/>
      </c>
      <c r="R19" s="166">
        <f>IF(AND(ISNUMBER($D19),ISNUMBER($E19),R$4&gt;=$D19,R$4&lt;=$E19,WEEKDAY(R$4,2)&lt;=5,COUNTIF('Sources &amp; Change Log'!$J$2:$J$5,R$4)=0,COUNTIFS('Team Calendar'!$A$5:$A$12,$F19,'Team Calendar'!$C$5:$C$12,R$4)=0),1,"")</f>
        <v/>
      </c>
      <c r="S19" s="165">
        <f>IF(AND(ISNUMBER($D19),ISNUMBER($E19),S$4&gt;=$D19,S$4&lt;=$E19,WEEKDAY(S$4,2)&lt;=5,COUNTIF('Sources &amp; Change Log'!$J$2:$J$5,S$4)=0,COUNTIFS('Team Calendar'!$A$5:$A$12,$F19,'Team Calendar'!$C$5:$C$12,S$4)=0),1,"")</f>
        <v/>
      </c>
      <c r="T19" s="165">
        <f>IF(AND(ISNUMBER($D19),ISNUMBER($E19),T$4&gt;=$D19,T$4&lt;=$E19,WEEKDAY(T$4,2)&lt;=5,COUNTIF('Sources &amp; Change Log'!$J$2:$J$5,T$4)=0,COUNTIFS('Team Calendar'!$A$5:$A$12,$F19,'Team Calendar'!$C$5:$C$12,T$4)=0),1,"")</f>
        <v/>
      </c>
      <c r="U19" s="165">
        <f>IF(AND(ISNUMBER($D19),ISNUMBER($E19),U$4&gt;=$D19,U$4&lt;=$E19,WEEKDAY(U$4,2)&lt;=5,COUNTIF('Sources &amp; Change Log'!$J$2:$J$5,U$4)=0,COUNTIFS('Team Calendar'!$A$5:$A$12,$F19,'Team Calendar'!$C$5:$C$12,U$4)=0),1,"")</f>
        <v/>
      </c>
      <c r="V19" s="165">
        <f>IF(AND(ISNUMBER($D19),ISNUMBER($E19),V$4&gt;=$D19,V$4&lt;=$E19,WEEKDAY(V$4,2)&lt;=5,COUNTIF('Sources &amp; Change Log'!$J$2:$J$5,V$4)=0,COUNTIFS('Team Calendar'!$A$5:$A$12,$F19,'Team Calendar'!$C$5:$C$12,V$4)=0),1,"")</f>
        <v/>
      </c>
      <c r="W19" s="165">
        <f>IF(AND(ISNUMBER($D19),ISNUMBER($E19),W$4&gt;=$D19,W$4&lt;=$E19,WEEKDAY(W$4,2)&lt;=5,COUNTIF('Sources &amp; Change Log'!$J$2:$J$5,W$4)=0,COUNTIFS('Team Calendar'!$A$5:$A$12,$F19,'Team Calendar'!$C$5:$C$12,W$4)=0),1,"")</f>
        <v/>
      </c>
      <c r="X19" s="166">
        <f>IF(AND(ISNUMBER($D19),ISNUMBER($E19),X$4&gt;=$D19,X$4&lt;=$E19,WEEKDAY(X$4,2)&lt;=5,COUNTIF('Sources &amp; Change Log'!$J$2:$J$5,X$4)=0,COUNTIFS('Team Calendar'!$A$5:$A$12,$F19,'Team Calendar'!$C$5:$C$12,X$4)=0),1,"")</f>
        <v/>
      </c>
      <c r="Y19" s="166">
        <f>IF(AND(ISNUMBER($D19),ISNUMBER($E19),Y$4&gt;=$D19,Y$4&lt;=$E19,WEEKDAY(Y$4,2)&lt;=5,COUNTIF('Sources &amp; Change Log'!$J$2:$J$5,Y$4)=0,COUNTIFS('Team Calendar'!$A$5:$A$12,$F19,'Team Calendar'!$C$5:$C$12,Y$4)=0),1,"")</f>
        <v/>
      </c>
      <c r="Z19" s="165">
        <f>IF(AND(ISNUMBER($D19),ISNUMBER($E19),Z$4&gt;=$D19,Z$4&lt;=$E19,WEEKDAY(Z$4,2)&lt;=5,COUNTIF('Sources &amp; Change Log'!$J$2:$J$5,Z$4)=0,COUNTIFS('Team Calendar'!$A$5:$A$12,$F19,'Team Calendar'!$C$5:$C$12,Z$4)=0),1,"")</f>
        <v/>
      </c>
      <c r="AA19" s="165">
        <f>IF(AND(ISNUMBER($D19),ISNUMBER($E19),AA$4&gt;=$D19,AA$4&lt;=$E19,WEEKDAY(AA$4,2)&lt;=5,COUNTIF('Sources &amp; Change Log'!$J$2:$J$5,AA$4)=0,COUNTIFS('Team Calendar'!$A$5:$A$12,$F19,'Team Calendar'!$C$5:$C$12,AA$4)=0),1,"")</f>
        <v/>
      </c>
      <c r="AB19" s="165">
        <f>IF(AND(ISNUMBER($D19),ISNUMBER($E19),AB$4&gt;=$D19,AB$4&lt;=$E19,WEEKDAY(AB$4,2)&lt;=5,COUNTIF('Sources &amp; Change Log'!$J$2:$J$5,AB$4)=0,COUNTIFS('Team Calendar'!$A$5:$A$12,$F19,'Team Calendar'!$C$5:$C$12,AB$4)=0),1,"")</f>
        <v/>
      </c>
      <c r="AC19" s="165">
        <f>IF(AND(ISNUMBER($D19),ISNUMBER($E19),AC$4&gt;=$D19,AC$4&lt;=$E19,WEEKDAY(AC$4,2)&lt;=5,COUNTIF('Sources &amp; Change Log'!$J$2:$J$5,AC$4)=0,COUNTIFS('Team Calendar'!$A$5:$A$12,$F19,'Team Calendar'!$C$5:$C$12,AC$4)=0),1,"")</f>
        <v/>
      </c>
      <c r="AD19" s="165">
        <f>IF(AND(ISNUMBER($D19),ISNUMBER($E19),AD$4&gt;=$D19,AD$4&lt;=$E19,WEEKDAY(AD$4,2)&lt;=5,COUNTIF('Sources &amp; Change Log'!$J$2:$J$5,AD$4)=0,COUNTIFS('Team Calendar'!$A$5:$A$12,$F19,'Team Calendar'!$C$5:$C$12,AD$4)=0),1,"")</f>
        <v/>
      </c>
      <c r="AE19" s="166">
        <f>IF(AND(ISNUMBER($D19),ISNUMBER($E19),AE$4&gt;=$D19,AE$4&lt;=$E19,WEEKDAY(AE$4,2)&lt;=5,COUNTIF('Sources &amp; Change Log'!$J$2:$J$5,AE$4)=0,COUNTIFS('Team Calendar'!$A$5:$A$12,$F19,'Team Calendar'!$C$5:$C$12,AE$4)=0),1,"")</f>
        <v/>
      </c>
      <c r="AF19" s="166">
        <f>IF(AND(ISNUMBER($D19),ISNUMBER($E19),AF$4&gt;=$D19,AF$4&lt;=$E19,WEEKDAY(AF$4,2)&lt;=5,COUNTIF('Sources &amp; Change Log'!$J$2:$J$5,AF$4)=0,COUNTIFS('Team Calendar'!$A$5:$A$12,$F19,'Team Calendar'!$C$5:$C$12,AF$4)=0),1,"")</f>
        <v/>
      </c>
      <c r="AG19" s="165">
        <f>IF(AND(ISNUMBER($D19),ISNUMBER($E19),AG$4&gt;=$D19,AG$4&lt;=$E19,WEEKDAY(AG$4,2)&lt;=5,COUNTIF('Sources &amp; Change Log'!$J$2:$J$5,AG$4)=0,COUNTIFS('Team Calendar'!$A$5:$A$12,$F19,'Team Calendar'!$C$5:$C$12,AG$4)=0),1,"")</f>
        <v/>
      </c>
      <c r="AH19" s="165">
        <f>IF(AND(ISNUMBER($D19),ISNUMBER($E19),AH$4&gt;=$D19,AH$4&lt;=$E19,WEEKDAY(AH$4,2)&lt;=5,COUNTIF('Sources &amp; Change Log'!$J$2:$J$5,AH$4)=0,COUNTIFS('Team Calendar'!$A$5:$A$12,$F19,'Team Calendar'!$C$5:$C$12,AH$4)=0),1,"")</f>
        <v/>
      </c>
      <c r="AI19" s="165">
        <f>IF(AND(ISNUMBER($D19),ISNUMBER($E19),AI$4&gt;=$D19,AI$4&lt;=$E19,WEEKDAY(AI$4,2)&lt;=5,COUNTIF('Sources &amp; Change Log'!$J$2:$J$5,AI$4)=0,COUNTIFS('Team Calendar'!$A$5:$A$12,$F19,'Team Calendar'!$C$5:$C$12,AI$4)=0),1,"")</f>
        <v/>
      </c>
    </row>
    <row r="20" ht="24" customHeight="1">
      <c r="A20" s="13">
        <f>WBS!A19</f>
        <v/>
      </c>
      <c r="B20" s="13">
        <f>WBS!B19</f>
        <v/>
      </c>
      <c r="C20" s="13">
        <f>WBS!G19</f>
        <v/>
      </c>
      <c r="D20" s="164">
        <f>IF(WBS!H19="","",WBS!H19)</f>
        <v/>
      </c>
      <c r="E20" s="164">
        <f>IF(WBS!I19="","",WBS!I19)</f>
        <v/>
      </c>
      <c r="F20" s="13">
        <f>WBS!L19</f>
        <v/>
      </c>
      <c r="G20" s="165">
        <f>IF(AND(ISNUMBER($D20),ISNUMBER($E20),G$4&gt;=$D20,G$4&lt;=$E20,WEEKDAY(G$4,2)&lt;=5,COUNTIF('Sources &amp; Change Log'!$J$2:$J$5,G$4)=0,COUNTIFS('Team Calendar'!$A$5:$A$12,$F20,'Team Calendar'!$C$5:$C$12,G$4)=0),1,"")</f>
        <v/>
      </c>
      <c r="H20" s="165">
        <f>IF(AND(ISNUMBER($D20),ISNUMBER($E20),H$4&gt;=$D20,H$4&lt;=$E20,WEEKDAY(H$4,2)&lt;=5,COUNTIF('Sources &amp; Change Log'!$J$2:$J$5,H$4)=0,COUNTIFS('Team Calendar'!$A$5:$A$12,$F20,'Team Calendar'!$C$5:$C$12,H$4)=0),1,"")</f>
        <v/>
      </c>
      <c r="I20" s="165">
        <f>IF(AND(ISNUMBER($D20),ISNUMBER($E20),I$4&gt;=$D20,I$4&lt;=$E20,WEEKDAY(I$4,2)&lt;=5,COUNTIF('Sources &amp; Change Log'!$J$2:$J$5,I$4)=0,COUNTIFS('Team Calendar'!$A$5:$A$12,$F20,'Team Calendar'!$C$5:$C$12,I$4)=0),1,"")</f>
        <v/>
      </c>
      <c r="J20" s="166">
        <f>IF(AND(ISNUMBER($D20),ISNUMBER($E20),J$4&gt;=$D20,J$4&lt;=$E20,WEEKDAY(J$4,2)&lt;=5,COUNTIF('Sources &amp; Change Log'!$J$2:$J$5,J$4)=0,COUNTIFS('Team Calendar'!$A$5:$A$12,$F20,'Team Calendar'!$C$5:$C$12,J$4)=0),1,"")</f>
        <v/>
      </c>
      <c r="K20" s="166">
        <f>IF(AND(ISNUMBER($D20),ISNUMBER($E20),K$4&gt;=$D20,K$4&lt;=$E20,WEEKDAY(K$4,2)&lt;=5,COUNTIF('Sources &amp; Change Log'!$J$2:$J$5,K$4)=0,COUNTIFS('Team Calendar'!$A$5:$A$12,$F20,'Team Calendar'!$C$5:$C$12,K$4)=0),1,"")</f>
        <v/>
      </c>
      <c r="L20" s="165">
        <f>IF(AND(ISNUMBER($D20),ISNUMBER($E20),L$4&gt;=$D20,L$4&lt;=$E20,WEEKDAY(L$4,2)&lt;=5,COUNTIF('Sources &amp; Change Log'!$J$2:$J$5,L$4)=0,COUNTIFS('Team Calendar'!$A$5:$A$12,$F20,'Team Calendar'!$C$5:$C$12,L$4)=0),1,"")</f>
        <v/>
      </c>
      <c r="M20" s="167">
        <f>IF(AND(ISNUMBER($D20),ISNUMBER($E20),M$4&gt;=$D20,M$4&lt;=$E20,WEEKDAY(M$4,2)&lt;=5,COUNTIF('Sources &amp; Change Log'!$J$2:$J$5,M$4)=0,COUNTIFS('Team Calendar'!$A$5:$A$12,$F20,'Team Calendar'!$C$5:$C$12,M$4)=0),1,"")</f>
        <v/>
      </c>
      <c r="N20" s="165">
        <f>IF(AND(ISNUMBER($D20),ISNUMBER($E20),N$4&gt;=$D20,N$4&lt;=$E20,WEEKDAY(N$4,2)&lt;=5,COUNTIF('Sources &amp; Change Log'!$J$2:$J$5,N$4)=0,COUNTIFS('Team Calendar'!$A$5:$A$12,$F20,'Team Calendar'!$C$5:$C$12,N$4)=0),1,"")</f>
        <v/>
      </c>
      <c r="O20" s="165">
        <f>IF(AND(ISNUMBER($D20),ISNUMBER($E20),O$4&gt;=$D20,O$4&lt;=$E20,WEEKDAY(O$4,2)&lt;=5,COUNTIF('Sources &amp; Change Log'!$J$2:$J$5,O$4)=0,COUNTIFS('Team Calendar'!$A$5:$A$12,$F20,'Team Calendar'!$C$5:$C$12,O$4)=0),1,"")</f>
        <v/>
      </c>
      <c r="P20" s="165">
        <f>IF(AND(ISNUMBER($D20),ISNUMBER($E20),P$4&gt;=$D20,P$4&lt;=$E20,WEEKDAY(P$4,2)&lt;=5,COUNTIF('Sources &amp; Change Log'!$J$2:$J$5,P$4)=0,COUNTIFS('Team Calendar'!$A$5:$A$12,$F20,'Team Calendar'!$C$5:$C$12,P$4)=0),1,"")</f>
        <v/>
      </c>
      <c r="Q20" s="166">
        <f>IF(AND(ISNUMBER($D20),ISNUMBER($E20),Q$4&gt;=$D20,Q$4&lt;=$E20,WEEKDAY(Q$4,2)&lt;=5,COUNTIF('Sources &amp; Change Log'!$J$2:$J$5,Q$4)=0,COUNTIFS('Team Calendar'!$A$5:$A$12,$F20,'Team Calendar'!$C$5:$C$12,Q$4)=0),1,"")</f>
        <v/>
      </c>
      <c r="R20" s="166">
        <f>IF(AND(ISNUMBER($D20),ISNUMBER($E20),R$4&gt;=$D20,R$4&lt;=$E20,WEEKDAY(R$4,2)&lt;=5,COUNTIF('Sources &amp; Change Log'!$J$2:$J$5,R$4)=0,COUNTIFS('Team Calendar'!$A$5:$A$12,$F20,'Team Calendar'!$C$5:$C$12,R$4)=0),1,"")</f>
        <v/>
      </c>
      <c r="S20" s="165">
        <f>IF(AND(ISNUMBER($D20),ISNUMBER($E20),S$4&gt;=$D20,S$4&lt;=$E20,WEEKDAY(S$4,2)&lt;=5,COUNTIF('Sources &amp; Change Log'!$J$2:$J$5,S$4)=0,COUNTIFS('Team Calendar'!$A$5:$A$12,$F20,'Team Calendar'!$C$5:$C$12,S$4)=0),1,"")</f>
        <v/>
      </c>
      <c r="T20" s="165">
        <f>IF(AND(ISNUMBER($D20),ISNUMBER($E20),T$4&gt;=$D20,T$4&lt;=$E20,WEEKDAY(T$4,2)&lt;=5,COUNTIF('Sources &amp; Change Log'!$J$2:$J$5,T$4)=0,COUNTIFS('Team Calendar'!$A$5:$A$12,$F20,'Team Calendar'!$C$5:$C$12,T$4)=0),1,"")</f>
        <v/>
      </c>
      <c r="U20" s="165">
        <f>IF(AND(ISNUMBER($D20),ISNUMBER($E20),U$4&gt;=$D20,U$4&lt;=$E20,WEEKDAY(U$4,2)&lt;=5,COUNTIF('Sources &amp; Change Log'!$J$2:$J$5,U$4)=0,COUNTIFS('Team Calendar'!$A$5:$A$12,$F20,'Team Calendar'!$C$5:$C$12,U$4)=0),1,"")</f>
        <v/>
      </c>
      <c r="V20" s="165">
        <f>IF(AND(ISNUMBER($D20),ISNUMBER($E20),V$4&gt;=$D20,V$4&lt;=$E20,WEEKDAY(V$4,2)&lt;=5,COUNTIF('Sources &amp; Change Log'!$J$2:$J$5,V$4)=0,COUNTIFS('Team Calendar'!$A$5:$A$12,$F20,'Team Calendar'!$C$5:$C$12,V$4)=0),1,"")</f>
        <v/>
      </c>
      <c r="W20" s="165">
        <f>IF(AND(ISNUMBER($D20),ISNUMBER($E20),W$4&gt;=$D20,W$4&lt;=$E20,WEEKDAY(W$4,2)&lt;=5,COUNTIF('Sources &amp; Change Log'!$J$2:$J$5,W$4)=0,COUNTIFS('Team Calendar'!$A$5:$A$12,$F20,'Team Calendar'!$C$5:$C$12,W$4)=0),1,"")</f>
        <v/>
      </c>
      <c r="X20" s="166">
        <f>IF(AND(ISNUMBER($D20),ISNUMBER($E20),X$4&gt;=$D20,X$4&lt;=$E20,WEEKDAY(X$4,2)&lt;=5,COUNTIF('Sources &amp; Change Log'!$J$2:$J$5,X$4)=0,COUNTIFS('Team Calendar'!$A$5:$A$12,$F20,'Team Calendar'!$C$5:$C$12,X$4)=0),1,"")</f>
        <v/>
      </c>
      <c r="Y20" s="166">
        <f>IF(AND(ISNUMBER($D20),ISNUMBER($E20),Y$4&gt;=$D20,Y$4&lt;=$E20,WEEKDAY(Y$4,2)&lt;=5,COUNTIF('Sources &amp; Change Log'!$J$2:$J$5,Y$4)=0,COUNTIFS('Team Calendar'!$A$5:$A$12,$F20,'Team Calendar'!$C$5:$C$12,Y$4)=0),1,"")</f>
        <v/>
      </c>
      <c r="Z20" s="165">
        <f>IF(AND(ISNUMBER($D20),ISNUMBER($E20),Z$4&gt;=$D20,Z$4&lt;=$E20,WEEKDAY(Z$4,2)&lt;=5,COUNTIF('Sources &amp; Change Log'!$J$2:$J$5,Z$4)=0,COUNTIFS('Team Calendar'!$A$5:$A$12,$F20,'Team Calendar'!$C$5:$C$12,Z$4)=0),1,"")</f>
        <v/>
      </c>
      <c r="AA20" s="165">
        <f>IF(AND(ISNUMBER($D20),ISNUMBER($E20),AA$4&gt;=$D20,AA$4&lt;=$E20,WEEKDAY(AA$4,2)&lt;=5,COUNTIF('Sources &amp; Change Log'!$J$2:$J$5,AA$4)=0,COUNTIFS('Team Calendar'!$A$5:$A$12,$F20,'Team Calendar'!$C$5:$C$12,AA$4)=0),1,"")</f>
        <v/>
      </c>
      <c r="AB20" s="165">
        <f>IF(AND(ISNUMBER($D20),ISNUMBER($E20),AB$4&gt;=$D20,AB$4&lt;=$E20,WEEKDAY(AB$4,2)&lt;=5,COUNTIF('Sources &amp; Change Log'!$J$2:$J$5,AB$4)=0,COUNTIFS('Team Calendar'!$A$5:$A$12,$F20,'Team Calendar'!$C$5:$C$12,AB$4)=0),1,"")</f>
        <v/>
      </c>
      <c r="AC20" s="165">
        <f>IF(AND(ISNUMBER($D20),ISNUMBER($E20),AC$4&gt;=$D20,AC$4&lt;=$E20,WEEKDAY(AC$4,2)&lt;=5,COUNTIF('Sources &amp; Change Log'!$J$2:$J$5,AC$4)=0,COUNTIFS('Team Calendar'!$A$5:$A$12,$F20,'Team Calendar'!$C$5:$C$12,AC$4)=0),1,"")</f>
        <v/>
      </c>
      <c r="AD20" s="165">
        <f>IF(AND(ISNUMBER($D20),ISNUMBER($E20),AD$4&gt;=$D20,AD$4&lt;=$E20,WEEKDAY(AD$4,2)&lt;=5,COUNTIF('Sources &amp; Change Log'!$J$2:$J$5,AD$4)=0,COUNTIFS('Team Calendar'!$A$5:$A$12,$F20,'Team Calendar'!$C$5:$C$12,AD$4)=0),1,"")</f>
        <v/>
      </c>
      <c r="AE20" s="166">
        <f>IF(AND(ISNUMBER($D20),ISNUMBER($E20),AE$4&gt;=$D20,AE$4&lt;=$E20,WEEKDAY(AE$4,2)&lt;=5,COUNTIF('Sources &amp; Change Log'!$J$2:$J$5,AE$4)=0,COUNTIFS('Team Calendar'!$A$5:$A$12,$F20,'Team Calendar'!$C$5:$C$12,AE$4)=0),1,"")</f>
        <v/>
      </c>
      <c r="AF20" s="166">
        <f>IF(AND(ISNUMBER($D20),ISNUMBER($E20),AF$4&gt;=$D20,AF$4&lt;=$E20,WEEKDAY(AF$4,2)&lt;=5,COUNTIF('Sources &amp; Change Log'!$J$2:$J$5,AF$4)=0,COUNTIFS('Team Calendar'!$A$5:$A$12,$F20,'Team Calendar'!$C$5:$C$12,AF$4)=0),1,"")</f>
        <v/>
      </c>
      <c r="AG20" s="165">
        <f>IF(AND(ISNUMBER($D20),ISNUMBER($E20),AG$4&gt;=$D20,AG$4&lt;=$E20,WEEKDAY(AG$4,2)&lt;=5,COUNTIF('Sources &amp; Change Log'!$J$2:$J$5,AG$4)=0,COUNTIFS('Team Calendar'!$A$5:$A$12,$F20,'Team Calendar'!$C$5:$C$12,AG$4)=0),1,"")</f>
        <v/>
      </c>
      <c r="AH20" s="165">
        <f>IF(AND(ISNUMBER($D20),ISNUMBER($E20),AH$4&gt;=$D20,AH$4&lt;=$E20,WEEKDAY(AH$4,2)&lt;=5,COUNTIF('Sources &amp; Change Log'!$J$2:$J$5,AH$4)=0,COUNTIFS('Team Calendar'!$A$5:$A$12,$F20,'Team Calendar'!$C$5:$C$12,AH$4)=0),1,"")</f>
        <v/>
      </c>
      <c r="AI20" s="165">
        <f>IF(AND(ISNUMBER($D20),ISNUMBER($E20),AI$4&gt;=$D20,AI$4&lt;=$E20,WEEKDAY(AI$4,2)&lt;=5,COUNTIF('Sources &amp; Change Log'!$J$2:$J$5,AI$4)=0,COUNTIFS('Team Calendar'!$A$5:$A$12,$F20,'Team Calendar'!$C$5:$C$12,AI$4)=0),1,"")</f>
        <v/>
      </c>
    </row>
    <row r="21" ht="24" customHeight="1">
      <c r="A21" s="13">
        <f>WBS!A20</f>
        <v/>
      </c>
      <c r="B21" s="13">
        <f>WBS!B20</f>
        <v/>
      </c>
      <c r="C21" s="13">
        <f>WBS!G20</f>
        <v/>
      </c>
      <c r="D21" s="164">
        <f>IF(WBS!H20="","",WBS!H20)</f>
        <v/>
      </c>
      <c r="E21" s="164">
        <f>IF(WBS!I20="","",WBS!I20)</f>
        <v/>
      </c>
      <c r="F21" s="13">
        <f>WBS!L20</f>
        <v/>
      </c>
      <c r="G21" s="165">
        <f>IF(AND(ISNUMBER($D21),ISNUMBER($E21),G$4&gt;=$D21,G$4&lt;=$E21,WEEKDAY(G$4,2)&lt;=5,COUNTIF('Sources &amp; Change Log'!$J$2:$J$5,G$4)=0,COUNTIFS('Team Calendar'!$A$5:$A$12,$F21,'Team Calendar'!$C$5:$C$12,G$4)=0),1,"")</f>
        <v/>
      </c>
      <c r="H21" s="165">
        <f>IF(AND(ISNUMBER($D21),ISNUMBER($E21),H$4&gt;=$D21,H$4&lt;=$E21,WEEKDAY(H$4,2)&lt;=5,COUNTIF('Sources &amp; Change Log'!$J$2:$J$5,H$4)=0,COUNTIFS('Team Calendar'!$A$5:$A$12,$F21,'Team Calendar'!$C$5:$C$12,H$4)=0),1,"")</f>
        <v/>
      </c>
      <c r="I21" s="165">
        <f>IF(AND(ISNUMBER($D21),ISNUMBER($E21),I$4&gt;=$D21,I$4&lt;=$E21,WEEKDAY(I$4,2)&lt;=5,COUNTIF('Sources &amp; Change Log'!$J$2:$J$5,I$4)=0,COUNTIFS('Team Calendar'!$A$5:$A$12,$F21,'Team Calendar'!$C$5:$C$12,I$4)=0),1,"")</f>
        <v/>
      </c>
      <c r="J21" s="166">
        <f>IF(AND(ISNUMBER($D21),ISNUMBER($E21),J$4&gt;=$D21,J$4&lt;=$E21,WEEKDAY(J$4,2)&lt;=5,COUNTIF('Sources &amp; Change Log'!$J$2:$J$5,J$4)=0,COUNTIFS('Team Calendar'!$A$5:$A$12,$F21,'Team Calendar'!$C$5:$C$12,J$4)=0),1,"")</f>
        <v/>
      </c>
      <c r="K21" s="166">
        <f>IF(AND(ISNUMBER($D21),ISNUMBER($E21),K$4&gt;=$D21,K$4&lt;=$E21,WEEKDAY(K$4,2)&lt;=5,COUNTIF('Sources &amp; Change Log'!$J$2:$J$5,K$4)=0,COUNTIFS('Team Calendar'!$A$5:$A$12,$F21,'Team Calendar'!$C$5:$C$12,K$4)=0),1,"")</f>
        <v/>
      </c>
      <c r="L21" s="165">
        <f>IF(AND(ISNUMBER($D21),ISNUMBER($E21),L$4&gt;=$D21,L$4&lt;=$E21,WEEKDAY(L$4,2)&lt;=5,COUNTIF('Sources &amp; Change Log'!$J$2:$J$5,L$4)=0,COUNTIFS('Team Calendar'!$A$5:$A$12,$F21,'Team Calendar'!$C$5:$C$12,L$4)=0),1,"")</f>
        <v/>
      </c>
      <c r="M21" s="167">
        <f>IF(AND(ISNUMBER($D21),ISNUMBER($E21),M$4&gt;=$D21,M$4&lt;=$E21,WEEKDAY(M$4,2)&lt;=5,COUNTIF('Sources &amp; Change Log'!$J$2:$J$5,M$4)=0,COUNTIFS('Team Calendar'!$A$5:$A$12,$F21,'Team Calendar'!$C$5:$C$12,M$4)=0),1,"")</f>
        <v/>
      </c>
      <c r="N21" s="165">
        <f>IF(AND(ISNUMBER($D21),ISNUMBER($E21),N$4&gt;=$D21,N$4&lt;=$E21,WEEKDAY(N$4,2)&lt;=5,COUNTIF('Sources &amp; Change Log'!$J$2:$J$5,N$4)=0,COUNTIFS('Team Calendar'!$A$5:$A$12,$F21,'Team Calendar'!$C$5:$C$12,N$4)=0),1,"")</f>
        <v/>
      </c>
      <c r="O21" s="165">
        <f>IF(AND(ISNUMBER($D21),ISNUMBER($E21),O$4&gt;=$D21,O$4&lt;=$E21,WEEKDAY(O$4,2)&lt;=5,COUNTIF('Sources &amp; Change Log'!$J$2:$J$5,O$4)=0,COUNTIFS('Team Calendar'!$A$5:$A$12,$F21,'Team Calendar'!$C$5:$C$12,O$4)=0),1,"")</f>
        <v/>
      </c>
      <c r="P21" s="165">
        <f>IF(AND(ISNUMBER($D21),ISNUMBER($E21),P$4&gt;=$D21,P$4&lt;=$E21,WEEKDAY(P$4,2)&lt;=5,COUNTIF('Sources &amp; Change Log'!$J$2:$J$5,P$4)=0,COUNTIFS('Team Calendar'!$A$5:$A$12,$F21,'Team Calendar'!$C$5:$C$12,P$4)=0),1,"")</f>
        <v/>
      </c>
      <c r="Q21" s="166">
        <f>IF(AND(ISNUMBER($D21),ISNUMBER($E21),Q$4&gt;=$D21,Q$4&lt;=$E21,WEEKDAY(Q$4,2)&lt;=5,COUNTIF('Sources &amp; Change Log'!$J$2:$J$5,Q$4)=0,COUNTIFS('Team Calendar'!$A$5:$A$12,$F21,'Team Calendar'!$C$5:$C$12,Q$4)=0),1,"")</f>
        <v/>
      </c>
      <c r="R21" s="166">
        <f>IF(AND(ISNUMBER($D21),ISNUMBER($E21),R$4&gt;=$D21,R$4&lt;=$E21,WEEKDAY(R$4,2)&lt;=5,COUNTIF('Sources &amp; Change Log'!$J$2:$J$5,R$4)=0,COUNTIFS('Team Calendar'!$A$5:$A$12,$F21,'Team Calendar'!$C$5:$C$12,R$4)=0),1,"")</f>
        <v/>
      </c>
      <c r="S21" s="165">
        <f>IF(AND(ISNUMBER($D21),ISNUMBER($E21),S$4&gt;=$D21,S$4&lt;=$E21,WEEKDAY(S$4,2)&lt;=5,COUNTIF('Sources &amp; Change Log'!$J$2:$J$5,S$4)=0,COUNTIFS('Team Calendar'!$A$5:$A$12,$F21,'Team Calendar'!$C$5:$C$12,S$4)=0),1,"")</f>
        <v/>
      </c>
      <c r="T21" s="165">
        <f>IF(AND(ISNUMBER($D21),ISNUMBER($E21),T$4&gt;=$D21,T$4&lt;=$E21,WEEKDAY(T$4,2)&lt;=5,COUNTIF('Sources &amp; Change Log'!$J$2:$J$5,T$4)=0,COUNTIFS('Team Calendar'!$A$5:$A$12,$F21,'Team Calendar'!$C$5:$C$12,T$4)=0),1,"")</f>
        <v/>
      </c>
      <c r="U21" s="165">
        <f>IF(AND(ISNUMBER($D21),ISNUMBER($E21),U$4&gt;=$D21,U$4&lt;=$E21,WEEKDAY(U$4,2)&lt;=5,COUNTIF('Sources &amp; Change Log'!$J$2:$J$5,U$4)=0,COUNTIFS('Team Calendar'!$A$5:$A$12,$F21,'Team Calendar'!$C$5:$C$12,U$4)=0),1,"")</f>
        <v/>
      </c>
      <c r="V21" s="165">
        <f>IF(AND(ISNUMBER($D21),ISNUMBER($E21),V$4&gt;=$D21,V$4&lt;=$E21,WEEKDAY(V$4,2)&lt;=5,COUNTIF('Sources &amp; Change Log'!$J$2:$J$5,V$4)=0,COUNTIFS('Team Calendar'!$A$5:$A$12,$F21,'Team Calendar'!$C$5:$C$12,V$4)=0),1,"")</f>
        <v/>
      </c>
      <c r="W21" s="165">
        <f>IF(AND(ISNUMBER($D21),ISNUMBER($E21),W$4&gt;=$D21,W$4&lt;=$E21,WEEKDAY(W$4,2)&lt;=5,COUNTIF('Sources &amp; Change Log'!$J$2:$J$5,W$4)=0,COUNTIFS('Team Calendar'!$A$5:$A$12,$F21,'Team Calendar'!$C$5:$C$12,W$4)=0),1,"")</f>
        <v/>
      </c>
      <c r="X21" s="166">
        <f>IF(AND(ISNUMBER($D21),ISNUMBER($E21),X$4&gt;=$D21,X$4&lt;=$E21,WEEKDAY(X$4,2)&lt;=5,COUNTIF('Sources &amp; Change Log'!$J$2:$J$5,X$4)=0,COUNTIFS('Team Calendar'!$A$5:$A$12,$F21,'Team Calendar'!$C$5:$C$12,X$4)=0),1,"")</f>
        <v/>
      </c>
      <c r="Y21" s="166">
        <f>IF(AND(ISNUMBER($D21),ISNUMBER($E21),Y$4&gt;=$D21,Y$4&lt;=$E21,WEEKDAY(Y$4,2)&lt;=5,COUNTIF('Sources &amp; Change Log'!$J$2:$J$5,Y$4)=0,COUNTIFS('Team Calendar'!$A$5:$A$12,$F21,'Team Calendar'!$C$5:$C$12,Y$4)=0),1,"")</f>
        <v/>
      </c>
      <c r="Z21" s="165">
        <f>IF(AND(ISNUMBER($D21),ISNUMBER($E21),Z$4&gt;=$D21,Z$4&lt;=$E21,WEEKDAY(Z$4,2)&lt;=5,COUNTIF('Sources &amp; Change Log'!$J$2:$J$5,Z$4)=0,COUNTIFS('Team Calendar'!$A$5:$A$12,$F21,'Team Calendar'!$C$5:$C$12,Z$4)=0),1,"")</f>
        <v/>
      </c>
      <c r="AA21" s="165">
        <f>IF(AND(ISNUMBER($D21),ISNUMBER($E21),AA$4&gt;=$D21,AA$4&lt;=$E21,WEEKDAY(AA$4,2)&lt;=5,COUNTIF('Sources &amp; Change Log'!$J$2:$J$5,AA$4)=0,COUNTIFS('Team Calendar'!$A$5:$A$12,$F21,'Team Calendar'!$C$5:$C$12,AA$4)=0),1,"")</f>
        <v/>
      </c>
      <c r="AB21" s="165">
        <f>IF(AND(ISNUMBER($D21),ISNUMBER($E21),AB$4&gt;=$D21,AB$4&lt;=$E21,WEEKDAY(AB$4,2)&lt;=5,COUNTIF('Sources &amp; Change Log'!$J$2:$J$5,AB$4)=0,COUNTIFS('Team Calendar'!$A$5:$A$12,$F21,'Team Calendar'!$C$5:$C$12,AB$4)=0),1,"")</f>
        <v/>
      </c>
      <c r="AC21" s="165">
        <f>IF(AND(ISNUMBER($D21),ISNUMBER($E21),AC$4&gt;=$D21,AC$4&lt;=$E21,WEEKDAY(AC$4,2)&lt;=5,COUNTIF('Sources &amp; Change Log'!$J$2:$J$5,AC$4)=0,COUNTIFS('Team Calendar'!$A$5:$A$12,$F21,'Team Calendar'!$C$5:$C$12,AC$4)=0),1,"")</f>
        <v/>
      </c>
      <c r="AD21" s="165">
        <f>IF(AND(ISNUMBER($D21),ISNUMBER($E21),AD$4&gt;=$D21,AD$4&lt;=$E21,WEEKDAY(AD$4,2)&lt;=5,COUNTIF('Sources &amp; Change Log'!$J$2:$J$5,AD$4)=0,COUNTIFS('Team Calendar'!$A$5:$A$12,$F21,'Team Calendar'!$C$5:$C$12,AD$4)=0),1,"")</f>
        <v/>
      </c>
      <c r="AE21" s="166">
        <f>IF(AND(ISNUMBER($D21),ISNUMBER($E21),AE$4&gt;=$D21,AE$4&lt;=$E21,WEEKDAY(AE$4,2)&lt;=5,COUNTIF('Sources &amp; Change Log'!$J$2:$J$5,AE$4)=0,COUNTIFS('Team Calendar'!$A$5:$A$12,$F21,'Team Calendar'!$C$5:$C$12,AE$4)=0),1,"")</f>
        <v/>
      </c>
      <c r="AF21" s="166">
        <f>IF(AND(ISNUMBER($D21),ISNUMBER($E21),AF$4&gt;=$D21,AF$4&lt;=$E21,WEEKDAY(AF$4,2)&lt;=5,COUNTIF('Sources &amp; Change Log'!$J$2:$J$5,AF$4)=0,COUNTIFS('Team Calendar'!$A$5:$A$12,$F21,'Team Calendar'!$C$5:$C$12,AF$4)=0),1,"")</f>
        <v/>
      </c>
      <c r="AG21" s="165">
        <f>IF(AND(ISNUMBER($D21),ISNUMBER($E21),AG$4&gt;=$D21,AG$4&lt;=$E21,WEEKDAY(AG$4,2)&lt;=5,COUNTIF('Sources &amp; Change Log'!$J$2:$J$5,AG$4)=0,COUNTIFS('Team Calendar'!$A$5:$A$12,$F21,'Team Calendar'!$C$5:$C$12,AG$4)=0),1,"")</f>
        <v/>
      </c>
      <c r="AH21" s="165">
        <f>IF(AND(ISNUMBER($D21),ISNUMBER($E21),AH$4&gt;=$D21,AH$4&lt;=$E21,WEEKDAY(AH$4,2)&lt;=5,COUNTIF('Sources &amp; Change Log'!$J$2:$J$5,AH$4)=0,COUNTIFS('Team Calendar'!$A$5:$A$12,$F21,'Team Calendar'!$C$5:$C$12,AH$4)=0),1,"")</f>
        <v/>
      </c>
      <c r="AI21" s="165">
        <f>IF(AND(ISNUMBER($D21),ISNUMBER($E21),AI$4&gt;=$D21,AI$4&lt;=$E21,WEEKDAY(AI$4,2)&lt;=5,COUNTIF('Sources &amp; Change Log'!$J$2:$J$5,AI$4)=0,COUNTIFS('Team Calendar'!$A$5:$A$12,$F21,'Team Calendar'!$C$5:$C$12,AI$4)=0),1,"")</f>
        <v/>
      </c>
    </row>
    <row r="22" ht="24" customHeight="1">
      <c r="A22" s="13">
        <f>WBS!A21</f>
        <v/>
      </c>
      <c r="B22" s="13">
        <f>WBS!B21</f>
        <v/>
      </c>
      <c r="C22" s="13">
        <f>WBS!G21</f>
        <v/>
      </c>
      <c r="D22" s="164">
        <f>IF(WBS!H21="","",WBS!H21)</f>
        <v/>
      </c>
      <c r="E22" s="164">
        <f>IF(WBS!I21="","",WBS!I21)</f>
        <v/>
      </c>
      <c r="F22" s="13">
        <f>WBS!L21</f>
        <v/>
      </c>
      <c r="G22" s="165">
        <f>IF(AND(ISNUMBER($D22),ISNUMBER($E22),G$4&gt;=$D22,G$4&lt;=$E22,WEEKDAY(G$4,2)&lt;=5,COUNTIF('Sources &amp; Change Log'!$J$2:$J$5,G$4)=0,COUNTIFS('Team Calendar'!$A$5:$A$12,$F22,'Team Calendar'!$C$5:$C$12,G$4)=0),1,"")</f>
        <v/>
      </c>
      <c r="H22" s="165">
        <f>IF(AND(ISNUMBER($D22),ISNUMBER($E22),H$4&gt;=$D22,H$4&lt;=$E22,WEEKDAY(H$4,2)&lt;=5,COUNTIF('Sources &amp; Change Log'!$J$2:$J$5,H$4)=0,COUNTIFS('Team Calendar'!$A$5:$A$12,$F22,'Team Calendar'!$C$5:$C$12,H$4)=0),1,"")</f>
        <v/>
      </c>
      <c r="I22" s="165">
        <f>IF(AND(ISNUMBER($D22),ISNUMBER($E22),I$4&gt;=$D22,I$4&lt;=$E22,WEEKDAY(I$4,2)&lt;=5,COUNTIF('Sources &amp; Change Log'!$J$2:$J$5,I$4)=0,COUNTIFS('Team Calendar'!$A$5:$A$12,$F22,'Team Calendar'!$C$5:$C$12,I$4)=0),1,"")</f>
        <v/>
      </c>
      <c r="J22" s="166">
        <f>IF(AND(ISNUMBER($D22),ISNUMBER($E22),J$4&gt;=$D22,J$4&lt;=$E22,WEEKDAY(J$4,2)&lt;=5,COUNTIF('Sources &amp; Change Log'!$J$2:$J$5,J$4)=0,COUNTIFS('Team Calendar'!$A$5:$A$12,$F22,'Team Calendar'!$C$5:$C$12,J$4)=0),1,"")</f>
        <v/>
      </c>
      <c r="K22" s="166">
        <f>IF(AND(ISNUMBER($D22),ISNUMBER($E22),K$4&gt;=$D22,K$4&lt;=$E22,WEEKDAY(K$4,2)&lt;=5,COUNTIF('Sources &amp; Change Log'!$J$2:$J$5,K$4)=0,COUNTIFS('Team Calendar'!$A$5:$A$12,$F22,'Team Calendar'!$C$5:$C$12,K$4)=0),1,"")</f>
        <v/>
      </c>
      <c r="L22" s="165">
        <f>IF(AND(ISNUMBER($D22),ISNUMBER($E22),L$4&gt;=$D22,L$4&lt;=$E22,WEEKDAY(L$4,2)&lt;=5,COUNTIF('Sources &amp; Change Log'!$J$2:$J$5,L$4)=0,COUNTIFS('Team Calendar'!$A$5:$A$12,$F22,'Team Calendar'!$C$5:$C$12,L$4)=0),1,"")</f>
        <v/>
      </c>
      <c r="M22" s="167">
        <f>IF(AND(ISNUMBER($D22),ISNUMBER($E22),M$4&gt;=$D22,M$4&lt;=$E22,WEEKDAY(M$4,2)&lt;=5,COUNTIF('Sources &amp; Change Log'!$J$2:$J$5,M$4)=0,COUNTIFS('Team Calendar'!$A$5:$A$12,$F22,'Team Calendar'!$C$5:$C$12,M$4)=0),1,"")</f>
        <v/>
      </c>
      <c r="N22" s="165">
        <f>IF(AND(ISNUMBER($D22),ISNUMBER($E22),N$4&gt;=$D22,N$4&lt;=$E22,WEEKDAY(N$4,2)&lt;=5,COUNTIF('Sources &amp; Change Log'!$J$2:$J$5,N$4)=0,COUNTIFS('Team Calendar'!$A$5:$A$12,$F22,'Team Calendar'!$C$5:$C$12,N$4)=0),1,"")</f>
        <v/>
      </c>
      <c r="O22" s="165">
        <f>IF(AND(ISNUMBER($D22),ISNUMBER($E22),O$4&gt;=$D22,O$4&lt;=$E22,WEEKDAY(O$4,2)&lt;=5,COUNTIF('Sources &amp; Change Log'!$J$2:$J$5,O$4)=0,COUNTIFS('Team Calendar'!$A$5:$A$12,$F22,'Team Calendar'!$C$5:$C$12,O$4)=0),1,"")</f>
        <v/>
      </c>
      <c r="P22" s="165">
        <f>IF(AND(ISNUMBER($D22),ISNUMBER($E22),P$4&gt;=$D22,P$4&lt;=$E22,WEEKDAY(P$4,2)&lt;=5,COUNTIF('Sources &amp; Change Log'!$J$2:$J$5,P$4)=0,COUNTIFS('Team Calendar'!$A$5:$A$12,$F22,'Team Calendar'!$C$5:$C$12,P$4)=0),1,"")</f>
        <v/>
      </c>
      <c r="Q22" s="166">
        <f>IF(AND(ISNUMBER($D22),ISNUMBER($E22),Q$4&gt;=$D22,Q$4&lt;=$E22,WEEKDAY(Q$4,2)&lt;=5,COUNTIF('Sources &amp; Change Log'!$J$2:$J$5,Q$4)=0,COUNTIFS('Team Calendar'!$A$5:$A$12,$F22,'Team Calendar'!$C$5:$C$12,Q$4)=0),1,"")</f>
        <v/>
      </c>
      <c r="R22" s="166">
        <f>IF(AND(ISNUMBER($D22),ISNUMBER($E22),R$4&gt;=$D22,R$4&lt;=$E22,WEEKDAY(R$4,2)&lt;=5,COUNTIF('Sources &amp; Change Log'!$J$2:$J$5,R$4)=0,COUNTIFS('Team Calendar'!$A$5:$A$12,$F22,'Team Calendar'!$C$5:$C$12,R$4)=0),1,"")</f>
        <v/>
      </c>
      <c r="S22" s="165">
        <f>IF(AND(ISNUMBER($D22),ISNUMBER($E22),S$4&gt;=$D22,S$4&lt;=$E22,WEEKDAY(S$4,2)&lt;=5,COUNTIF('Sources &amp; Change Log'!$J$2:$J$5,S$4)=0,COUNTIFS('Team Calendar'!$A$5:$A$12,$F22,'Team Calendar'!$C$5:$C$12,S$4)=0),1,"")</f>
        <v/>
      </c>
      <c r="T22" s="165">
        <f>IF(AND(ISNUMBER($D22),ISNUMBER($E22),T$4&gt;=$D22,T$4&lt;=$E22,WEEKDAY(T$4,2)&lt;=5,COUNTIF('Sources &amp; Change Log'!$J$2:$J$5,T$4)=0,COUNTIFS('Team Calendar'!$A$5:$A$12,$F22,'Team Calendar'!$C$5:$C$12,T$4)=0),1,"")</f>
        <v/>
      </c>
      <c r="U22" s="165">
        <f>IF(AND(ISNUMBER($D22),ISNUMBER($E22),U$4&gt;=$D22,U$4&lt;=$E22,WEEKDAY(U$4,2)&lt;=5,COUNTIF('Sources &amp; Change Log'!$J$2:$J$5,U$4)=0,COUNTIFS('Team Calendar'!$A$5:$A$12,$F22,'Team Calendar'!$C$5:$C$12,U$4)=0),1,"")</f>
        <v/>
      </c>
      <c r="V22" s="165">
        <f>IF(AND(ISNUMBER($D22),ISNUMBER($E22),V$4&gt;=$D22,V$4&lt;=$E22,WEEKDAY(V$4,2)&lt;=5,COUNTIF('Sources &amp; Change Log'!$J$2:$J$5,V$4)=0,COUNTIFS('Team Calendar'!$A$5:$A$12,$F22,'Team Calendar'!$C$5:$C$12,V$4)=0),1,"")</f>
        <v/>
      </c>
      <c r="W22" s="165">
        <f>IF(AND(ISNUMBER($D22),ISNUMBER($E22),W$4&gt;=$D22,W$4&lt;=$E22,WEEKDAY(W$4,2)&lt;=5,COUNTIF('Sources &amp; Change Log'!$J$2:$J$5,W$4)=0,COUNTIFS('Team Calendar'!$A$5:$A$12,$F22,'Team Calendar'!$C$5:$C$12,W$4)=0),1,"")</f>
        <v/>
      </c>
      <c r="X22" s="166">
        <f>IF(AND(ISNUMBER($D22),ISNUMBER($E22),X$4&gt;=$D22,X$4&lt;=$E22,WEEKDAY(X$4,2)&lt;=5,COUNTIF('Sources &amp; Change Log'!$J$2:$J$5,X$4)=0,COUNTIFS('Team Calendar'!$A$5:$A$12,$F22,'Team Calendar'!$C$5:$C$12,X$4)=0),1,"")</f>
        <v/>
      </c>
      <c r="Y22" s="166">
        <f>IF(AND(ISNUMBER($D22),ISNUMBER($E22),Y$4&gt;=$D22,Y$4&lt;=$E22,WEEKDAY(Y$4,2)&lt;=5,COUNTIF('Sources &amp; Change Log'!$J$2:$J$5,Y$4)=0,COUNTIFS('Team Calendar'!$A$5:$A$12,$F22,'Team Calendar'!$C$5:$C$12,Y$4)=0),1,"")</f>
        <v/>
      </c>
      <c r="Z22" s="165">
        <f>IF(AND(ISNUMBER($D22),ISNUMBER($E22),Z$4&gt;=$D22,Z$4&lt;=$E22,WEEKDAY(Z$4,2)&lt;=5,COUNTIF('Sources &amp; Change Log'!$J$2:$J$5,Z$4)=0,COUNTIFS('Team Calendar'!$A$5:$A$12,$F22,'Team Calendar'!$C$5:$C$12,Z$4)=0),1,"")</f>
        <v/>
      </c>
      <c r="AA22" s="165">
        <f>IF(AND(ISNUMBER($D22),ISNUMBER($E22),AA$4&gt;=$D22,AA$4&lt;=$E22,WEEKDAY(AA$4,2)&lt;=5,COUNTIF('Sources &amp; Change Log'!$J$2:$J$5,AA$4)=0,COUNTIFS('Team Calendar'!$A$5:$A$12,$F22,'Team Calendar'!$C$5:$C$12,AA$4)=0),1,"")</f>
        <v/>
      </c>
      <c r="AB22" s="165">
        <f>IF(AND(ISNUMBER($D22),ISNUMBER($E22),AB$4&gt;=$D22,AB$4&lt;=$E22,WEEKDAY(AB$4,2)&lt;=5,COUNTIF('Sources &amp; Change Log'!$J$2:$J$5,AB$4)=0,COUNTIFS('Team Calendar'!$A$5:$A$12,$F22,'Team Calendar'!$C$5:$C$12,AB$4)=0),1,"")</f>
        <v/>
      </c>
      <c r="AC22" s="165">
        <f>IF(AND(ISNUMBER($D22),ISNUMBER($E22),AC$4&gt;=$D22,AC$4&lt;=$E22,WEEKDAY(AC$4,2)&lt;=5,COUNTIF('Sources &amp; Change Log'!$J$2:$J$5,AC$4)=0,COUNTIFS('Team Calendar'!$A$5:$A$12,$F22,'Team Calendar'!$C$5:$C$12,AC$4)=0),1,"")</f>
        <v/>
      </c>
      <c r="AD22" s="165">
        <f>IF(AND(ISNUMBER($D22),ISNUMBER($E22),AD$4&gt;=$D22,AD$4&lt;=$E22,WEEKDAY(AD$4,2)&lt;=5,COUNTIF('Sources &amp; Change Log'!$J$2:$J$5,AD$4)=0,COUNTIFS('Team Calendar'!$A$5:$A$12,$F22,'Team Calendar'!$C$5:$C$12,AD$4)=0),1,"")</f>
        <v/>
      </c>
      <c r="AE22" s="166">
        <f>IF(AND(ISNUMBER($D22),ISNUMBER($E22),AE$4&gt;=$D22,AE$4&lt;=$E22,WEEKDAY(AE$4,2)&lt;=5,COUNTIF('Sources &amp; Change Log'!$J$2:$J$5,AE$4)=0,COUNTIFS('Team Calendar'!$A$5:$A$12,$F22,'Team Calendar'!$C$5:$C$12,AE$4)=0),1,"")</f>
        <v/>
      </c>
      <c r="AF22" s="166">
        <f>IF(AND(ISNUMBER($D22),ISNUMBER($E22),AF$4&gt;=$D22,AF$4&lt;=$E22,WEEKDAY(AF$4,2)&lt;=5,COUNTIF('Sources &amp; Change Log'!$J$2:$J$5,AF$4)=0,COUNTIFS('Team Calendar'!$A$5:$A$12,$F22,'Team Calendar'!$C$5:$C$12,AF$4)=0),1,"")</f>
        <v/>
      </c>
      <c r="AG22" s="165">
        <f>IF(AND(ISNUMBER($D22),ISNUMBER($E22),AG$4&gt;=$D22,AG$4&lt;=$E22,WEEKDAY(AG$4,2)&lt;=5,COUNTIF('Sources &amp; Change Log'!$J$2:$J$5,AG$4)=0,COUNTIFS('Team Calendar'!$A$5:$A$12,$F22,'Team Calendar'!$C$5:$C$12,AG$4)=0),1,"")</f>
        <v/>
      </c>
      <c r="AH22" s="165">
        <f>IF(AND(ISNUMBER($D22),ISNUMBER($E22),AH$4&gt;=$D22,AH$4&lt;=$E22,WEEKDAY(AH$4,2)&lt;=5,COUNTIF('Sources &amp; Change Log'!$J$2:$J$5,AH$4)=0,COUNTIFS('Team Calendar'!$A$5:$A$12,$F22,'Team Calendar'!$C$5:$C$12,AH$4)=0),1,"")</f>
        <v/>
      </c>
      <c r="AI22" s="165">
        <f>IF(AND(ISNUMBER($D22),ISNUMBER($E22),AI$4&gt;=$D22,AI$4&lt;=$E22,WEEKDAY(AI$4,2)&lt;=5,COUNTIF('Sources &amp; Change Log'!$J$2:$J$5,AI$4)=0,COUNTIFS('Team Calendar'!$A$5:$A$12,$F22,'Team Calendar'!$C$5:$C$12,AI$4)=0),1,"")</f>
        <v/>
      </c>
    </row>
    <row r="23" ht="24" customHeight="1">
      <c r="A23" s="13">
        <f>WBS!A22</f>
        <v/>
      </c>
      <c r="B23" s="13">
        <f>WBS!B22</f>
        <v/>
      </c>
      <c r="C23" s="13">
        <f>WBS!G22</f>
        <v/>
      </c>
      <c r="D23" s="164">
        <f>IF(WBS!H22="","",WBS!H22)</f>
        <v/>
      </c>
      <c r="E23" s="164">
        <f>IF(WBS!I22="","",WBS!I22)</f>
        <v/>
      </c>
      <c r="F23" s="13">
        <f>WBS!L22</f>
        <v/>
      </c>
      <c r="G23" s="165">
        <f>IF(AND(ISNUMBER($D23),ISNUMBER($E23),G$4&gt;=$D23,G$4&lt;=$E23,WEEKDAY(G$4,2)&lt;=5,COUNTIF('Sources &amp; Change Log'!$J$2:$J$5,G$4)=0,COUNTIFS('Team Calendar'!$A$5:$A$12,$F23,'Team Calendar'!$C$5:$C$12,G$4)=0),1,"")</f>
        <v/>
      </c>
      <c r="H23" s="165">
        <f>IF(AND(ISNUMBER($D23),ISNUMBER($E23),H$4&gt;=$D23,H$4&lt;=$E23,WEEKDAY(H$4,2)&lt;=5,COUNTIF('Sources &amp; Change Log'!$J$2:$J$5,H$4)=0,COUNTIFS('Team Calendar'!$A$5:$A$12,$F23,'Team Calendar'!$C$5:$C$12,H$4)=0),1,"")</f>
        <v/>
      </c>
      <c r="I23" s="165">
        <f>IF(AND(ISNUMBER($D23),ISNUMBER($E23),I$4&gt;=$D23,I$4&lt;=$E23,WEEKDAY(I$4,2)&lt;=5,COUNTIF('Sources &amp; Change Log'!$J$2:$J$5,I$4)=0,COUNTIFS('Team Calendar'!$A$5:$A$12,$F23,'Team Calendar'!$C$5:$C$12,I$4)=0),1,"")</f>
        <v/>
      </c>
      <c r="J23" s="166">
        <f>IF(AND(ISNUMBER($D23),ISNUMBER($E23),J$4&gt;=$D23,J$4&lt;=$E23,WEEKDAY(J$4,2)&lt;=5,COUNTIF('Sources &amp; Change Log'!$J$2:$J$5,J$4)=0,COUNTIFS('Team Calendar'!$A$5:$A$12,$F23,'Team Calendar'!$C$5:$C$12,J$4)=0),1,"")</f>
        <v/>
      </c>
      <c r="K23" s="166">
        <f>IF(AND(ISNUMBER($D23),ISNUMBER($E23),K$4&gt;=$D23,K$4&lt;=$E23,WEEKDAY(K$4,2)&lt;=5,COUNTIF('Sources &amp; Change Log'!$J$2:$J$5,K$4)=0,COUNTIFS('Team Calendar'!$A$5:$A$12,$F23,'Team Calendar'!$C$5:$C$12,K$4)=0),1,"")</f>
        <v/>
      </c>
      <c r="L23" s="165">
        <f>IF(AND(ISNUMBER($D23),ISNUMBER($E23),L$4&gt;=$D23,L$4&lt;=$E23,WEEKDAY(L$4,2)&lt;=5,COUNTIF('Sources &amp; Change Log'!$J$2:$J$5,L$4)=0,COUNTIFS('Team Calendar'!$A$5:$A$12,$F23,'Team Calendar'!$C$5:$C$12,L$4)=0),1,"")</f>
        <v/>
      </c>
      <c r="M23" s="167">
        <f>IF(AND(ISNUMBER($D23),ISNUMBER($E23),M$4&gt;=$D23,M$4&lt;=$E23,WEEKDAY(M$4,2)&lt;=5,COUNTIF('Sources &amp; Change Log'!$J$2:$J$5,M$4)=0,COUNTIFS('Team Calendar'!$A$5:$A$12,$F23,'Team Calendar'!$C$5:$C$12,M$4)=0),1,"")</f>
        <v/>
      </c>
      <c r="N23" s="165">
        <f>IF(AND(ISNUMBER($D23),ISNUMBER($E23),N$4&gt;=$D23,N$4&lt;=$E23,WEEKDAY(N$4,2)&lt;=5,COUNTIF('Sources &amp; Change Log'!$J$2:$J$5,N$4)=0,COUNTIFS('Team Calendar'!$A$5:$A$12,$F23,'Team Calendar'!$C$5:$C$12,N$4)=0),1,"")</f>
        <v/>
      </c>
      <c r="O23" s="165">
        <f>IF(AND(ISNUMBER($D23),ISNUMBER($E23),O$4&gt;=$D23,O$4&lt;=$E23,WEEKDAY(O$4,2)&lt;=5,COUNTIF('Sources &amp; Change Log'!$J$2:$J$5,O$4)=0,COUNTIFS('Team Calendar'!$A$5:$A$12,$F23,'Team Calendar'!$C$5:$C$12,O$4)=0),1,"")</f>
        <v/>
      </c>
      <c r="P23" s="165">
        <f>IF(AND(ISNUMBER($D23),ISNUMBER($E23),P$4&gt;=$D23,P$4&lt;=$E23,WEEKDAY(P$4,2)&lt;=5,COUNTIF('Sources &amp; Change Log'!$J$2:$J$5,P$4)=0,COUNTIFS('Team Calendar'!$A$5:$A$12,$F23,'Team Calendar'!$C$5:$C$12,P$4)=0),1,"")</f>
        <v/>
      </c>
      <c r="Q23" s="166">
        <f>IF(AND(ISNUMBER($D23),ISNUMBER($E23),Q$4&gt;=$D23,Q$4&lt;=$E23,WEEKDAY(Q$4,2)&lt;=5,COUNTIF('Sources &amp; Change Log'!$J$2:$J$5,Q$4)=0,COUNTIFS('Team Calendar'!$A$5:$A$12,$F23,'Team Calendar'!$C$5:$C$12,Q$4)=0),1,"")</f>
        <v/>
      </c>
      <c r="R23" s="166">
        <f>IF(AND(ISNUMBER($D23),ISNUMBER($E23),R$4&gt;=$D23,R$4&lt;=$E23,WEEKDAY(R$4,2)&lt;=5,COUNTIF('Sources &amp; Change Log'!$J$2:$J$5,R$4)=0,COUNTIFS('Team Calendar'!$A$5:$A$12,$F23,'Team Calendar'!$C$5:$C$12,R$4)=0),1,"")</f>
        <v/>
      </c>
      <c r="S23" s="165">
        <f>IF(AND(ISNUMBER($D23),ISNUMBER($E23),S$4&gt;=$D23,S$4&lt;=$E23,WEEKDAY(S$4,2)&lt;=5,COUNTIF('Sources &amp; Change Log'!$J$2:$J$5,S$4)=0,COUNTIFS('Team Calendar'!$A$5:$A$12,$F23,'Team Calendar'!$C$5:$C$12,S$4)=0),1,"")</f>
        <v/>
      </c>
      <c r="T23" s="165">
        <f>IF(AND(ISNUMBER($D23),ISNUMBER($E23),T$4&gt;=$D23,T$4&lt;=$E23,WEEKDAY(T$4,2)&lt;=5,COUNTIF('Sources &amp; Change Log'!$J$2:$J$5,T$4)=0,COUNTIFS('Team Calendar'!$A$5:$A$12,$F23,'Team Calendar'!$C$5:$C$12,T$4)=0),1,"")</f>
        <v/>
      </c>
      <c r="U23" s="165">
        <f>IF(AND(ISNUMBER($D23),ISNUMBER($E23),U$4&gt;=$D23,U$4&lt;=$E23,WEEKDAY(U$4,2)&lt;=5,COUNTIF('Sources &amp; Change Log'!$J$2:$J$5,U$4)=0,COUNTIFS('Team Calendar'!$A$5:$A$12,$F23,'Team Calendar'!$C$5:$C$12,U$4)=0),1,"")</f>
        <v/>
      </c>
      <c r="V23" s="165">
        <f>IF(AND(ISNUMBER($D23),ISNUMBER($E23),V$4&gt;=$D23,V$4&lt;=$E23,WEEKDAY(V$4,2)&lt;=5,COUNTIF('Sources &amp; Change Log'!$J$2:$J$5,V$4)=0,COUNTIFS('Team Calendar'!$A$5:$A$12,$F23,'Team Calendar'!$C$5:$C$12,V$4)=0),1,"")</f>
        <v/>
      </c>
      <c r="W23" s="165">
        <f>IF(AND(ISNUMBER($D23),ISNUMBER($E23),W$4&gt;=$D23,W$4&lt;=$E23,WEEKDAY(W$4,2)&lt;=5,COUNTIF('Sources &amp; Change Log'!$J$2:$J$5,W$4)=0,COUNTIFS('Team Calendar'!$A$5:$A$12,$F23,'Team Calendar'!$C$5:$C$12,W$4)=0),1,"")</f>
        <v/>
      </c>
      <c r="X23" s="166">
        <f>IF(AND(ISNUMBER($D23),ISNUMBER($E23),X$4&gt;=$D23,X$4&lt;=$E23,WEEKDAY(X$4,2)&lt;=5,COUNTIF('Sources &amp; Change Log'!$J$2:$J$5,X$4)=0,COUNTIFS('Team Calendar'!$A$5:$A$12,$F23,'Team Calendar'!$C$5:$C$12,X$4)=0),1,"")</f>
        <v/>
      </c>
      <c r="Y23" s="166">
        <f>IF(AND(ISNUMBER($D23),ISNUMBER($E23),Y$4&gt;=$D23,Y$4&lt;=$E23,WEEKDAY(Y$4,2)&lt;=5,COUNTIF('Sources &amp; Change Log'!$J$2:$J$5,Y$4)=0,COUNTIFS('Team Calendar'!$A$5:$A$12,$F23,'Team Calendar'!$C$5:$C$12,Y$4)=0),1,"")</f>
        <v/>
      </c>
      <c r="Z23" s="165">
        <f>IF(AND(ISNUMBER($D23),ISNUMBER($E23),Z$4&gt;=$D23,Z$4&lt;=$E23,WEEKDAY(Z$4,2)&lt;=5,COUNTIF('Sources &amp; Change Log'!$J$2:$J$5,Z$4)=0,COUNTIFS('Team Calendar'!$A$5:$A$12,$F23,'Team Calendar'!$C$5:$C$12,Z$4)=0),1,"")</f>
        <v/>
      </c>
      <c r="AA23" s="165">
        <f>IF(AND(ISNUMBER($D23),ISNUMBER($E23),AA$4&gt;=$D23,AA$4&lt;=$E23,WEEKDAY(AA$4,2)&lt;=5,COUNTIF('Sources &amp; Change Log'!$J$2:$J$5,AA$4)=0,COUNTIFS('Team Calendar'!$A$5:$A$12,$F23,'Team Calendar'!$C$5:$C$12,AA$4)=0),1,"")</f>
        <v/>
      </c>
      <c r="AB23" s="165">
        <f>IF(AND(ISNUMBER($D23),ISNUMBER($E23),AB$4&gt;=$D23,AB$4&lt;=$E23,WEEKDAY(AB$4,2)&lt;=5,COUNTIF('Sources &amp; Change Log'!$J$2:$J$5,AB$4)=0,COUNTIFS('Team Calendar'!$A$5:$A$12,$F23,'Team Calendar'!$C$5:$C$12,AB$4)=0),1,"")</f>
        <v/>
      </c>
      <c r="AC23" s="165">
        <f>IF(AND(ISNUMBER($D23),ISNUMBER($E23),AC$4&gt;=$D23,AC$4&lt;=$E23,WEEKDAY(AC$4,2)&lt;=5,COUNTIF('Sources &amp; Change Log'!$J$2:$J$5,AC$4)=0,COUNTIFS('Team Calendar'!$A$5:$A$12,$F23,'Team Calendar'!$C$5:$C$12,AC$4)=0),1,"")</f>
        <v/>
      </c>
      <c r="AD23" s="165">
        <f>IF(AND(ISNUMBER($D23),ISNUMBER($E23),AD$4&gt;=$D23,AD$4&lt;=$E23,WEEKDAY(AD$4,2)&lt;=5,COUNTIF('Sources &amp; Change Log'!$J$2:$J$5,AD$4)=0,COUNTIFS('Team Calendar'!$A$5:$A$12,$F23,'Team Calendar'!$C$5:$C$12,AD$4)=0),1,"")</f>
        <v/>
      </c>
      <c r="AE23" s="166">
        <f>IF(AND(ISNUMBER($D23),ISNUMBER($E23),AE$4&gt;=$D23,AE$4&lt;=$E23,WEEKDAY(AE$4,2)&lt;=5,COUNTIF('Sources &amp; Change Log'!$J$2:$J$5,AE$4)=0,COUNTIFS('Team Calendar'!$A$5:$A$12,$F23,'Team Calendar'!$C$5:$C$12,AE$4)=0),1,"")</f>
        <v/>
      </c>
      <c r="AF23" s="166">
        <f>IF(AND(ISNUMBER($D23),ISNUMBER($E23),AF$4&gt;=$D23,AF$4&lt;=$E23,WEEKDAY(AF$4,2)&lt;=5,COUNTIF('Sources &amp; Change Log'!$J$2:$J$5,AF$4)=0,COUNTIFS('Team Calendar'!$A$5:$A$12,$F23,'Team Calendar'!$C$5:$C$12,AF$4)=0),1,"")</f>
        <v/>
      </c>
      <c r="AG23" s="165">
        <f>IF(AND(ISNUMBER($D23),ISNUMBER($E23),AG$4&gt;=$D23,AG$4&lt;=$E23,WEEKDAY(AG$4,2)&lt;=5,COUNTIF('Sources &amp; Change Log'!$J$2:$J$5,AG$4)=0,COUNTIFS('Team Calendar'!$A$5:$A$12,$F23,'Team Calendar'!$C$5:$C$12,AG$4)=0),1,"")</f>
        <v/>
      </c>
      <c r="AH23" s="165">
        <f>IF(AND(ISNUMBER($D23),ISNUMBER($E23),AH$4&gt;=$D23,AH$4&lt;=$E23,WEEKDAY(AH$4,2)&lt;=5,COUNTIF('Sources &amp; Change Log'!$J$2:$J$5,AH$4)=0,COUNTIFS('Team Calendar'!$A$5:$A$12,$F23,'Team Calendar'!$C$5:$C$12,AH$4)=0),1,"")</f>
        <v/>
      </c>
      <c r="AI23" s="165">
        <f>IF(AND(ISNUMBER($D23),ISNUMBER($E23),AI$4&gt;=$D23,AI$4&lt;=$E23,WEEKDAY(AI$4,2)&lt;=5,COUNTIF('Sources &amp; Change Log'!$J$2:$J$5,AI$4)=0,COUNTIFS('Team Calendar'!$A$5:$A$12,$F23,'Team Calendar'!$C$5:$C$12,AI$4)=0),1,"")</f>
        <v/>
      </c>
    </row>
    <row r="24" ht="24" customHeight="1">
      <c r="A24" s="13">
        <f>WBS!A23</f>
        <v/>
      </c>
      <c r="B24" s="13">
        <f>WBS!B23</f>
        <v/>
      </c>
      <c r="C24" s="13">
        <f>WBS!G23</f>
        <v/>
      </c>
      <c r="D24" s="164">
        <f>IF(WBS!H23="","",WBS!H23)</f>
        <v/>
      </c>
      <c r="E24" s="164">
        <f>IF(WBS!I23="","",WBS!I23)</f>
        <v/>
      </c>
      <c r="F24" s="13">
        <f>WBS!L23</f>
        <v/>
      </c>
      <c r="G24" s="165">
        <f>IF(AND(ISNUMBER($D24),ISNUMBER($E24),G$4&gt;=$D24,G$4&lt;=$E24,WEEKDAY(G$4,2)&lt;=5,COUNTIF('Sources &amp; Change Log'!$J$2:$J$5,G$4)=0,COUNTIFS('Team Calendar'!$A$5:$A$12,$F24,'Team Calendar'!$C$5:$C$12,G$4)=0),1,"")</f>
        <v/>
      </c>
      <c r="H24" s="165">
        <f>IF(AND(ISNUMBER($D24),ISNUMBER($E24),H$4&gt;=$D24,H$4&lt;=$E24,WEEKDAY(H$4,2)&lt;=5,COUNTIF('Sources &amp; Change Log'!$J$2:$J$5,H$4)=0,COUNTIFS('Team Calendar'!$A$5:$A$12,$F24,'Team Calendar'!$C$5:$C$12,H$4)=0),1,"")</f>
        <v/>
      </c>
      <c r="I24" s="165">
        <f>IF(AND(ISNUMBER($D24),ISNUMBER($E24),I$4&gt;=$D24,I$4&lt;=$E24,WEEKDAY(I$4,2)&lt;=5,COUNTIF('Sources &amp; Change Log'!$J$2:$J$5,I$4)=0,COUNTIFS('Team Calendar'!$A$5:$A$12,$F24,'Team Calendar'!$C$5:$C$12,I$4)=0),1,"")</f>
        <v/>
      </c>
      <c r="J24" s="166">
        <f>IF(AND(ISNUMBER($D24),ISNUMBER($E24),J$4&gt;=$D24,J$4&lt;=$E24,WEEKDAY(J$4,2)&lt;=5,COUNTIF('Sources &amp; Change Log'!$J$2:$J$5,J$4)=0,COUNTIFS('Team Calendar'!$A$5:$A$12,$F24,'Team Calendar'!$C$5:$C$12,J$4)=0),1,"")</f>
        <v/>
      </c>
      <c r="K24" s="166">
        <f>IF(AND(ISNUMBER($D24),ISNUMBER($E24),K$4&gt;=$D24,K$4&lt;=$E24,WEEKDAY(K$4,2)&lt;=5,COUNTIF('Sources &amp; Change Log'!$J$2:$J$5,K$4)=0,COUNTIFS('Team Calendar'!$A$5:$A$12,$F24,'Team Calendar'!$C$5:$C$12,K$4)=0),1,"")</f>
        <v/>
      </c>
      <c r="L24" s="165">
        <f>IF(AND(ISNUMBER($D24),ISNUMBER($E24),L$4&gt;=$D24,L$4&lt;=$E24,WEEKDAY(L$4,2)&lt;=5,COUNTIF('Sources &amp; Change Log'!$J$2:$J$5,L$4)=0,COUNTIFS('Team Calendar'!$A$5:$A$12,$F24,'Team Calendar'!$C$5:$C$12,L$4)=0),1,"")</f>
        <v/>
      </c>
      <c r="M24" s="167">
        <f>IF(AND(ISNUMBER($D24),ISNUMBER($E24),M$4&gt;=$D24,M$4&lt;=$E24,WEEKDAY(M$4,2)&lt;=5,COUNTIF('Sources &amp; Change Log'!$J$2:$J$5,M$4)=0,COUNTIFS('Team Calendar'!$A$5:$A$12,$F24,'Team Calendar'!$C$5:$C$12,M$4)=0),1,"")</f>
        <v/>
      </c>
      <c r="N24" s="165">
        <f>IF(AND(ISNUMBER($D24),ISNUMBER($E24),N$4&gt;=$D24,N$4&lt;=$E24,WEEKDAY(N$4,2)&lt;=5,COUNTIF('Sources &amp; Change Log'!$J$2:$J$5,N$4)=0,COUNTIFS('Team Calendar'!$A$5:$A$12,$F24,'Team Calendar'!$C$5:$C$12,N$4)=0),1,"")</f>
        <v/>
      </c>
      <c r="O24" s="165">
        <f>IF(AND(ISNUMBER($D24),ISNUMBER($E24),O$4&gt;=$D24,O$4&lt;=$E24,WEEKDAY(O$4,2)&lt;=5,COUNTIF('Sources &amp; Change Log'!$J$2:$J$5,O$4)=0,COUNTIFS('Team Calendar'!$A$5:$A$12,$F24,'Team Calendar'!$C$5:$C$12,O$4)=0),1,"")</f>
        <v/>
      </c>
      <c r="P24" s="165">
        <f>IF(AND(ISNUMBER($D24),ISNUMBER($E24),P$4&gt;=$D24,P$4&lt;=$E24,WEEKDAY(P$4,2)&lt;=5,COUNTIF('Sources &amp; Change Log'!$J$2:$J$5,P$4)=0,COUNTIFS('Team Calendar'!$A$5:$A$12,$F24,'Team Calendar'!$C$5:$C$12,P$4)=0),1,"")</f>
        <v/>
      </c>
      <c r="Q24" s="166">
        <f>IF(AND(ISNUMBER($D24),ISNUMBER($E24),Q$4&gt;=$D24,Q$4&lt;=$E24,WEEKDAY(Q$4,2)&lt;=5,COUNTIF('Sources &amp; Change Log'!$J$2:$J$5,Q$4)=0,COUNTIFS('Team Calendar'!$A$5:$A$12,$F24,'Team Calendar'!$C$5:$C$12,Q$4)=0),1,"")</f>
        <v/>
      </c>
      <c r="R24" s="166">
        <f>IF(AND(ISNUMBER($D24),ISNUMBER($E24),R$4&gt;=$D24,R$4&lt;=$E24,WEEKDAY(R$4,2)&lt;=5,COUNTIF('Sources &amp; Change Log'!$J$2:$J$5,R$4)=0,COUNTIFS('Team Calendar'!$A$5:$A$12,$F24,'Team Calendar'!$C$5:$C$12,R$4)=0),1,"")</f>
        <v/>
      </c>
      <c r="S24" s="165">
        <f>IF(AND(ISNUMBER($D24),ISNUMBER($E24),S$4&gt;=$D24,S$4&lt;=$E24,WEEKDAY(S$4,2)&lt;=5,COUNTIF('Sources &amp; Change Log'!$J$2:$J$5,S$4)=0,COUNTIFS('Team Calendar'!$A$5:$A$12,$F24,'Team Calendar'!$C$5:$C$12,S$4)=0),1,"")</f>
        <v/>
      </c>
      <c r="T24" s="165">
        <f>IF(AND(ISNUMBER($D24),ISNUMBER($E24),T$4&gt;=$D24,T$4&lt;=$E24,WEEKDAY(T$4,2)&lt;=5,COUNTIF('Sources &amp; Change Log'!$J$2:$J$5,T$4)=0,COUNTIFS('Team Calendar'!$A$5:$A$12,$F24,'Team Calendar'!$C$5:$C$12,T$4)=0),1,"")</f>
        <v/>
      </c>
      <c r="U24" s="165">
        <f>IF(AND(ISNUMBER($D24),ISNUMBER($E24),U$4&gt;=$D24,U$4&lt;=$E24,WEEKDAY(U$4,2)&lt;=5,COUNTIF('Sources &amp; Change Log'!$J$2:$J$5,U$4)=0,COUNTIFS('Team Calendar'!$A$5:$A$12,$F24,'Team Calendar'!$C$5:$C$12,U$4)=0),1,"")</f>
        <v/>
      </c>
      <c r="V24" s="165">
        <f>IF(AND(ISNUMBER($D24),ISNUMBER($E24),V$4&gt;=$D24,V$4&lt;=$E24,WEEKDAY(V$4,2)&lt;=5,COUNTIF('Sources &amp; Change Log'!$J$2:$J$5,V$4)=0,COUNTIFS('Team Calendar'!$A$5:$A$12,$F24,'Team Calendar'!$C$5:$C$12,V$4)=0),1,"")</f>
        <v/>
      </c>
      <c r="W24" s="165">
        <f>IF(AND(ISNUMBER($D24),ISNUMBER($E24),W$4&gt;=$D24,W$4&lt;=$E24,WEEKDAY(W$4,2)&lt;=5,COUNTIF('Sources &amp; Change Log'!$J$2:$J$5,W$4)=0,COUNTIFS('Team Calendar'!$A$5:$A$12,$F24,'Team Calendar'!$C$5:$C$12,W$4)=0),1,"")</f>
        <v/>
      </c>
      <c r="X24" s="166">
        <f>IF(AND(ISNUMBER($D24),ISNUMBER($E24),X$4&gt;=$D24,X$4&lt;=$E24,WEEKDAY(X$4,2)&lt;=5,COUNTIF('Sources &amp; Change Log'!$J$2:$J$5,X$4)=0,COUNTIFS('Team Calendar'!$A$5:$A$12,$F24,'Team Calendar'!$C$5:$C$12,X$4)=0),1,"")</f>
        <v/>
      </c>
      <c r="Y24" s="166">
        <f>IF(AND(ISNUMBER($D24),ISNUMBER($E24),Y$4&gt;=$D24,Y$4&lt;=$E24,WEEKDAY(Y$4,2)&lt;=5,COUNTIF('Sources &amp; Change Log'!$J$2:$J$5,Y$4)=0,COUNTIFS('Team Calendar'!$A$5:$A$12,$F24,'Team Calendar'!$C$5:$C$12,Y$4)=0),1,"")</f>
        <v/>
      </c>
      <c r="Z24" s="165">
        <f>IF(AND(ISNUMBER($D24),ISNUMBER($E24),Z$4&gt;=$D24,Z$4&lt;=$E24,WEEKDAY(Z$4,2)&lt;=5,COUNTIF('Sources &amp; Change Log'!$J$2:$J$5,Z$4)=0,COUNTIFS('Team Calendar'!$A$5:$A$12,$F24,'Team Calendar'!$C$5:$C$12,Z$4)=0),1,"")</f>
        <v/>
      </c>
      <c r="AA24" s="165">
        <f>IF(AND(ISNUMBER($D24),ISNUMBER($E24),AA$4&gt;=$D24,AA$4&lt;=$E24,WEEKDAY(AA$4,2)&lt;=5,COUNTIF('Sources &amp; Change Log'!$J$2:$J$5,AA$4)=0,COUNTIFS('Team Calendar'!$A$5:$A$12,$F24,'Team Calendar'!$C$5:$C$12,AA$4)=0),1,"")</f>
        <v/>
      </c>
      <c r="AB24" s="165">
        <f>IF(AND(ISNUMBER($D24),ISNUMBER($E24),AB$4&gt;=$D24,AB$4&lt;=$E24,WEEKDAY(AB$4,2)&lt;=5,COUNTIF('Sources &amp; Change Log'!$J$2:$J$5,AB$4)=0,COUNTIFS('Team Calendar'!$A$5:$A$12,$F24,'Team Calendar'!$C$5:$C$12,AB$4)=0),1,"")</f>
        <v/>
      </c>
      <c r="AC24" s="165">
        <f>IF(AND(ISNUMBER($D24),ISNUMBER($E24),AC$4&gt;=$D24,AC$4&lt;=$E24,WEEKDAY(AC$4,2)&lt;=5,COUNTIF('Sources &amp; Change Log'!$J$2:$J$5,AC$4)=0,COUNTIFS('Team Calendar'!$A$5:$A$12,$F24,'Team Calendar'!$C$5:$C$12,AC$4)=0),1,"")</f>
        <v/>
      </c>
      <c r="AD24" s="165">
        <f>IF(AND(ISNUMBER($D24),ISNUMBER($E24),AD$4&gt;=$D24,AD$4&lt;=$E24,WEEKDAY(AD$4,2)&lt;=5,COUNTIF('Sources &amp; Change Log'!$J$2:$J$5,AD$4)=0,COUNTIFS('Team Calendar'!$A$5:$A$12,$F24,'Team Calendar'!$C$5:$C$12,AD$4)=0),1,"")</f>
        <v/>
      </c>
      <c r="AE24" s="166">
        <f>IF(AND(ISNUMBER($D24),ISNUMBER($E24),AE$4&gt;=$D24,AE$4&lt;=$E24,WEEKDAY(AE$4,2)&lt;=5,COUNTIF('Sources &amp; Change Log'!$J$2:$J$5,AE$4)=0,COUNTIFS('Team Calendar'!$A$5:$A$12,$F24,'Team Calendar'!$C$5:$C$12,AE$4)=0),1,"")</f>
        <v/>
      </c>
      <c r="AF24" s="166">
        <f>IF(AND(ISNUMBER($D24),ISNUMBER($E24),AF$4&gt;=$D24,AF$4&lt;=$E24,WEEKDAY(AF$4,2)&lt;=5,COUNTIF('Sources &amp; Change Log'!$J$2:$J$5,AF$4)=0,COUNTIFS('Team Calendar'!$A$5:$A$12,$F24,'Team Calendar'!$C$5:$C$12,AF$4)=0),1,"")</f>
        <v/>
      </c>
      <c r="AG24" s="165">
        <f>IF(AND(ISNUMBER($D24),ISNUMBER($E24),AG$4&gt;=$D24,AG$4&lt;=$E24,WEEKDAY(AG$4,2)&lt;=5,COUNTIF('Sources &amp; Change Log'!$J$2:$J$5,AG$4)=0,COUNTIFS('Team Calendar'!$A$5:$A$12,$F24,'Team Calendar'!$C$5:$C$12,AG$4)=0),1,"")</f>
        <v/>
      </c>
      <c r="AH24" s="165">
        <f>IF(AND(ISNUMBER($D24),ISNUMBER($E24),AH$4&gt;=$D24,AH$4&lt;=$E24,WEEKDAY(AH$4,2)&lt;=5,COUNTIF('Sources &amp; Change Log'!$J$2:$J$5,AH$4)=0,COUNTIFS('Team Calendar'!$A$5:$A$12,$F24,'Team Calendar'!$C$5:$C$12,AH$4)=0),1,"")</f>
        <v/>
      </c>
      <c r="AI24" s="165">
        <f>IF(AND(ISNUMBER($D24),ISNUMBER($E24),AI$4&gt;=$D24,AI$4&lt;=$E24,WEEKDAY(AI$4,2)&lt;=5,COUNTIF('Sources &amp; Change Log'!$J$2:$J$5,AI$4)=0,COUNTIFS('Team Calendar'!$A$5:$A$12,$F24,'Team Calendar'!$C$5:$C$12,AI$4)=0),1,"")</f>
        <v/>
      </c>
    </row>
    <row r="25" ht="24" customHeight="1">
      <c r="A25" s="13">
        <f>WBS!A24</f>
        <v/>
      </c>
      <c r="B25" s="13">
        <f>WBS!B24</f>
        <v/>
      </c>
      <c r="C25" s="13">
        <f>WBS!G24</f>
        <v/>
      </c>
      <c r="D25" s="164">
        <f>IF(WBS!H24="","",WBS!H24)</f>
        <v/>
      </c>
      <c r="E25" s="164">
        <f>IF(WBS!I24="","",WBS!I24)</f>
        <v/>
      </c>
      <c r="F25" s="13">
        <f>WBS!L24</f>
        <v/>
      </c>
      <c r="G25" s="165">
        <f>IF(AND(ISNUMBER($D25),ISNUMBER($E25),G$4&gt;=$D25,G$4&lt;=$E25,WEEKDAY(G$4,2)&lt;=5,COUNTIF('Sources &amp; Change Log'!$J$2:$J$5,G$4)=0,COUNTIFS('Team Calendar'!$A$5:$A$12,$F25,'Team Calendar'!$C$5:$C$12,G$4)=0),1,"")</f>
        <v/>
      </c>
      <c r="H25" s="165">
        <f>IF(AND(ISNUMBER($D25),ISNUMBER($E25),H$4&gt;=$D25,H$4&lt;=$E25,WEEKDAY(H$4,2)&lt;=5,COUNTIF('Sources &amp; Change Log'!$J$2:$J$5,H$4)=0,COUNTIFS('Team Calendar'!$A$5:$A$12,$F25,'Team Calendar'!$C$5:$C$12,H$4)=0),1,"")</f>
        <v/>
      </c>
      <c r="I25" s="165">
        <f>IF(AND(ISNUMBER($D25),ISNUMBER($E25),I$4&gt;=$D25,I$4&lt;=$E25,WEEKDAY(I$4,2)&lt;=5,COUNTIF('Sources &amp; Change Log'!$J$2:$J$5,I$4)=0,COUNTIFS('Team Calendar'!$A$5:$A$12,$F25,'Team Calendar'!$C$5:$C$12,I$4)=0),1,"")</f>
        <v/>
      </c>
      <c r="J25" s="166">
        <f>IF(AND(ISNUMBER($D25),ISNUMBER($E25),J$4&gt;=$D25,J$4&lt;=$E25,WEEKDAY(J$4,2)&lt;=5,COUNTIF('Sources &amp; Change Log'!$J$2:$J$5,J$4)=0,COUNTIFS('Team Calendar'!$A$5:$A$12,$F25,'Team Calendar'!$C$5:$C$12,J$4)=0),1,"")</f>
        <v/>
      </c>
      <c r="K25" s="166">
        <f>IF(AND(ISNUMBER($D25),ISNUMBER($E25),K$4&gt;=$D25,K$4&lt;=$E25,WEEKDAY(K$4,2)&lt;=5,COUNTIF('Sources &amp; Change Log'!$J$2:$J$5,K$4)=0,COUNTIFS('Team Calendar'!$A$5:$A$12,$F25,'Team Calendar'!$C$5:$C$12,K$4)=0),1,"")</f>
        <v/>
      </c>
      <c r="L25" s="165">
        <f>IF(AND(ISNUMBER($D25),ISNUMBER($E25),L$4&gt;=$D25,L$4&lt;=$E25,WEEKDAY(L$4,2)&lt;=5,COUNTIF('Sources &amp; Change Log'!$J$2:$J$5,L$4)=0,COUNTIFS('Team Calendar'!$A$5:$A$12,$F25,'Team Calendar'!$C$5:$C$12,L$4)=0),1,"")</f>
        <v/>
      </c>
      <c r="M25" s="167">
        <f>IF(AND(ISNUMBER($D25),ISNUMBER($E25),M$4&gt;=$D25,M$4&lt;=$E25,WEEKDAY(M$4,2)&lt;=5,COUNTIF('Sources &amp; Change Log'!$J$2:$J$5,M$4)=0,COUNTIFS('Team Calendar'!$A$5:$A$12,$F25,'Team Calendar'!$C$5:$C$12,M$4)=0),1,"")</f>
        <v/>
      </c>
      <c r="N25" s="165">
        <f>IF(AND(ISNUMBER($D25),ISNUMBER($E25),N$4&gt;=$D25,N$4&lt;=$E25,WEEKDAY(N$4,2)&lt;=5,COUNTIF('Sources &amp; Change Log'!$J$2:$J$5,N$4)=0,COUNTIFS('Team Calendar'!$A$5:$A$12,$F25,'Team Calendar'!$C$5:$C$12,N$4)=0),1,"")</f>
        <v/>
      </c>
      <c r="O25" s="165">
        <f>IF(AND(ISNUMBER($D25),ISNUMBER($E25),O$4&gt;=$D25,O$4&lt;=$E25,WEEKDAY(O$4,2)&lt;=5,COUNTIF('Sources &amp; Change Log'!$J$2:$J$5,O$4)=0,COUNTIFS('Team Calendar'!$A$5:$A$12,$F25,'Team Calendar'!$C$5:$C$12,O$4)=0),1,"")</f>
        <v/>
      </c>
      <c r="P25" s="165">
        <f>IF(AND(ISNUMBER($D25),ISNUMBER($E25),P$4&gt;=$D25,P$4&lt;=$E25,WEEKDAY(P$4,2)&lt;=5,COUNTIF('Sources &amp; Change Log'!$J$2:$J$5,P$4)=0,COUNTIFS('Team Calendar'!$A$5:$A$12,$F25,'Team Calendar'!$C$5:$C$12,P$4)=0),1,"")</f>
        <v/>
      </c>
      <c r="Q25" s="166">
        <f>IF(AND(ISNUMBER($D25),ISNUMBER($E25),Q$4&gt;=$D25,Q$4&lt;=$E25,WEEKDAY(Q$4,2)&lt;=5,COUNTIF('Sources &amp; Change Log'!$J$2:$J$5,Q$4)=0,COUNTIFS('Team Calendar'!$A$5:$A$12,$F25,'Team Calendar'!$C$5:$C$12,Q$4)=0),1,"")</f>
        <v/>
      </c>
      <c r="R25" s="166">
        <f>IF(AND(ISNUMBER($D25),ISNUMBER($E25),R$4&gt;=$D25,R$4&lt;=$E25,WEEKDAY(R$4,2)&lt;=5,COUNTIF('Sources &amp; Change Log'!$J$2:$J$5,R$4)=0,COUNTIFS('Team Calendar'!$A$5:$A$12,$F25,'Team Calendar'!$C$5:$C$12,R$4)=0),1,"")</f>
        <v/>
      </c>
      <c r="S25" s="165">
        <f>IF(AND(ISNUMBER($D25),ISNUMBER($E25),S$4&gt;=$D25,S$4&lt;=$E25,WEEKDAY(S$4,2)&lt;=5,COUNTIF('Sources &amp; Change Log'!$J$2:$J$5,S$4)=0,COUNTIFS('Team Calendar'!$A$5:$A$12,$F25,'Team Calendar'!$C$5:$C$12,S$4)=0),1,"")</f>
        <v/>
      </c>
      <c r="T25" s="165">
        <f>IF(AND(ISNUMBER($D25),ISNUMBER($E25),T$4&gt;=$D25,T$4&lt;=$E25,WEEKDAY(T$4,2)&lt;=5,COUNTIF('Sources &amp; Change Log'!$J$2:$J$5,T$4)=0,COUNTIFS('Team Calendar'!$A$5:$A$12,$F25,'Team Calendar'!$C$5:$C$12,T$4)=0),1,"")</f>
        <v/>
      </c>
      <c r="U25" s="165">
        <f>IF(AND(ISNUMBER($D25),ISNUMBER($E25),U$4&gt;=$D25,U$4&lt;=$E25,WEEKDAY(U$4,2)&lt;=5,COUNTIF('Sources &amp; Change Log'!$J$2:$J$5,U$4)=0,COUNTIFS('Team Calendar'!$A$5:$A$12,$F25,'Team Calendar'!$C$5:$C$12,U$4)=0),1,"")</f>
        <v/>
      </c>
      <c r="V25" s="165">
        <f>IF(AND(ISNUMBER($D25),ISNUMBER($E25),V$4&gt;=$D25,V$4&lt;=$E25,WEEKDAY(V$4,2)&lt;=5,COUNTIF('Sources &amp; Change Log'!$J$2:$J$5,V$4)=0,COUNTIFS('Team Calendar'!$A$5:$A$12,$F25,'Team Calendar'!$C$5:$C$12,V$4)=0),1,"")</f>
        <v/>
      </c>
      <c r="W25" s="165">
        <f>IF(AND(ISNUMBER($D25),ISNUMBER($E25),W$4&gt;=$D25,W$4&lt;=$E25,WEEKDAY(W$4,2)&lt;=5,COUNTIF('Sources &amp; Change Log'!$J$2:$J$5,W$4)=0,COUNTIFS('Team Calendar'!$A$5:$A$12,$F25,'Team Calendar'!$C$5:$C$12,W$4)=0),1,"")</f>
        <v/>
      </c>
      <c r="X25" s="166">
        <f>IF(AND(ISNUMBER($D25),ISNUMBER($E25),X$4&gt;=$D25,X$4&lt;=$E25,WEEKDAY(X$4,2)&lt;=5,COUNTIF('Sources &amp; Change Log'!$J$2:$J$5,X$4)=0,COUNTIFS('Team Calendar'!$A$5:$A$12,$F25,'Team Calendar'!$C$5:$C$12,X$4)=0),1,"")</f>
        <v/>
      </c>
      <c r="Y25" s="166">
        <f>IF(AND(ISNUMBER($D25),ISNUMBER($E25),Y$4&gt;=$D25,Y$4&lt;=$E25,WEEKDAY(Y$4,2)&lt;=5,COUNTIF('Sources &amp; Change Log'!$J$2:$J$5,Y$4)=0,COUNTIFS('Team Calendar'!$A$5:$A$12,$F25,'Team Calendar'!$C$5:$C$12,Y$4)=0),1,"")</f>
        <v/>
      </c>
      <c r="Z25" s="165">
        <f>IF(AND(ISNUMBER($D25),ISNUMBER($E25),Z$4&gt;=$D25,Z$4&lt;=$E25,WEEKDAY(Z$4,2)&lt;=5,COUNTIF('Sources &amp; Change Log'!$J$2:$J$5,Z$4)=0,COUNTIFS('Team Calendar'!$A$5:$A$12,$F25,'Team Calendar'!$C$5:$C$12,Z$4)=0),1,"")</f>
        <v/>
      </c>
      <c r="AA25" s="165">
        <f>IF(AND(ISNUMBER($D25),ISNUMBER($E25),AA$4&gt;=$D25,AA$4&lt;=$E25,WEEKDAY(AA$4,2)&lt;=5,COUNTIF('Sources &amp; Change Log'!$J$2:$J$5,AA$4)=0,COUNTIFS('Team Calendar'!$A$5:$A$12,$F25,'Team Calendar'!$C$5:$C$12,AA$4)=0),1,"")</f>
        <v/>
      </c>
      <c r="AB25" s="165">
        <f>IF(AND(ISNUMBER($D25),ISNUMBER($E25),AB$4&gt;=$D25,AB$4&lt;=$E25,WEEKDAY(AB$4,2)&lt;=5,COUNTIF('Sources &amp; Change Log'!$J$2:$J$5,AB$4)=0,COUNTIFS('Team Calendar'!$A$5:$A$12,$F25,'Team Calendar'!$C$5:$C$12,AB$4)=0),1,"")</f>
        <v/>
      </c>
      <c r="AC25" s="165">
        <f>IF(AND(ISNUMBER($D25),ISNUMBER($E25),AC$4&gt;=$D25,AC$4&lt;=$E25,WEEKDAY(AC$4,2)&lt;=5,COUNTIF('Sources &amp; Change Log'!$J$2:$J$5,AC$4)=0,COUNTIFS('Team Calendar'!$A$5:$A$12,$F25,'Team Calendar'!$C$5:$C$12,AC$4)=0),1,"")</f>
        <v/>
      </c>
      <c r="AD25" s="165">
        <f>IF(AND(ISNUMBER($D25),ISNUMBER($E25),AD$4&gt;=$D25,AD$4&lt;=$E25,WEEKDAY(AD$4,2)&lt;=5,COUNTIF('Sources &amp; Change Log'!$J$2:$J$5,AD$4)=0,COUNTIFS('Team Calendar'!$A$5:$A$12,$F25,'Team Calendar'!$C$5:$C$12,AD$4)=0),1,"")</f>
        <v/>
      </c>
      <c r="AE25" s="166">
        <f>IF(AND(ISNUMBER($D25),ISNUMBER($E25),AE$4&gt;=$D25,AE$4&lt;=$E25,WEEKDAY(AE$4,2)&lt;=5,COUNTIF('Sources &amp; Change Log'!$J$2:$J$5,AE$4)=0,COUNTIFS('Team Calendar'!$A$5:$A$12,$F25,'Team Calendar'!$C$5:$C$12,AE$4)=0),1,"")</f>
        <v/>
      </c>
      <c r="AF25" s="166">
        <f>IF(AND(ISNUMBER($D25),ISNUMBER($E25),AF$4&gt;=$D25,AF$4&lt;=$E25,WEEKDAY(AF$4,2)&lt;=5,COUNTIF('Sources &amp; Change Log'!$J$2:$J$5,AF$4)=0,COUNTIFS('Team Calendar'!$A$5:$A$12,$F25,'Team Calendar'!$C$5:$C$12,AF$4)=0),1,"")</f>
        <v/>
      </c>
      <c r="AG25" s="165">
        <f>IF(AND(ISNUMBER($D25),ISNUMBER($E25),AG$4&gt;=$D25,AG$4&lt;=$E25,WEEKDAY(AG$4,2)&lt;=5,COUNTIF('Sources &amp; Change Log'!$J$2:$J$5,AG$4)=0,COUNTIFS('Team Calendar'!$A$5:$A$12,$F25,'Team Calendar'!$C$5:$C$12,AG$4)=0),1,"")</f>
        <v/>
      </c>
      <c r="AH25" s="165">
        <f>IF(AND(ISNUMBER($D25),ISNUMBER($E25),AH$4&gt;=$D25,AH$4&lt;=$E25,WEEKDAY(AH$4,2)&lt;=5,COUNTIF('Sources &amp; Change Log'!$J$2:$J$5,AH$4)=0,COUNTIFS('Team Calendar'!$A$5:$A$12,$F25,'Team Calendar'!$C$5:$C$12,AH$4)=0),1,"")</f>
        <v/>
      </c>
      <c r="AI25" s="165">
        <f>IF(AND(ISNUMBER($D25),ISNUMBER($E25),AI$4&gt;=$D25,AI$4&lt;=$E25,WEEKDAY(AI$4,2)&lt;=5,COUNTIF('Sources &amp; Change Log'!$J$2:$J$5,AI$4)=0,COUNTIFS('Team Calendar'!$A$5:$A$12,$F25,'Team Calendar'!$C$5:$C$12,AI$4)=0),1,"")</f>
        <v/>
      </c>
    </row>
    <row r="26" ht="24" customHeight="1">
      <c r="A26" s="13">
        <f>WBS!A25</f>
        <v/>
      </c>
      <c r="B26" s="13">
        <f>WBS!B25</f>
        <v/>
      </c>
      <c r="C26" s="13">
        <f>WBS!G25</f>
        <v/>
      </c>
      <c r="D26" s="164">
        <f>IF(WBS!H25="","",WBS!H25)</f>
        <v/>
      </c>
      <c r="E26" s="164">
        <f>IF(WBS!I25="","",WBS!I25)</f>
        <v/>
      </c>
      <c r="F26" s="13">
        <f>WBS!L25</f>
        <v/>
      </c>
      <c r="G26" s="165">
        <f>IF(AND(ISNUMBER($D26),ISNUMBER($E26),G$4&gt;=$D26,G$4&lt;=$E26,WEEKDAY(G$4,2)&lt;=5,COUNTIF('Sources &amp; Change Log'!$J$2:$J$5,G$4)=0,COUNTIFS('Team Calendar'!$A$5:$A$12,$F26,'Team Calendar'!$C$5:$C$12,G$4)=0),1,"")</f>
        <v/>
      </c>
      <c r="H26" s="165">
        <f>IF(AND(ISNUMBER($D26),ISNUMBER($E26),H$4&gt;=$D26,H$4&lt;=$E26,WEEKDAY(H$4,2)&lt;=5,COUNTIF('Sources &amp; Change Log'!$J$2:$J$5,H$4)=0,COUNTIFS('Team Calendar'!$A$5:$A$12,$F26,'Team Calendar'!$C$5:$C$12,H$4)=0),1,"")</f>
        <v/>
      </c>
      <c r="I26" s="165">
        <f>IF(AND(ISNUMBER($D26),ISNUMBER($E26),I$4&gt;=$D26,I$4&lt;=$E26,WEEKDAY(I$4,2)&lt;=5,COUNTIF('Sources &amp; Change Log'!$J$2:$J$5,I$4)=0,COUNTIFS('Team Calendar'!$A$5:$A$12,$F26,'Team Calendar'!$C$5:$C$12,I$4)=0),1,"")</f>
        <v/>
      </c>
      <c r="J26" s="166">
        <f>IF(AND(ISNUMBER($D26),ISNUMBER($E26),J$4&gt;=$D26,J$4&lt;=$E26,WEEKDAY(J$4,2)&lt;=5,COUNTIF('Sources &amp; Change Log'!$J$2:$J$5,J$4)=0,COUNTIFS('Team Calendar'!$A$5:$A$12,$F26,'Team Calendar'!$C$5:$C$12,J$4)=0),1,"")</f>
        <v/>
      </c>
      <c r="K26" s="166">
        <f>IF(AND(ISNUMBER($D26),ISNUMBER($E26),K$4&gt;=$D26,K$4&lt;=$E26,WEEKDAY(K$4,2)&lt;=5,COUNTIF('Sources &amp; Change Log'!$J$2:$J$5,K$4)=0,COUNTIFS('Team Calendar'!$A$5:$A$12,$F26,'Team Calendar'!$C$5:$C$12,K$4)=0),1,"")</f>
        <v/>
      </c>
      <c r="L26" s="165">
        <f>IF(AND(ISNUMBER($D26),ISNUMBER($E26),L$4&gt;=$D26,L$4&lt;=$E26,WEEKDAY(L$4,2)&lt;=5,COUNTIF('Sources &amp; Change Log'!$J$2:$J$5,L$4)=0,COUNTIFS('Team Calendar'!$A$5:$A$12,$F26,'Team Calendar'!$C$5:$C$12,L$4)=0),1,"")</f>
        <v/>
      </c>
      <c r="M26" s="167">
        <f>IF(AND(ISNUMBER($D26),ISNUMBER($E26),M$4&gt;=$D26,M$4&lt;=$E26,WEEKDAY(M$4,2)&lt;=5,COUNTIF('Sources &amp; Change Log'!$J$2:$J$5,M$4)=0,COUNTIFS('Team Calendar'!$A$5:$A$12,$F26,'Team Calendar'!$C$5:$C$12,M$4)=0),1,"")</f>
        <v/>
      </c>
      <c r="N26" s="165">
        <f>IF(AND(ISNUMBER($D26),ISNUMBER($E26),N$4&gt;=$D26,N$4&lt;=$E26,WEEKDAY(N$4,2)&lt;=5,COUNTIF('Sources &amp; Change Log'!$J$2:$J$5,N$4)=0,COUNTIFS('Team Calendar'!$A$5:$A$12,$F26,'Team Calendar'!$C$5:$C$12,N$4)=0),1,"")</f>
        <v/>
      </c>
      <c r="O26" s="165">
        <f>IF(AND(ISNUMBER($D26),ISNUMBER($E26),O$4&gt;=$D26,O$4&lt;=$E26,WEEKDAY(O$4,2)&lt;=5,COUNTIF('Sources &amp; Change Log'!$J$2:$J$5,O$4)=0,COUNTIFS('Team Calendar'!$A$5:$A$12,$F26,'Team Calendar'!$C$5:$C$12,O$4)=0),1,"")</f>
        <v/>
      </c>
      <c r="P26" s="165">
        <f>IF(AND(ISNUMBER($D26),ISNUMBER($E26),P$4&gt;=$D26,P$4&lt;=$E26,WEEKDAY(P$4,2)&lt;=5,COUNTIF('Sources &amp; Change Log'!$J$2:$J$5,P$4)=0,COUNTIFS('Team Calendar'!$A$5:$A$12,$F26,'Team Calendar'!$C$5:$C$12,P$4)=0),1,"")</f>
        <v/>
      </c>
      <c r="Q26" s="166">
        <f>IF(AND(ISNUMBER($D26),ISNUMBER($E26),Q$4&gt;=$D26,Q$4&lt;=$E26,WEEKDAY(Q$4,2)&lt;=5,COUNTIF('Sources &amp; Change Log'!$J$2:$J$5,Q$4)=0,COUNTIFS('Team Calendar'!$A$5:$A$12,$F26,'Team Calendar'!$C$5:$C$12,Q$4)=0),1,"")</f>
        <v/>
      </c>
      <c r="R26" s="166">
        <f>IF(AND(ISNUMBER($D26),ISNUMBER($E26),R$4&gt;=$D26,R$4&lt;=$E26,WEEKDAY(R$4,2)&lt;=5,COUNTIF('Sources &amp; Change Log'!$J$2:$J$5,R$4)=0,COUNTIFS('Team Calendar'!$A$5:$A$12,$F26,'Team Calendar'!$C$5:$C$12,R$4)=0),1,"")</f>
        <v/>
      </c>
      <c r="S26" s="165">
        <f>IF(AND(ISNUMBER($D26),ISNUMBER($E26),S$4&gt;=$D26,S$4&lt;=$E26,WEEKDAY(S$4,2)&lt;=5,COUNTIF('Sources &amp; Change Log'!$J$2:$J$5,S$4)=0,COUNTIFS('Team Calendar'!$A$5:$A$12,$F26,'Team Calendar'!$C$5:$C$12,S$4)=0),1,"")</f>
        <v/>
      </c>
      <c r="T26" s="165">
        <f>IF(AND(ISNUMBER($D26),ISNUMBER($E26),T$4&gt;=$D26,T$4&lt;=$E26,WEEKDAY(T$4,2)&lt;=5,COUNTIF('Sources &amp; Change Log'!$J$2:$J$5,T$4)=0,COUNTIFS('Team Calendar'!$A$5:$A$12,$F26,'Team Calendar'!$C$5:$C$12,T$4)=0),1,"")</f>
        <v/>
      </c>
      <c r="U26" s="165">
        <f>IF(AND(ISNUMBER($D26),ISNUMBER($E26),U$4&gt;=$D26,U$4&lt;=$E26,WEEKDAY(U$4,2)&lt;=5,COUNTIF('Sources &amp; Change Log'!$J$2:$J$5,U$4)=0,COUNTIFS('Team Calendar'!$A$5:$A$12,$F26,'Team Calendar'!$C$5:$C$12,U$4)=0),1,"")</f>
        <v/>
      </c>
      <c r="V26" s="165">
        <f>IF(AND(ISNUMBER($D26),ISNUMBER($E26),V$4&gt;=$D26,V$4&lt;=$E26,WEEKDAY(V$4,2)&lt;=5,COUNTIF('Sources &amp; Change Log'!$J$2:$J$5,V$4)=0,COUNTIFS('Team Calendar'!$A$5:$A$12,$F26,'Team Calendar'!$C$5:$C$12,V$4)=0),1,"")</f>
        <v/>
      </c>
      <c r="W26" s="165">
        <f>IF(AND(ISNUMBER($D26),ISNUMBER($E26),W$4&gt;=$D26,W$4&lt;=$E26,WEEKDAY(W$4,2)&lt;=5,COUNTIF('Sources &amp; Change Log'!$J$2:$J$5,W$4)=0,COUNTIFS('Team Calendar'!$A$5:$A$12,$F26,'Team Calendar'!$C$5:$C$12,W$4)=0),1,"")</f>
        <v/>
      </c>
      <c r="X26" s="166">
        <f>IF(AND(ISNUMBER($D26),ISNUMBER($E26),X$4&gt;=$D26,X$4&lt;=$E26,WEEKDAY(X$4,2)&lt;=5,COUNTIF('Sources &amp; Change Log'!$J$2:$J$5,X$4)=0,COUNTIFS('Team Calendar'!$A$5:$A$12,$F26,'Team Calendar'!$C$5:$C$12,X$4)=0),1,"")</f>
        <v/>
      </c>
      <c r="Y26" s="166">
        <f>IF(AND(ISNUMBER($D26),ISNUMBER($E26),Y$4&gt;=$D26,Y$4&lt;=$E26,WEEKDAY(Y$4,2)&lt;=5,COUNTIF('Sources &amp; Change Log'!$J$2:$J$5,Y$4)=0,COUNTIFS('Team Calendar'!$A$5:$A$12,$F26,'Team Calendar'!$C$5:$C$12,Y$4)=0),1,"")</f>
        <v/>
      </c>
      <c r="Z26" s="165">
        <f>IF(AND(ISNUMBER($D26),ISNUMBER($E26),Z$4&gt;=$D26,Z$4&lt;=$E26,WEEKDAY(Z$4,2)&lt;=5,COUNTIF('Sources &amp; Change Log'!$J$2:$J$5,Z$4)=0,COUNTIFS('Team Calendar'!$A$5:$A$12,$F26,'Team Calendar'!$C$5:$C$12,Z$4)=0),1,"")</f>
        <v/>
      </c>
      <c r="AA26" s="165">
        <f>IF(AND(ISNUMBER($D26),ISNUMBER($E26),AA$4&gt;=$D26,AA$4&lt;=$E26,WEEKDAY(AA$4,2)&lt;=5,COUNTIF('Sources &amp; Change Log'!$J$2:$J$5,AA$4)=0,COUNTIFS('Team Calendar'!$A$5:$A$12,$F26,'Team Calendar'!$C$5:$C$12,AA$4)=0),1,"")</f>
        <v/>
      </c>
      <c r="AB26" s="165">
        <f>IF(AND(ISNUMBER($D26),ISNUMBER($E26),AB$4&gt;=$D26,AB$4&lt;=$E26,WEEKDAY(AB$4,2)&lt;=5,COUNTIF('Sources &amp; Change Log'!$J$2:$J$5,AB$4)=0,COUNTIFS('Team Calendar'!$A$5:$A$12,$F26,'Team Calendar'!$C$5:$C$12,AB$4)=0),1,"")</f>
        <v/>
      </c>
      <c r="AC26" s="165">
        <f>IF(AND(ISNUMBER($D26),ISNUMBER($E26),AC$4&gt;=$D26,AC$4&lt;=$E26,WEEKDAY(AC$4,2)&lt;=5,COUNTIF('Sources &amp; Change Log'!$J$2:$J$5,AC$4)=0,COUNTIFS('Team Calendar'!$A$5:$A$12,$F26,'Team Calendar'!$C$5:$C$12,AC$4)=0),1,"")</f>
        <v/>
      </c>
      <c r="AD26" s="165">
        <f>IF(AND(ISNUMBER($D26),ISNUMBER($E26),AD$4&gt;=$D26,AD$4&lt;=$E26,WEEKDAY(AD$4,2)&lt;=5,COUNTIF('Sources &amp; Change Log'!$J$2:$J$5,AD$4)=0,COUNTIFS('Team Calendar'!$A$5:$A$12,$F26,'Team Calendar'!$C$5:$C$12,AD$4)=0),1,"")</f>
        <v/>
      </c>
      <c r="AE26" s="166">
        <f>IF(AND(ISNUMBER($D26),ISNUMBER($E26),AE$4&gt;=$D26,AE$4&lt;=$E26,WEEKDAY(AE$4,2)&lt;=5,COUNTIF('Sources &amp; Change Log'!$J$2:$J$5,AE$4)=0,COUNTIFS('Team Calendar'!$A$5:$A$12,$F26,'Team Calendar'!$C$5:$C$12,AE$4)=0),1,"")</f>
        <v/>
      </c>
      <c r="AF26" s="166">
        <f>IF(AND(ISNUMBER($D26),ISNUMBER($E26),AF$4&gt;=$D26,AF$4&lt;=$E26,WEEKDAY(AF$4,2)&lt;=5,COUNTIF('Sources &amp; Change Log'!$J$2:$J$5,AF$4)=0,COUNTIFS('Team Calendar'!$A$5:$A$12,$F26,'Team Calendar'!$C$5:$C$12,AF$4)=0),1,"")</f>
        <v/>
      </c>
      <c r="AG26" s="165">
        <f>IF(AND(ISNUMBER($D26),ISNUMBER($E26),AG$4&gt;=$D26,AG$4&lt;=$E26,WEEKDAY(AG$4,2)&lt;=5,COUNTIF('Sources &amp; Change Log'!$J$2:$J$5,AG$4)=0,COUNTIFS('Team Calendar'!$A$5:$A$12,$F26,'Team Calendar'!$C$5:$C$12,AG$4)=0),1,"")</f>
        <v/>
      </c>
      <c r="AH26" s="165">
        <f>IF(AND(ISNUMBER($D26),ISNUMBER($E26),AH$4&gt;=$D26,AH$4&lt;=$E26,WEEKDAY(AH$4,2)&lt;=5,COUNTIF('Sources &amp; Change Log'!$J$2:$J$5,AH$4)=0,COUNTIFS('Team Calendar'!$A$5:$A$12,$F26,'Team Calendar'!$C$5:$C$12,AH$4)=0),1,"")</f>
        <v/>
      </c>
      <c r="AI26" s="165">
        <f>IF(AND(ISNUMBER($D26),ISNUMBER($E26),AI$4&gt;=$D26,AI$4&lt;=$E26,WEEKDAY(AI$4,2)&lt;=5,COUNTIF('Sources &amp; Change Log'!$J$2:$J$5,AI$4)=0,COUNTIFS('Team Calendar'!$A$5:$A$12,$F26,'Team Calendar'!$C$5:$C$12,AI$4)=0),1,"")</f>
        <v/>
      </c>
    </row>
    <row r="27" ht="24" customHeight="1">
      <c r="A27" s="13">
        <f>WBS!A26</f>
        <v/>
      </c>
      <c r="B27" s="13">
        <f>WBS!B26</f>
        <v/>
      </c>
      <c r="C27" s="13">
        <f>WBS!G26</f>
        <v/>
      </c>
      <c r="D27" s="164">
        <f>IF(WBS!H26="","",WBS!H26)</f>
        <v/>
      </c>
      <c r="E27" s="164">
        <f>IF(WBS!I26="","",WBS!I26)</f>
        <v/>
      </c>
      <c r="F27" s="13">
        <f>WBS!L26</f>
        <v/>
      </c>
      <c r="G27" s="165">
        <f>IF(AND(ISNUMBER($D27),ISNUMBER($E27),G$4&gt;=$D27,G$4&lt;=$E27,WEEKDAY(G$4,2)&lt;=5,COUNTIF('Sources &amp; Change Log'!$J$2:$J$5,G$4)=0,COUNTIFS('Team Calendar'!$A$5:$A$12,$F27,'Team Calendar'!$C$5:$C$12,G$4)=0),1,"")</f>
        <v/>
      </c>
      <c r="H27" s="165">
        <f>IF(AND(ISNUMBER($D27),ISNUMBER($E27),H$4&gt;=$D27,H$4&lt;=$E27,WEEKDAY(H$4,2)&lt;=5,COUNTIF('Sources &amp; Change Log'!$J$2:$J$5,H$4)=0,COUNTIFS('Team Calendar'!$A$5:$A$12,$F27,'Team Calendar'!$C$5:$C$12,H$4)=0),1,"")</f>
        <v/>
      </c>
      <c r="I27" s="165">
        <f>IF(AND(ISNUMBER($D27),ISNUMBER($E27),I$4&gt;=$D27,I$4&lt;=$E27,WEEKDAY(I$4,2)&lt;=5,COUNTIF('Sources &amp; Change Log'!$J$2:$J$5,I$4)=0,COUNTIFS('Team Calendar'!$A$5:$A$12,$F27,'Team Calendar'!$C$5:$C$12,I$4)=0),1,"")</f>
        <v/>
      </c>
      <c r="J27" s="166">
        <f>IF(AND(ISNUMBER($D27),ISNUMBER($E27),J$4&gt;=$D27,J$4&lt;=$E27,WEEKDAY(J$4,2)&lt;=5,COUNTIF('Sources &amp; Change Log'!$J$2:$J$5,J$4)=0,COUNTIFS('Team Calendar'!$A$5:$A$12,$F27,'Team Calendar'!$C$5:$C$12,J$4)=0),1,"")</f>
        <v/>
      </c>
      <c r="K27" s="166">
        <f>IF(AND(ISNUMBER($D27),ISNUMBER($E27),K$4&gt;=$D27,K$4&lt;=$E27,WEEKDAY(K$4,2)&lt;=5,COUNTIF('Sources &amp; Change Log'!$J$2:$J$5,K$4)=0,COUNTIFS('Team Calendar'!$A$5:$A$12,$F27,'Team Calendar'!$C$5:$C$12,K$4)=0),1,"")</f>
        <v/>
      </c>
      <c r="L27" s="165">
        <f>IF(AND(ISNUMBER($D27),ISNUMBER($E27),L$4&gt;=$D27,L$4&lt;=$E27,WEEKDAY(L$4,2)&lt;=5,COUNTIF('Sources &amp; Change Log'!$J$2:$J$5,L$4)=0,COUNTIFS('Team Calendar'!$A$5:$A$12,$F27,'Team Calendar'!$C$5:$C$12,L$4)=0),1,"")</f>
        <v/>
      </c>
      <c r="M27" s="167">
        <f>IF(AND(ISNUMBER($D27),ISNUMBER($E27),M$4&gt;=$D27,M$4&lt;=$E27,WEEKDAY(M$4,2)&lt;=5,COUNTIF('Sources &amp; Change Log'!$J$2:$J$5,M$4)=0,COUNTIFS('Team Calendar'!$A$5:$A$12,$F27,'Team Calendar'!$C$5:$C$12,M$4)=0),1,"")</f>
        <v/>
      </c>
      <c r="N27" s="165">
        <f>IF(AND(ISNUMBER($D27),ISNUMBER($E27),N$4&gt;=$D27,N$4&lt;=$E27,WEEKDAY(N$4,2)&lt;=5,COUNTIF('Sources &amp; Change Log'!$J$2:$J$5,N$4)=0,COUNTIFS('Team Calendar'!$A$5:$A$12,$F27,'Team Calendar'!$C$5:$C$12,N$4)=0),1,"")</f>
        <v/>
      </c>
      <c r="O27" s="165">
        <f>IF(AND(ISNUMBER($D27),ISNUMBER($E27),O$4&gt;=$D27,O$4&lt;=$E27,WEEKDAY(O$4,2)&lt;=5,COUNTIF('Sources &amp; Change Log'!$J$2:$J$5,O$4)=0,COUNTIFS('Team Calendar'!$A$5:$A$12,$F27,'Team Calendar'!$C$5:$C$12,O$4)=0),1,"")</f>
        <v/>
      </c>
      <c r="P27" s="165">
        <f>IF(AND(ISNUMBER($D27),ISNUMBER($E27),P$4&gt;=$D27,P$4&lt;=$E27,WEEKDAY(P$4,2)&lt;=5,COUNTIF('Sources &amp; Change Log'!$J$2:$J$5,P$4)=0,COUNTIFS('Team Calendar'!$A$5:$A$12,$F27,'Team Calendar'!$C$5:$C$12,P$4)=0),1,"")</f>
        <v/>
      </c>
      <c r="Q27" s="166">
        <f>IF(AND(ISNUMBER($D27),ISNUMBER($E27),Q$4&gt;=$D27,Q$4&lt;=$E27,WEEKDAY(Q$4,2)&lt;=5,COUNTIF('Sources &amp; Change Log'!$J$2:$J$5,Q$4)=0,COUNTIFS('Team Calendar'!$A$5:$A$12,$F27,'Team Calendar'!$C$5:$C$12,Q$4)=0),1,"")</f>
        <v/>
      </c>
      <c r="R27" s="166">
        <f>IF(AND(ISNUMBER($D27),ISNUMBER($E27),R$4&gt;=$D27,R$4&lt;=$E27,WEEKDAY(R$4,2)&lt;=5,COUNTIF('Sources &amp; Change Log'!$J$2:$J$5,R$4)=0,COUNTIFS('Team Calendar'!$A$5:$A$12,$F27,'Team Calendar'!$C$5:$C$12,R$4)=0),1,"")</f>
        <v/>
      </c>
      <c r="S27" s="165">
        <f>IF(AND(ISNUMBER($D27),ISNUMBER($E27),S$4&gt;=$D27,S$4&lt;=$E27,WEEKDAY(S$4,2)&lt;=5,COUNTIF('Sources &amp; Change Log'!$J$2:$J$5,S$4)=0,COUNTIFS('Team Calendar'!$A$5:$A$12,$F27,'Team Calendar'!$C$5:$C$12,S$4)=0),1,"")</f>
        <v/>
      </c>
      <c r="T27" s="165">
        <f>IF(AND(ISNUMBER($D27),ISNUMBER($E27),T$4&gt;=$D27,T$4&lt;=$E27,WEEKDAY(T$4,2)&lt;=5,COUNTIF('Sources &amp; Change Log'!$J$2:$J$5,T$4)=0,COUNTIFS('Team Calendar'!$A$5:$A$12,$F27,'Team Calendar'!$C$5:$C$12,T$4)=0),1,"")</f>
        <v/>
      </c>
      <c r="U27" s="165">
        <f>IF(AND(ISNUMBER($D27),ISNUMBER($E27),U$4&gt;=$D27,U$4&lt;=$E27,WEEKDAY(U$4,2)&lt;=5,COUNTIF('Sources &amp; Change Log'!$J$2:$J$5,U$4)=0,COUNTIFS('Team Calendar'!$A$5:$A$12,$F27,'Team Calendar'!$C$5:$C$12,U$4)=0),1,"")</f>
        <v/>
      </c>
      <c r="V27" s="165">
        <f>IF(AND(ISNUMBER($D27),ISNUMBER($E27),V$4&gt;=$D27,V$4&lt;=$E27,WEEKDAY(V$4,2)&lt;=5,COUNTIF('Sources &amp; Change Log'!$J$2:$J$5,V$4)=0,COUNTIFS('Team Calendar'!$A$5:$A$12,$F27,'Team Calendar'!$C$5:$C$12,V$4)=0),1,"")</f>
        <v/>
      </c>
      <c r="W27" s="165">
        <f>IF(AND(ISNUMBER($D27),ISNUMBER($E27),W$4&gt;=$D27,W$4&lt;=$E27,WEEKDAY(W$4,2)&lt;=5,COUNTIF('Sources &amp; Change Log'!$J$2:$J$5,W$4)=0,COUNTIFS('Team Calendar'!$A$5:$A$12,$F27,'Team Calendar'!$C$5:$C$12,W$4)=0),1,"")</f>
        <v/>
      </c>
      <c r="X27" s="166">
        <f>IF(AND(ISNUMBER($D27),ISNUMBER($E27),X$4&gt;=$D27,X$4&lt;=$E27,WEEKDAY(X$4,2)&lt;=5,COUNTIF('Sources &amp; Change Log'!$J$2:$J$5,X$4)=0,COUNTIFS('Team Calendar'!$A$5:$A$12,$F27,'Team Calendar'!$C$5:$C$12,X$4)=0),1,"")</f>
        <v/>
      </c>
      <c r="Y27" s="166">
        <f>IF(AND(ISNUMBER($D27),ISNUMBER($E27),Y$4&gt;=$D27,Y$4&lt;=$E27,WEEKDAY(Y$4,2)&lt;=5,COUNTIF('Sources &amp; Change Log'!$J$2:$J$5,Y$4)=0,COUNTIFS('Team Calendar'!$A$5:$A$12,$F27,'Team Calendar'!$C$5:$C$12,Y$4)=0),1,"")</f>
        <v/>
      </c>
      <c r="Z27" s="165">
        <f>IF(AND(ISNUMBER($D27),ISNUMBER($E27),Z$4&gt;=$D27,Z$4&lt;=$E27,WEEKDAY(Z$4,2)&lt;=5,COUNTIF('Sources &amp; Change Log'!$J$2:$J$5,Z$4)=0,COUNTIFS('Team Calendar'!$A$5:$A$12,$F27,'Team Calendar'!$C$5:$C$12,Z$4)=0),1,"")</f>
        <v/>
      </c>
      <c r="AA27" s="165">
        <f>IF(AND(ISNUMBER($D27),ISNUMBER($E27),AA$4&gt;=$D27,AA$4&lt;=$E27,WEEKDAY(AA$4,2)&lt;=5,COUNTIF('Sources &amp; Change Log'!$J$2:$J$5,AA$4)=0,COUNTIFS('Team Calendar'!$A$5:$A$12,$F27,'Team Calendar'!$C$5:$C$12,AA$4)=0),1,"")</f>
        <v/>
      </c>
      <c r="AB27" s="165">
        <f>IF(AND(ISNUMBER($D27),ISNUMBER($E27),AB$4&gt;=$D27,AB$4&lt;=$E27,WEEKDAY(AB$4,2)&lt;=5,COUNTIF('Sources &amp; Change Log'!$J$2:$J$5,AB$4)=0,COUNTIFS('Team Calendar'!$A$5:$A$12,$F27,'Team Calendar'!$C$5:$C$12,AB$4)=0),1,"")</f>
        <v/>
      </c>
      <c r="AC27" s="165">
        <f>IF(AND(ISNUMBER($D27),ISNUMBER($E27),AC$4&gt;=$D27,AC$4&lt;=$E27,WEEKDAY(AC$4,2)&lt;=5,COUNTIF('Sources &amp; Change Log'!$J$2:$J$5,AC$4)=0,COUNTIFS('Team Calendar'!$A$5:$A$12,$F27,'Team Calendar'!$C$5:$C$12,AC$4)=0),1,"")</f>
        <v/>
      </c>
      <c r="AD27" s="165">
        <f>IF(AND(ISNUMBER($D27),ISNUMBER($E27),AD$4&gt;=$D27,AD$4&lt;=$E27,WEEKDAY(AD$4,2)&lt;=5,COUNTIF('Sources &amp; Change Log'!$J$2:$J$5,AD$4)=0,COUNTIFS('Team Calendar'!$A$5:$A$12,$F27,'Team Calendar'!$C$5:$C$12,AD$4)=0),1,"")</f>
        <v/>
      </c>
      <c r="AE27" s="166">
        <f>IF(AND(ISNUMBER($D27),ISNUMBER($E27),AE$4&gt;=$D27,AE$4&lt;=$E27,WEEKDAY(AE$4,2)&lt;=5,COUNTIF('Sources &amp; Change Log'!$J$2:$J$5,AE$4)=0,COUNTIFS('Team Calendar'!$A$5:$A$12,$F27,'Team Calendar'!$C$5:$C$12,AE$4)=0),1,"")</f>
        <v/>
      </c>
      <c r="AF27" s="166">
        <f>IF(AND(ISNUMBER($D27),ISNUMBER($E27),AF$4&gt;=$D27,AF$4&lt;=$E27,WEEKDAY(AF$4,2)&lt;=5,COUNTIF('Sources &amp; Change Log'!$J$2:$J$5,AF$4)=0,COUNTIFS('Team Calendar'!$A$5:$A$12,$F27,'Team Calendar'!$C$5:$C$12,AF$4)=0),1,"")</f>
        <v/>
      </c>
      <c r="AG27" s="165">
        <f>IF(AND(ISNUMBER($D27),ISNUMBER($E27),AG$4&gt;=$D27,AG$4&lt;=$E27,WEEKDAY(AG$4,2)&lt;=5,COUNTIF('Sources &amp; Change Log'!$J$2:$J$5,AG$4)=0,COUNTIFS('Team Calendar'!$A$5:$A$12,$F27,'Team Calendar'!$C$5:$C$12,AG$4)=0),1,"")</f>
        <v/>
      </c>
      <c r="AH27" s="165">
        <f>IF(AND(ISNUMBER($D27),ISNUMBER($E27),AH$4&gt;=$D27,AH$4&lt;=$E27,WEEKDAY(AH$4,2)&lt;=5,COUNTIF('Sources &amp; Change Log'!$J$2:$J$5,AH$4)=0,COUNTIFS('Team Calendar'!$A$5:$A$12,$F27,'Team Calendar'!$C$5:$C$12,AH$4)=0),1,"")</f>
        <v/>
      </c>
      <c r="AI27" s="165">
        <f>IF(AND(ISNUMBER($D27),ISNUMBER($E27),AI$4&gt;=$D27,AI$4&lt;=$E27,WEEKDAY(AI$4,2)&lt;=5,COUNTIF('Sources &amp; Change Log'!$J$2:$J$5,AI$4)=0,COUNTIFS('Team Calendar'!$A$5:$A$12,$F27,'Team Calendar'!$C$5:$C$12,AI$4)=0),1,"")</f>
        <v/>
      </c>
    </row>
    <row r="28" ht="24" customHeight="1">
      <c r="A28" s="13">
        <f>WBS!A27</f>
        <v/>
      </c>
      <c r="B28" s="13">
        <f>WBS!B27</f>
        <v/>
      </c>
      <c r="C28" s="13">
        <f>WBS!G27</f>
        <v/>
      </c>
      <c r="D28" s="164">
        <f>IF(WBS!H27="","",WBS!H27)</f>
        <v/>
      </c>
      <c r="E28" s="164">
        <f>IF(WBS!I27="","",WBS!I27)</f>
        <v/>
      </c>
      <c r="F28" s="13">
        <f>WBS!L27</f>
        <v/>
      </c>
      <c r="G28" s="165">
        <f>IF(AND(ISNUMBER($D28),ISNUMBER($E28),G$4&gt;=$D28,G$4&lt;=$E28,WEEKDAY(G$4,2)&lt;=5,COUNTIF('Sources &amp; Change Log'!$J$2:$J$5,G$4)=0,COUNTIFS('Team Calendar'!$A$5:$A$12,$F28,'Team Calendar'!$C$5:$C$12,G$4)=0),1,"")</f>
        <v/>
      </c>
      <c r="H28" s="165">
        <f>IF(AND(ISNUMBER($D28),ISNUMBER($E28),H$4&gt;=$D28,H$4&lt;=$E28,WEEKDAY(H$4,2)&lt;=5,COUNTIF('Sources &amp; Change Log'!$J$2:$J$5,H$4)=0,COUNTIFS('Team Calendar'!$A$5:$A$12,$F28,'Team Calendar'!$C$5:$C$12,H$4)=0),1,"")</f>
        <v/>
      </c>
      <c r="I28" s="165">
        <f>IF(AND(ISNUMBER($D28),ISNUMBER($E28),I$4&gt;=$D28,I$4&lt;=$E28,WEEKDAY(I$4,2)&lt;=5,COUNTIF('Sources &amp; Change Log'!$J$2:$J$5,I$4)=0,COUNTIFS('Team Calendar'!$A$5:$A$12,$F28,'Team Calendar'!$C$5:$C$12,I$4)=0),1,"")</f>
        <v/>
      </c>
      <c r="J28" s="166">
        <f>IF(AND(ISNUMBER($D28),ISNUMBER($E28),J$4&gt;=$D28,J$4&lt;=$E28,WEEKDAY(J$4,2)&lt;=5,COUNTIF('Sources &amp; Change Log'!$J$2:$J$5,J$4)=0,COUNTIFS('Team Calendar'!$A$5:$A$12,$F28,'Team Calendar'!$C$5:$C$12,J$4)=0),1,"")</f>
        <v/>
      </c>
      <c r="K28" s="166">
        <f>IF(AND(ISNUMBER($D28),ISNUMBER($E28),K$4&gt;=$D28,K$4&lt;=$E28,WEEKDAY(K$4,2)&lt;=5,COUNTIF('Sources &amp; Change Log'!$J$2:$J$5,K$4)=0,COUNTIFS('Team Calendar'!$A$5:$A$12,$F28,'Team Calendar'!$C$5:$C$12,K$4)=0),1,"")</f>
        <v/>
      </c>
      <c r="L28" s="165">
        <f>IF(AND(ISNUMBER($D28),ISNUMBER($E28),L$4&gt;=$D28,L$4&lt;=$E28,WEEKDAY(L$4,2)&lt;=5,COUNTIF('Sources &amp; Change Log'!$J$2:$J$5,L$4)=0,COUNTIFS('Team Calendar'!$A$5:$A$12,$F28,'Team Calendar'!$C$5:$C$12,L$4)=0),1,"")</f>
        <v/>
      </c>
      <c r="M28" s="167">
        <f>IF(AND(ISNUMBER($D28),ISNUMBER($E28),M$4&gt;=$D28,M$4&lt;=$E28,WEEKDAY(M$4,2)&lt;=5,COUNTIF('Sources &amp; Change Log'!$J$2:$J$5,M$4)=0,COUNTIFS('Team Calendar'!$A$5:$A$12,$F28,'Team Calendar'!$C$5:$C$12,M$4)=0),1,"")</f>
        <v/>
      </c>
      <c r="N28" s="165">
        <f>IF(AND(ISNUMBER($D28),ISNUMBER($E28),N$4&gt;=$D28,N$4&lt;=$E28,WEEKDAY(N$4,2)&lt;=5,COUNTIF('Sources &amp; Change Log'!$J$2:$J$5,N$4)=0,COUNTIFS('Team Calendar'!$A$5:$A$12,$F28,'Team Calendar'!$C$5:$C$12,N$4)=0),1,"")</f>
        <v/>
      </c>
      <c r="O28" s="165">
        <f>IF(AND(ISNUMBER($D28),ISNUMBER($E28),O$4&gt;=$D28,O$4&lt;=$E28,WEEKDAY(O$4,2)&lt;=5,COUNTIF('Sources &amp; Change Log'!$J$2:$J$5,O$4)=0,COUNTIFS('Team Calendar'!$A$5:$A$12,$F28,'Team Calendar'!$C$5:$C$12,O$4)=0),1,"")</f>
        <v/>
      </c>
      <c r="P28" s="165">
        <f>IF(AND(ISNUMBER($D28),ISNUMBER($E28),P$4&gt;=$D28,P$4&lt;=$E28,WEEKDAY(P$4,2)&lt;=5,COUNTIF('Sources &amp; Change Log'!$J$2:$J$5,P$4)=0,COUNTIFS('Team Calendar'!$A$5:$A$12,$F28,'Team Calendar'!$C$5:$C$12,P$4)=0),1,"")</f>
        <v/>
      </c>
      <c r="Q28" s="166">
        <f>IF(AND(ISNUMBER($D28),ISNUMBER($E28),Q$4&gt;=$D28,Q$4&lt;=$E28,WEEKDAY(Q$4,2)&lt;=5,COUNTIF('Sources &amp; Change Log'!$J$2:$J$5,Q$4)=0,COUNTIFS('Team Calendar'!$A$5:$A$12,$F28,'Team Calendar'!$C$5:$C$12,Q$4)=0),1,"")</f>
        <v/>
      </c>
      <c r="R28" s="166">
        <f>IF(AND(ISNUMBER($D28),ISNUMBER($E28),R$4&gt;=$D28,R$4&lt;=$E28,WEEKDAY(R$4,2)&lt;=5,COUNTIF('Sources &amp; Change Log'!$J$2:$J$5,R$4)=0,COUNTIFS('Team Calendar'!$A$5:$A$12,$F28,'Team Calendar'!$C$5:$C$12,R$4)=0),1,"")</f>
        <v/>
      </c>
      <c r="S28" s="165">
        <f>IF(AND(ISNUMBER($D28),ISNUMBER($E28),S$4&gt;=$D28,S$4&lt;=$E28,WEEKDAY(S$4,2)&lt;=5,COUNTIF('Sources &amp; Change Log'!$J$2:$J$5,S$4)=0,COUNTIFS('Team Calendar'!$A$5:$A$12,$F28,'Team Calendar'!$C$5:$C$12,S$4)=0),1,"")</f>
        <v/>
      </c>
      <c r="T28" s="165">
        <f>IF(AND(ISNUMBER($D28),ISNUMBER($E28),T$4&gt;=$D28,T$4&lt;=$E28,WEEKDAY(T$4,2)&lt;=5,COUNTIF('Sources &amp; Change Log'!$J$2:$J$5,T$4)=0,COUNTIFS('Team Calendar'!$A$5:$A$12,$F28,'Team Calendar'!$C$5:$C$12,T$4)=0),1,"")</f>
        <v/>
      </c>
      <c r="U28" s="165">
        <f>IF(AND(ISNUMBER($D28),ISNUMBER($E28),U$4&gt;=$D28,U$4&lt;=$E28,WEEKDAY(U$4,2)&lt;=5,COUNTIF('Sources &amp; Change Log'!$J$2:$J$5,U$4)=0,COUNTIFS('Team Calendar'!$A$5:$A$12,$F28,'Team Calendar'!$C$5:$C$12,U$4)=0),1,"")</f>
        <v/>
      </c>
      <c r="V28" s="165">
        <f>IF(AND(ISNUMBER($D28),ISNUMBER($E28),V$4&gt;=$D28,V$4&lt;=$E28,WEEKDAY(V$4,2)&lt;=5,COUNTIF('Sources &amp; Change Log'!$J$2:$J$5,V$4)=0,COUNTIFS('Team Calendar'!$A$5:$A$12,$F28,'Team Calendar'!$C$5:$C$12,V$4)=0),1,"")</f>
        <v/>
      </c>
      <c r="W28" s="165">
        <f>IF(AND(ISNUMBER($D28),ISNUMBER($E28),W$4&gt;=$D28,W$4&lt;=$E28,WEEKDAY(W$4,2)&lt;=5,COUNTIF('Sources &amp; Change Log'!$J$2:$J$5,W$4)=0,COUNTIFS('Team Calendar'!$A$5:$A$12,$F28,'Team Calendar'!$C$5:$C$12,W$4)=0),1,"")</f>
        <v/>
      </c>
      <c r="X28" s="166">
        <f>IF(AND(ISNUMBER($D28),ISNUMBER($E28),X$4&gt;=$D28,X$4&lt;=$E28,WEEKDAY(X$4,2)&lt;=5,COUNTIF('Sources &amp; Change Log'!$J$2:$J$5,X$4)=0,COUNTIFS('Team Calendar'!$A$5:$A$12,$F28,'Team Calendar'!$C$5:$C$12,X$4)=0),1,"")</f>
        <v/>
      </c>
      <c r="Y28" s="166">
        <f>IF(AND(ISNUMBER($D28),ISNUMBER($E28),Y$4&gt;=$D28,Y$4&lt;=$E28,WEEKDAY(Y$4,2)&lt;=5,COUNTIF('Sources &amp; Change Log'!$J$2:$J$5,Y$4)=0,COUNTIFS('Team Calendar'!$A$5:$A$12,$F28,'Team Calendar'!$C$5:$C$12,Y$4)=0),1,"")</f>
        <v/>
      </c>
      <c r="Z28" s="165">
        <f>IF(AND(ISNUMBER($D28),ISNUMBER($E28),Z$4&gt;=$D28,Z$4&lt;=$E28,WEEKDAY(Z$4,2)&lt;=5,COUNTIF('Sources &amp; Change Log'!$J$2:$J$5,Z$4)=0,COUNTIFS('Team Calendar'!$A$5:$A$12,$F28,'Team Calendar'!$C$5:$C$12,Z$4)=0),1,"")</f>
        <v/>
      </c>
      <c r="AA28" s="165">
        <f>IF(AND(ISNUMBER($D28),ISNUMBER($E28),AA$4&gt;=$D28,AA$4&lt;=$E28,WEEKDAY(AA$4,2)&lt;=5,COUNTIF('Sources &amp; Change Log'!$J$2:$J$5,AA$4)=0,COUNTIFS('Team Calendar'!$A$5:$A$12,$F28,'Team Calendar'!$C$5:$C$12,AA$4)=0),1,"")</f>
        <v/>
      </c>
      <c r="AB28" s="165">
        <f>IF(AND(ISNUMBER($D28),ISNUMBER($E28),AB$4&gt;=$D28,AB$4&lt;=$E28,WEEKDAY(AB$4,2)&lt;=5,COUNTIF('Sources &amp; Change Log'!$J$2:$J$5,AB$4)=0,COUNTIFS('Team Calendar'!$A$5:$A$12,$F28,'Team Calendar'!$C$5:$C$12,AB$4)=0),1,"")</f>
        <v/>
      </c>
      <c r="AC28" s="165">
        <f>IF(AND(ISNUMBER($D28),ISNUMBER($E28),AC$4&gt;=$D28,AC$4&lt;=$E28,WEEKDAY(AC$4,2)&lt;=5,COUNTIF('Sources &amp; Change Log'!$J$2:$J$5,AC$4)=0,COUNTIFS('Team Calendar'!$A$5:$A$12,$F28,'Team Calendar'!$C$5:$C$12,AC$4)=0),1,"")</f>
        <v/>
      </c>
      <c r="AD28" s="165">
        <f>IF(AND(ISNUMBER($D28),ISNUMBER($E28),AD$4&gt;=$D28,AD$4&lt;=$E28,WEEKDAY(AD$4,2)&lt;=5,COUNTIF('Sources &amp; Change Log'!$J$2:$J$5,AD$4)=0,COUNTIFS('Team Calendar'!$A$5:$A$12,$F28,'Team Calendar'!$C$5:$C$12,AD$4)=0),1,"")</f>
        <v/>
      </c>
      <c r="AE28" s="166">
        <f>IF(AND(ISNUMBER($D28),ISNUMBER($E28),AE$4&gt;=$D28,AE$4&lt;=$E28,WEEKDAY(AE$4,2)&lt;=5,COUNTIF('Sources &amp; Change Log'!$J$2:$J$5,AE$4)=0,COUNTIFS('Team Calendar'!$A$5:$A$12,$F28,'Team Calendar'!$C$5:$C$12,AE$4)=0),1,"")</f>
        <v/>
      </c>
      <c r="AF28" s="166">
        <f>IF(AND(ISNUMBER($D28),ISNUMBER($E28),AF$4&gt;=$D28,AF$4&lt;=$E28,WEEKDAY(AF$4,2)&lt;=5,COUNTIF('Sources &amp; Change Log'!$J$2:$J$5,AF$4)=0,COUNTIFS('Team Calendar'!$A$5:$A$12,$F28,'Team Calendar'!$C$5:$C$12,AF$4)=0),1,"")</f>
        <v/>
      </c>
      <c r="AG28" s="165">
        <f>IF(AND(ISNUMBER($D28),ISNUMBER($E28),AG$4&gt;=$D28,AG$4&lt;=$E28,WEEKDAY(AG$4,2)&lt;=5,COUNTIF('Sources &amp; Change Log'!$J$2:$J$5,AG$4)=0,COUNTIFS('Team Calendar'!$A$5:$A$12,$F28,'Team Calendar'!$C$5:$C$12,AG$4)=0),1,"")</f>
        <v/>
      </c>
      <c r="AH28" s="165">
        <f>IF(AND(ISNUMBER($D28),ISNUMBER($E28),AH$4&gt;=$D28,AH$4&lt;=$E28,WEEKDAY(AH$4,2)&lt;=5,COUNTIF('Sources &amp; Change Log'!$J$2:$J$5,AH$4)=0,COUNTIFS('Team Calendar'!$A$5:$A$12,$F28,'Team Calendar'!$C$5:$C$12,AH$4)=0),1,"")</f>
        <v/>
      </c>
      <c r="AI28" s="165">
        <f>IF(AND(ISNUMBER($D28),ISNUMBER($E28),AI$4&gt;=$D28,AI$4&lt;=$E28,WEEKDAY(AI$4,2)&lt;=5,COUNTIF('Sources &amp; Change Log'!$J$2:$J$5,AI$4)=0,COUNTIFS('Team Calendar'!$A$5:$A$12,$F28,'Team Calendar'!$C$5:$C$12,AI$4)=0),1,"")</f>
        <v/>
      </c>
    </row>
    <row r="29" ht="24" customHeight="1">
      <c r="A29" s="13">
        <f>WBS!A28</f>
        <v/>
      </c>
      <c r="B29" s="13">
        <f>WBS!B28</f>
        <v/>
      </c>
      <c r="C29" s="13">
        <f>WBS!G28</f>
        <v/>
      </c>
      <c r="D29" s="164">
        <f>IF(WBS!H28="","",WBS!H28)</f>
        <v/>
      </c>
      <c r="E29" s="164">
        <f>IF(WBS!I28="","",WBS!I28)</f>
        <v/>
      </c>
      <c r="F29" s="13">
        <f>WBS!L28</f>
        <v/>
      </c>
      <c r="G29" s="165">
        <f>IF(AND(ISNUMBER($D29),ISNUMBER($E29),G$4&gt;=$D29,G$4&lt;=$E29,WEEKDAY(G$4,2)&lt;=5,COUNTIF('Sources &amp; Change Log'!$J$2:$J$5,G$4)=0,COUNTIFS('Team Calendar'!$A$5:$A$12,$F29,'Team Calendar'!$C$5:$C$12,G$4)=0),1,"")</f>
        <v/>
      </c>
      <c r="H29" s="165">
        <f>IF(AND(ISNUMBER($D29),ISNUMBER($E29),H$4&gt;=$D29,H$4&lt;=$E29,WEEKDAY(H$4,2)&lt;=5,COUNTIF('Sources &amp; Change Log'!$J$2:$J$5,H$4)=0,COUNTIFS('Team Calendar'!$A$5:$A$12,$F29,'Team Calendar'!$C$5:$C$12,H$4)=0),1,"")</f>
        <v/>
      </c>
      <c r="I29" s="165">
        <f>IF(AND(ISNUMBER($D29),ISNUMBER($E29),I$4&gt;=$D29,I$4&lt;=$E29,WEEKDAY(I$4,2)&lt;=5,COUNTIF('Sources &amp; Change Log'!$J$2:$J$5,I$4)=0,COUNTIFS('Team Calendar'!$A$5:$A$12,$F29,'Team Calendar'!$C$5:$C$12,I$4)=0),1,"")</f>
        <v/>
      </c>
      <c r="J29" s="166">
        <f>IF(AND(ISNUMBER($D29),ISNUMBER($E29),J$4&gt;=$D29,J$4&lt;=$E29,WEEKDAY(J$4,2)&lt;=5,COUNTIF('Sources &amp; Change Log'!$J$2:$J$5,J$4)=0,COUNTIFS('Team Calendar'!$A$5:$A$12,$F29,'Team Calendar'!$C$5:$C$12,J$4)=0),1,"")</f>
        <v/>
      </c>
      <c r="K29" s="166">
        <f>IF(AND(ISNUMBER($D29),ISNUMBER($E29),K$4&gt;=$D29,K$4&lt;=$E29,WEEKDAY(K$4,2)&lt;=5,COUNTIF('Sources &amp; Change Log'!$J$2:$J$5,K$4)=0,COUNTIFS('Team Calendar'!$A$5:$A$12,$F29,'Team Calendar'!$C$5:$C$12,K$4)=0),1,"")</f>
        <v/>
      </c>
      <c r="L29" s="165">
        <f>IF(AND(ISNUMBER($D29),ISNUMBER($E29),L$4&gt;=$D29,L$4&lt;=$E29,WEEKDAY(L$4,2)&lt;=5,COUNTIF('Sources &amp; Change Log'!$J$2:$J$5,L$4)=0,COUNTIFS('Team Calendar'!$A$5:$A$12,$F29,'Team Calendar'!$C$5:$C$12,L$4)=0),1,"")</f>
        <v/>
      </c>
      <c r="M29" s="167">
        <f>IF(AND(ISNUMBER($D29),ISNUMBER($E29),M$4&gt;=$D29,M$4&lt;=$E29,WEEKDAY(M$4,2)&lt;=5,COUNTIF('Sources &amp; Change Log'!$J$2:$J$5,M$4)=0,COUNTIFS('Team Calendar'!$A$5:$A$12,$F29,'Team Calendar'!$C$5:$C$12,M$4)=0),1,"")</f>
        <v/>
      </c>
      <c r="N29" s="165">
        <f>IF(AND(ISNUMBER($D29),ISNUMBER($E29),N$4&gt;=$D29,N$4&lt;=$E29,WEEKDAY(N$4,2)&lt;=5,COUNTIF('Sources &amp; Change Log'!$J$2:$J$5,N$4)=0,COUNTIFS('Team Calendar'!$A$5:$A$12,$F29,'Team Calendar'!$C$5:$C$12,N$4)=0),1,"")</f>
        <v/>
      </c>
      <c r="O29" s="165">
        <f>IF(AND(ISNUMBER($D29),ISNUMBER($E29),O$4&gt;=$D29,O$4&lt;=$E29,WEEKDAY(O$4,2)&lt;=5,COUNTIF('Sources &amp; Change Log'!$J$2:$J$5,O$4)=0,COUNTIFS('Team Calendar'!$A$5:$A$12,$F29,'Team Calendar'!$C$5:$C$12,O$4)=0),1,"")</f>
        <v/>
      </c>
      <c r="P29" s="165">
        <f>IF(AND(ISNUMBER($D29),ISNUMBER($E29),P$4&gt;=$D29,P$4&lt;=$E29,WEEKDAY(P$4,2)&lt;=5,COUNTIF('Sources &amp; Change Log'!$J$2:$J$5,P$4)=0,COUNTIFS('Team Calendar'!$A$5:$A$12,$F29,'Team Calendar'!$C$5:$C$12,P$4)=0),1,"")</f>
        <v/>
      </c>
      <c r="Q29" s="166">
        <f>IF(AND(ISNUMBER($D29),ISNUMBER($E29),Q$4&gt;=$D29,Q$4&lt;=$E29,WEEKDAY(Q$4,2)&lt;=5,COUNTIF('Sources &amp; Change Log'!$J$2:$J$5,Q$4)=0,COUNTIFS('Team Calendar'!$A$5:$A$12,$F29,'Team Calendar'!$C$5:$C$12,Q$4)=0),1,"")</f>
        <v/>
      </c>
      <c r="R29" s="166">
        <f>IF(AND(ISNUMBER($D29),ISNUMBER($E29),R$4&gt;=$D29,R$4&lt;=$E29,WEEKDAY(R$4,2)&lt;=5,COUNTIF('Sources &amp; Change Log'!$J$2:$J$5,R$4)=0,COUNTIFS('Team Calendar'!$A$5:$A$12,$F29,'Team Calendar'!$C$5:$C$12,R$4)=0),1,"")</f>
        <v/>
      </c>
      <c r="S29" s="165">
        <f>IF(AND(ISNUMBER($D29),ISNUMBER($E29),S$4&gt;=$D29,S$4&lt;=$E29,WEEKDAY(S$4,2)&lt;=5,COUNTIF('Sources &amp; Change Log'!$J$2:$J$5,S$4)=0,COUNTIFS('Team Calendar'!$A$5:$A$12,$F29,'Team Calendar'!$C$5:$C$12,S$4)=0),1,"")</f>
        <v/>
      </c>
      <c r="T29" s="165">
        <f>IF(AND(ISNUMBER($D29),ISNUMBER($E29),T$4&gt;=$D29,T$4&lt;=$E29,WEEKDAY(T$4,2)&lt;=5,COUNTIF('Sources &amp; Change Log'!$J$2:$J$5,T$4)=0,COUNTIFS('Team Calendar'!$A$5:$A$12,$F29,'Team Calendar'!$C$5:$C$12,T$4)=0),1,"")</f>
        <v/>
      </c>
      <c r="U29" s="165">
        <f>IF(AND(ISNUMBER($D29),ISNUMBER($E29),U$4&gt;=$D29,U$4&lt;=$E29,WEEKDAY(U$4,2)&lt;=5,COUNTIF('Sources &amp; Change Log'!$J$2:$J$5,U$4)=0,COUNTIFS('Team Calendar'!$A$5:$A$12,$F29,'Team Calendar'!$C$5:$C$12,U$4)=0),1,"")</f>
        <v/>
      </c>
      <c r="V29" s="165">
        <f>IF(AND(ISNUMBER($D29),ISNUMBER($E29),V$4&gt;=$D29,V$4&lt;=$E29,WEEKDAY(V$4,2)&lt;=5,COUNTIF('Sources &amp; Change Log'!$J$2:$J$5,V$4)=0,COUNTIFS('Team Calendar'!$A$5:$A$12,$F29,'Team Calendar'!$C$5:$C$12,V$4)=0),1,"")</f>
        <v/>
      </c>
      <c r="W29" s="165">
        <f>IF(AND(ISNUMBER($D29),ISNUMBER($E29),W$4&gt;=$D29,W$4&lt;=$E29,WEEKDAY(W$4,2)&lt;=5,COUNTIF('Sources &amp; Change Log'!$J$2:$J$5,W$4)=0,COUNTIFS('Team Calendar'!$A$5:$A$12,$F29,'Team Calendar'!$C$5:$C$12,W$4)=0),1,"")</f>
        <v/>
      </c>
      <c r="X29" s="166">
        <f>IF(AND(ISNUMBER($D29),ISNUMBER($E29),X$4&gt;=$D29,X$4&lt;=$E29,WEEKDAY(X$4,2)&lt;=5,COUNTIF('Sources &amp; Change Log'!$J$2:$J$5,X$4)=0,COUNTIFS('Team Calendar'!$A$5:$A$12,$F29,'Team Calendar'!$C$5:$C$12,X$4)=0),1,"")</f>
        <v/>
      </c>
      <c r="Y29" s="166">
        <f>IF(AND(ISNUMBER($D29),ISNUMBER($E29),Y$4&gt;=$D29,Y$4&lt;=$E29,WEEKDAY(Y$4,2)&lt;=5,COUNTIF('Sources &amp; Change Log'!$J$2:$J$5,Y$4)=0,COUNTIFS('Team Calendar'!$A$5:$A$12,$F29,'Team Calendar'!$C$5:$C$12,Y$4)=0),1,"")</f>
        <v/>
      </c>
      <c r="Z29" s="165">
        <f>IF(AND(ISNUMBER($D29),ISNUMBER($E29),Z$4&gt;=$D29,Z$4&lt;=$E29,WEEKDAY(Z$4,2)&lt;=5,COUNTIF('Sources &amp; Change Log'!$J$2:$J$5,Z$4)=0,COUNTIFS('Team Calendar'!$A$5:$A$12,$F29,'Team Calendar'!$C$5:$C$12,Z$4)=0),1,"")</f>
        <v/>
      </c>
      <c r="AA29" s="165">
        <f>IF(AND(ISNUMBER($D29),ISNUMBER($E29),AA$4&gt;=$D29,AA$4&lt;=$E29,WEEKDAY(AA$4,2)&lt;=5,COUNTIF('Sources &amp; Change Log'!$J$2:$J$5,AA$4)=0,COUNTIFS('Team Calendar'!$A$5:$A$12,$F29,'Team Calendar'!$C$5:$C$12,AA$4)=0),1,"")</f>
        <v/>
      </c>
      <c r="AB29" s="165">
        <f>IF(AND(ISNUMBER($D29),ISNUMBER($E29),AB$4&gt;=$D29,AB$4&lt;=$E29,WEEKDAY(AB$4,2)&lt;=5,COUNTIF('Sources &amp; Change Log'!$J$2:$J$5,AB$4)=0,COUNTIFS('Team Calendar'!$A$5:$A$12,$F29,'Team Calendar'!$C$5:$C$12,AB$4)=0),1,"")</f>
        <v/>
      </c>
      <c r="AC29" s="165">
        <f>IF(AND(ISNUMBER($D29),ISNUMBER($E29),AC$4&gt;=$D29,AC$4&lt;=$E29,WEEKDAY(AC$4,2)&lt;=5,COUNTIF('Sources &amp; Change Log'!$J$2:$J$5,AC$4)=0,COUNTIFS('Team Calendar'!$A$5:$A$12,$F29,'Team Calendar'!$C$5:$C$12,AC$4)=0),1,"")</f>
        <v/>
      </c>
      <c r="AD29" s="165">
        <f>IF(AND(ISNUMBER($D29),ISNUMBER($E29),AD$4&gt;=$D29,AD$4&lt;=$E29,WEEKDAY(AD$4,2)&lt;=5,COUNTIF('Sources &amp; Change Log'!$J$2:$J$5,AD$4)=0,COUNTIFS('Team Calendar'!$A$5:$A$12,$F29,'Team Calendar'!$C$5:$C$12,AD$4)=0),1,"")</f>
        <v/>
      </c>
      <c r="AE29" s="166">
        <f>IF(AND(ISNUMBER($D29),ISNUMBER($E29),AE$4&gt;=$D29,AE$4&lt;=$E29,WEEKDAY(AE$4,2)&lt;=5,COUNTIF('Sources &amp; Change Log'!$J$2:$J$5,AE$4)=0,COUNTIFS('Team Calendar'!$A$5:$A$12,$F29,'Team Calendar'!$C$5:$C$12,AE$4)=0),1,"")</f>
        <v/>
      </c>
      <c r="AF29" s="166">
        <f>IF(AND(ISNUMBER($D29),ISNUMBER($E29),AF$4&gt;=$D29,AF$4&lt;=$E29,WEEKDAY(AF$4,2)&lt;=5,COUNTIF('Sources &amp; Change Log'!$J$2:$J$5,AF$4)=0,COUNTIFS('Team Calendar'!$A$5:$A$12,$F29,'Team Calendar'!$C$5:$C$12,AF$4)=0),1,"")</f>
        <v/>
      </c>
      <c r="AG29" s="165">
        <f>IF(AND(ISNUMBER($D29),ISNUMBER($E29),AG$4&gt;=$D29,AG$4&lt;=$E29,WEEKDAY(AG$4,2)&lt;=5,COUNTIF('Sources &amp; Change Log'!$J$2:$J$5,AG$4)=0,COUNTIFS('Team Calendar'!$A$5:$A$12,$F29,'Team Calendar'!$C$5:$C$12,AG$4)=0),1,"")</f>
        <v/>
      </c>
      <c r="AH29" s="165">
        <f>IF(AND(ISNUMBER($D29),ISNUMBER($E29),AH$4&gt;=$D29,AH$4&lt;=$E29,WEEKDAY(AH$4,2)&lt;=5,COUNTIF('Sources &amp; Change Log'!$J$2:$J$5,AH$4)=0,COUNTIFS('Team Calendar'!$A$5:$A$12,$F29,'Team Calendar'!$C$5:$C$12,AH$4)=0),1,"")</f>
        <v/>
      </c>
      <c r="AI29" s="165">
        <f>IF(AND(ISNUMBER($D29),ISNUMBER($E29),AI$4&gt;=$D29,AI$4&lt;=$E29,WEEKDAY(AI$4,2)&lt;=5,COUNTIF('Sources &amp; Change Log'!$J$2:$J$5,AI$4)=0,COUNTIFS('Team Calendar'!$A$5:$A$12,$F29,'Team Calendar'!$C$5:$C$12,AI$4)=0),1,"")</f>
        <v/>
      </c>
    </row>
    <row r="30" ht="24" customHeight="1">
      <c r="A30" s="13">
        <f>WBS!A29</f>
        <v/>
      </c>
      <c r="B30" s="13">
        <f>WBS!B29</f>
        <v/>
      </c>
      <c r="C30" s="13">
        <f>WBS!G29</f>
        <v/>
      </c>
      <c r="D30" s="164">
        <f>IF(WBS!H29="","",WBS!H29)</f>
        <v/>
      </c>
      <c r="E30" s="164">
        <f>IF(WBS!I29="","",WBS!I29)</f>
        <v/>
      </c>
      <c r="F30" s="13">
        <f>WBS!L29</f>
        <v/>
      </c>
      <c r="G30" s="165">
        <f>IF(AND(ISNUMBER($D30),ISNUMBER($E30),G$4&gt;=$D30,G$4&lt;=$E30,WEEKDAY(G$4,2)&lt;=5,COUNTIF('Sources &amp; Change Log'!$J$2:$J$5,G$4)=0,COUNTIFS('Team Calendar'!$A$5:$A$12,$F30,'Team Calendar'!$C$5:$C$12,G$4)=0),1,"")</f>
        <v/>
      </c>
      <c r="H30" s="165">
        <f>IF(AND(ISNUMBER($D30),ISNUMBER($E30),H$4&gt;=$D30,H$4&lt;=$E30,WEEKDAY(H$4,2)&lt;=5,COUNTIF('Sources &amp; Change Log'!$J$2:$J$5,H$4)=0,COUNTIFS('Team Calendar'!$A$5:$A$12,$F30,'Team Calendar'!$C$5:$C$12,H$4)=0),1,"")</f>
        <v/>
      </c>
      <c r="I30" s="165">
        <f>IF(AND(ISNUMBER($D30),ISNUMBER($E30),I$4&gt;=$D30,I$4&lt;=$E30,WEEKDAY(I$4,2)&lt;=5,COUNTIF('Sources &amp; Change Log'!$J$2:$J$5,I$4)=0,COUNTIFS('Team Calendar'!$A$5:$A$12,$F30,'Team Calendar'!$C$5:$C$12,I$4)=0),1,"")</f>
        <v/>
      </c>
      <c r="J30" s="166">
        <f>IF(AND(ISNUMBER($D30),ISNUMBER($E30),J$4&gt;=$D30,J$4&lt;=$E30,WEEKDAY(J$4,2)&lt;=5,COUNTIF('Sources &amp; Change Log'!$J$2:$J$5,J$4)=0,COUNTIFS('Team Calendar'!$A$5:$A$12,$F30,'Team Calendar'!$C$5:$C$12,J$4)=0),1,"")</f>
        <v/>
      </c>
      <c r="K30" s="166">
        <f>IF(AND(ISNUMBER($D30),ISNUMBER($E30),K$4&gt;=$D30,K$4&lt;=$E30,WEEKDAY(K$4,2)&lt;=5,COUNTIF('Sources &amp; Change Log'!$J$2:$J$5,K$4)=0,COUNTIFS('Team Calendar'!$A$5:$A$12,$F30,'Team Calendar'!$C$5:$C$12,K$4)=0),1,"")</f>
        <v/>
      </c>
      <c r="L30" s="165">
        <f>IF(AND(ISNUMBER($D30),ISNUMBER($E30),L$4&gt;=$D30,L$4&lt;=$E30,WEEKDAY(L$4,2)&lt;=5,COUNTIF('Sources &amp; Change Log'!$J$2:$J$5,L$4)=0,COUNTIFS('Team Calendar'!$A$5:$A$12,$F30,'Team Calendar'!$C$5:$C$12,L$4)=0),1,"")</f>
        <v/>
      </c>
      <c r="M30" s="167">
        <f>IF(AND(ISNUMBER($D30),ISNUMBER($E30),M$4&gt;=$D30,M$4&lt;=$E30,WEEKDAY(M$4,2)&lt;=5,COUNTIF('Sources &amp; Change Log'!$J$2:$J$5,M$4)=0,COUNTIFS('Team Calendar'!$A$5:$A$12,$F30,'Team Calendar'!$C$5:$C$12,M$4)=0),1,"")</f>
        <v/>
      </c>
      <c r="N30" s="165">
        <f>IF(AND(ISNUMBER($D30),ISNUMBER($E30),N$4&gt;=$D30,N$4&lt;=$E30,WEEKDAY(N$4,2)&lt;=5,COUNTIF('Sources &amp; Change Log'!$J$2:$J$5,N$4)=0,COUNTIFS('Team Calendar'!$A$5:$A$12,$F30,'Team Calendar'!$C$5:$C$12,N$4)=0),1,"")</f>
        <v/>
      </c>
      <c r="O30" s="165">
        <f>IF(AND(ISNUMBER($D30),ISNUMBER($E30),O$4&gt;=$D30,O$4&lt;=$E30,WEEKDAY(O$4,2)&lt;=5,COUNTIF('Sources &amp; Change Log'!$J$2:$J$5,O$4)=0,COUNTIFS('Team Calendar'!$A$5:$A$12,$F30,'Team Calendar'!$C$5:$C$12,O$4)=0),1,"")</f>
        <v/>
      </c>
      <c r="P30" s="165">
        <f>IF(AND(ISNUMBER($D30),ISNUMBER($E30),P$4&gt;=$D30,P$4&lt;=$E30,WEEKDAY(P$4,2)&lt;=5,COUNTIF('Sources &amp; Change Log'!$J$2:$J$5,P$4)=0,COUNTIFS('Team Calendar'!$A$5:$A$12,$F30,'Team Calendar'!$C$5:$C$12,P$4)=0),1,"")</f>
        <v/>
      </c>
      <c r="Q30" s="166">
        <f>IF(AND(ISNUMBER($D30),ISNUMBER($E30),Q$4&gt;=$D30,Q$4&lt;=$E30,WEEKDAY(Q$4,2)&lt;=5,COUNTIF('Sources &amp; Change Log'!$J$2:$J$5,Q$4)=0,COUNTIFS('Team Calendar'!$A$5:$A$12,$F30,'Team Calendar'!$C$5:$C$12,Q$4)=0),1,"")</f>
        <v/>
      </c>
      <c r="R30" s="166">
        <f>IF(AND(ISNUMBER($D30),ISNUMBER($E30),R$4&gt;=$D30,R$4&lt;=$E30,WEEKDAY(R$4,2)&lt;=5,COUNTIF('Sources &amp; Change Log'!$J$2:$J$5,R$4)=0,COUNTIFS('Team Calendar'!$A$5:$A$12,$F30,'Team Calendar'!$C$5:$C$12,R$4)=0),1,"")</f>
        <v/>
      </c>
      <c r="S30" s="165">
        <f>IF(AND(ISNUMBER($D30),ISNUMBER($E30),S$4&gt;=$D30,S$4&lt;=$E30,WEEKDAY(S$4,2)&lt;=5,COUNTIF('Sources &amp; Change Log'!$J$2:$J$5,S$4)=0,COUNTIFS('Team Calendar'!$A$5:$A$12,$F30,'Team Calendar'!$C$5:$C$12,S$4)=0),1,"")</f>
        <v/>
      </c>
      <c r="T30" s="165">
        <f>IF(AND(ISNUMBER($D30),ISNUMBER($E30),T$4&gt;=$D30,T$4&lt;=$E30,WEEKDAY(T$4,2)&lt;=5,COUNTIF('Sources &amp; Change Log'!$J$2:$J$5,T$4)=0,COUNTIFS('Team Calendar'!$A$5:$A$12,$F30,'Team Calendar'!$C$5:$C$12,T$4)=0),1,"")</f>
        <v/>
      </c>
      <c r="U30" s="165">
        <f>IF(AND(ISNUMBER($D30),ISNUMBER($E30),U$4&gt;=$D30,U$4&lt;=$E30,WEEKDAY(U$4,2)&lt;=5,COUNTIF('Sources &amp; Change Log'!$J$2:$J$5,U$4)=0,COUNTIFS('Team Calendar'!$A$5:$A$12,$F30,'Team Calendar'!$C$5:$C$12,U$4)=0),1,"")</f>
        <v/>
      </c>
      <c r="V30" s="165">
        <f>IF(AND(ISNUMBER($D30),ISNUMBER($E30),V$4&gt;=$D30,V$4&lt;=$E30,WEEKDAY(V$4,2)&lt;=5,COUNTIF('Sources &amp; Change Log'!$J$2:$J$5,V$4)=0,COUNTIFS('Team Calendar'!$A$5:$A$12,$F30,'Team Calendar'!$C$5:$C$12,V$4)=0),1,"")</f>
        <v/>
      </c>
      <c r="W30" s="165">
        <f>IF(AND(ISNUMBER($D30),ISNUMBER($E30),W$4&gt;=$D30,W$4&lt;=$E30,WEEKDAY(W$4,2)&lt;=5,COUNTIF('Sources &amp; Change Log'!$J$2:$J$5,W$4)=0,COUNTIFS('Team Calendar'!$A$5:$A$12,$F30,'Team Calendar'!$C$5:$C$12,W$4)=0),1,"")</f>
        <v/>
      </c>
      <c r="X30" s="166">
        <f>IF(AND(ISNUMBER($D30),ISNUMBER($E30),X$4&gt;=$D30,X$4&lt;=$E30,WEEKDAY(X$4,2)&lt;=5,COUNTIF('Sources &amp; Change Log'!$J$2:$J$5,X$4)=0,COUNTIFS('Team Calendar'!$A$5:$A$12,$F30,'Team Calendar'!$C$5:$C$12,X$4)=0),1,"")</f>
        <v/>
      </c>
      <c r="Y30" s="166">
        <f>IF(AND(ISNUMBER($D30),ISNUMBER($E30),Y$4&gt;=$D30,Y$4&lt;=$E30,WEEKDAY(Y$4,2)&lt;=5,COUNTIF('Sources &amp; Change Log'!$J$2:$J$5,Y$4)=0,COUNTIFS('Team Calendar'!$A$5:$A$12,$F30,'Team Calendar'!$C$5:$C$12,Y$4)=0),1,"")</f>
        <v/>
      </c>
      <c r="Z30" s="165">
        <f>IF(AND(ISNUMBER($D30),ISNUMBER($E30),Z$4&gt;=$D30,Z$4&lt;=$E30,WEEKDAY(Z$4,2)&lt;=5,COUNTIF('Sources &amp; Change Log'!$J$2:$J$5,Z$4)=0,COUNTIFS('Team Calendar'!$A$5:$A$12,$F30,'Team Calendar'!$C$5:$C$12,Z$4)=0),1,"")</f>
        <v/>
      </c>
      <c r="AA30" s="165">
        <f>IF(AND(ISNUMBER($D30),ISNUMBER($E30),AA$4&gt;=$D30,AA$4&lt;=$E30,WEEKDAY(AA$4,2)&lt;=5,COUNTIF('Sources &amp; Change Log'!$J$2:$J$5,AA$4)=0,COUNTIFS('Team Calendar'!$A$5:$A$12,$F30,'Team Calendar'!$C$5:$C$12,AA$4)=0),1,"")</f>
        <v/>
      </c>
      <c r="AB30" s="165">
        <f>IF(AND(ISNUMBER($D30),ISNUMBER($E30),AB$4&gt;=$D30,AB$4&lt;=$E30,WEEKDAY(AB$4,2)&lt;=5,COUNTIF('Sources &amp; Change Log'!$J$2:$J$5,AB$4)=0,COUNTIFS('Team Calendar'!$A$5:$A$12,$F30,'Team Calendar'!$C$5:$C$12,AB$4)=0),1,"")</f>
        <v/>
      </c>
      <c r="AC30" s="165">
        <f>IF(AND(ISNUMBER($D30),ISNUMBER($E30),AC$4&gt;=$D30,AC$4&lt;=$E30,WEEKDAY(AC$4,2)&lt;=5,COUNTIF('Sources &amp; Change Log'!$J$2:$J$5,AC$4)=0,COUNTIFS('Team Calendar'!$A$5:$A$12,$F30,'Team Calendar'!$C$5:$C$12,AC$4)=0),1,"")</f>
        <v/>
      </c>
      <c r="AD30" s="165">
        <f>IF(AND(ISNUMBER($D30),ISNUMBER($E30),AD$4&gt;=$D30,AD$4&lt;=$E30,WEEKDAY(AD$4,2)&lt;=5,COUNTIF('Sources &amp; Change Log'!$J$2:$J$5,AD$4)=0,COUNTIFS('Team Calendar'!$A$5:$A$12,$F30,'Team Calendar'!$C$5:$C$12,AD$4)=0),1,"")</f>
        <v/>
      </c>
      <c r="AE30" s="166">
        <f>IF(AND(ISNUMBER($D30),ISNUMBER($E30),AE$4&gt;=$D30,AE$4&lt;=$E30,WEEKDAY(AE$4,2)&lt;=5,COUNTIF('Sources &amp; Change Log'!$J$2:$J$5,AE$4)=0,COUNTIFS('Team Calendar'!$A$5:$A$12,$F30,'Team Calendar'!$C$5:$C$12,AE$4)=0),1,"")</f>
        <v/>
      </c>
      <c r="AF30" s="166">
        <f>IF(AND(ISNUMBER($D30),ISNUMBER($E30),AF$4&gt;=$D30,AF$4&lt;=$E30,WEEKDAY(AF$4,2)&lt;=5,COUNTIF('Sources &amp; Change Log'!$J$2:$J$5,AF$4)=0,COUNTIFS('Team Calendar'!$A$5:$A$12,$F30,'Team Calendar'!$C$5:$C$12,AF$4)=0),1,"")</f>
        <v/>
      </c>
      <c r="AG30" s="165">
        <f>IF(AND(ISNUMBER($D30),ISNUMBER($E30),AG$4&gt;=$D30,AG$4&lt;=$E30,WEEKDAY(AG$4,2)&lt;=5,COUNTIF('Sources &amp; Change Log'!$J$2:$J$5,AG$4)=0,COUNTIFS('Team Calendar'!$A$5:$A$12,$F30,'Team Calendar'!$C$5:$C$12,AG$4)=0),1,"")</f>
        <v/>
      </c>
      <c r="AH30" s="165">
        <f>IF(AND(ISNUMBER($D30),ISNUMBER($E30),AH$4&gt;=$D30,AH$4&lt;=$E30,WEEKDAY(AH$4,2)&lt;=5,COUNTIF('Sources &amp; Change Log'!$J$2:$J$5,AH$4)=0,COUNTIFS('Team Calendar'!$A$5:$A$12,$F30,'Team Calendar'!$C$5:$C$12,AH$4)=0),1,"")</f>
        <v/>
      </c>
      <c r="AI30" s="165">
        <f>IF(AND(ISNUMBER($D30),ISNUMBER($E30),AI$4&gt;=$D30,AI$4&lt;=$E30,WEEKDAY(AI$4,2)&lt;=5,COUNTIF('Sources &amp; Change Log'!$J$2:$J$5,AI$4)=0,COUNTIFS('Team Calendar'!$A$5:$A$12,$F30,'Team Calendar'!$C$5:$C$12,AI$4)=0),1,"")</f>
        <v/>
      </c>
    </row>
    <row r="31" ht="28" customHeight="1">
      <c r="A31">
        <f>WBS!A30</f>
        <v/>
      </c>
      <c r="B31">
        <f>WBS!B30</f>
        <v/>
      </c>
      <c r="C31">
        <f>WBS!G30</f>
        <v/>
      </c>
      <c r="D31" s="170">
        <f>IF(WBS!H30="","",WBS!H30)</f>
        <v/>
      </c>
      <c r="E31" s="170">
        <f>IF(WBS!I30="","",WBS!I30)</f>
        <v/>
      </c>
      <c r="F31">
        <f>WBS!L30</f>
        <v/>
      </c>
      <c r="G31" s="171">
        <f>IF(AND(ISNUMBER($D31),ISNUMBER($E31),G$4&gt;=$D31,G$4&lt;=$E31,WEEKDAY(G$4,2)&lt;=5,COUNTIF('Sources &amp; Change Log'!$J$2:$J$5,G$4)=0,COUNTIFS('Team Calendar'!$A$5:$A$12,$F31,'Team Calendar'!$C$5:$C$12,G$4)=0),1,"")</f>
        <v/>
      </c>
      <c r="H31" s="171">
        <f>IF(AND(ISNUMBER($D31),ISNUMBER($E31),H$4&gt;=$D31,H$4&lt;=$E31,WEEKDAY(H$4,2)&lt;=5,COUNTIF('Sources &amp; Change Log'!$J$2:$J$5,H$4)=0,COUNTIFS('Team Calendar'!$A$5:$A$12,$F31,'Team Calendar'!$C$5:$C$12,H$4)=0),1,"")</f>
        <v/>
      </c>
      <c r="I31" s="171">
        <f>IF(AND(ISNUMBER($D31),ISNUMBER($E31),I$4&gt;=$D31,I$4&lt;=$E31,WEEKDAY(I$4,2)&lt;=5,COUNTIF('Sources &amp; Change Log'!$J$2:$J$5,I$4)=0,COUNTIFS('Team Calendar'!$A$5:$A$12,$F31,'Team Calendar'!$C$5:$C$12,I$4)=0),1,"")</f>
        <v/>
      </c>
      <c r="J31" s="172">
        <f>IF(AND(ISNUMBER($D31),ISNUMBER($E31),J$4&gt;=$D31,J$4&lt;=$E31,WEEKDAY(J$4,2)&lt;=5,COUNTIF('Sources &amp; Change Log'!$J$2:$J$5,J$4)=0,COUNTIFS('Team Calendar'!$A$5:$A$12,$F31,'Team Calendar'!$C$5:$C$12,J$4)=0),1,"")</f>
        <v/>
      </c>
      <c r="K31" s="172">
        <f>IF(AND(ISNUMBER($D31),ISNUMBER($E31),K$4&gt;=$D31,K$4&lt;=$E31,WEEKDAY(K$4,2)&lt;=5,COUNTIF('Sources &amp; Change Log'!$J$2:$J$5,K$4)=0,COUNTIFS('Team Calendar'!$A$5:$A$12,$F31,'Team Calendar'!$C$5:$C$12,K$4)=0),1,"")</f>
        <v/>
      </c>
      <c r="L31" s="171">
        <f>IF(AND(ISNUMBER($D31),ISNUMBER($E31),L$4&gt;=$D31,L$4&lt;=$E31,WEEKDAY(L$4,2)&lt;=5,COUNTIF('Sources &amp; Change Log'!$J$2:$J$5,L$4)=0,COUNTIFS('Team Calendar'!$A$5:$A$12,$F31,'Team Calendar'!$C$5:$C$12,L$4)=0),1,"")</f>
        <v/>
      </c>
      <c r="M31" s="171">
        <f>IF(AND(ISNUMBER($D31),ISNUMBER($E31),M$4&gt;=$D31,M$4&lt;=$E31,WEEKDAY(M$4,2)&lt;=5,COUNTIF('Sources &amp; Change Log'!$J$2:$J$5,M$4)=0,COUNTIFS('Team Calendar'!$A$5:$A$12,$F31,'Team Calendar'!$C$5:$C$12,M$4)=0),1,"")</f>
        <v/>
      </c>
      <c r="N31" s="171">
        <f>IF(AND(ISNUMBER($D31),ISNUMBER($E31),N$4&gt;=$D31,N$4&lt;=$E31,WEEKDAY(N$4,2)&lt;=5,COUNTIF('Sources &amp; Change Log'!$J$2:$J$5,N$4)=0,COUNTIFS('Team Calendar'!$A$5:$A$12,$F31,'Team Calendar'!$C$5:$C$12,N$4)=0),1,"")</f>
        <v/>
      </c>
      <c r="O31" s="171">
        <f>IF(AND(ISNUMBER($D31),ISNUMBER($E31),O$4&gt;=$D31,O$4&lt;=$E31,WEEKDAY(O$4,2)&lt;=5,COUNTIF('Sources &amp; Change Log'!$J$2:$J$5,O$4)=0,COUNTIFS('Team Calendar'!$A$5:$A$12,$F31,'Team Calendar'!$C$5:$C$12,O$4)=0),1,"")</f>
        <v/>
      </c>
      <c r="P31" s="171">
        <f>IF(AND(ISNUMBER($D31),ISNUMBER($E31),P$4&gt;=$D31,P$4&lt;=$E31,WEEKDAY(P$4,2)&lt;=5,COUNTIF('Sources &amp; Change Log'!$J$2:$J$5,P$4)=0,COUNTIFS('Team Calendar'!$A$5:$A$12,$F31,'Team Calendar'!$C$5:$C$12,P$4)=0),1,"")</f>
        <v/>
      </c>
      <c r="Q31" s="172">
        <f>IF(AND(ISNUMBER($D31),ISNUMBER($E31),Q$4&gt;=$D31,Q$4&lt;=$E31,WEEKDAY(Q$4,2)&lt;=5,COUNTIF('Sources &amp; Change Log'!$J$2:$J$5,Q$4)=0,COUNTIFS('Team Calendar'!$A$5:$A$12,$F31,'Team Calendar'!$C$5:$C$12,Q$4)=0),1,"")</f>
        <v/>
      </c>
      <c r="R31" s="172">
        <f>IF(AND(ISNUMBER($D31),ISNUMBER($E31),R$4&gt;=$D31,R$4&lt;=$E31,WEEKDAY(R$4,2)&lt;=5,COUNTIF('Sources &amp; Change Log'!$J$2:$J$5,R$4)=0,COUNTIFS('Team Calendar'!$A$5:$A$12,$F31,'Team Calendar'!$C$5:$C$12,R$4)=0),1,"")</f>
        <v/>
      </c>
      <c r="S31" s="171">
        <f>IF(AND(ISNUMBER($D31),ISNUMBER($E31),S$4&gt;=$D31,S$4&lt;=$E31,WEEKDAY(S$4,2)&lt;=5,COUNTIF('Sources &amp; Change Log'!$J$2:$J$5,S$4)=0,COUNTIFS('Team Calendar'!$A$5:$A$12,$F31,'Team Calendar'!$C$5:$C$12,S$4)=0),1,"")</f>
        <v/>
      </c>
      <c r="T31" s="171">
        <f>IF(AND(ISNUMBER($D31),ISNUMBER($E31),T$4&gt;=$D31,T$4&lt;=$E31,WEEKDAY(T$4,2)&lt;=5,COUNTIF('Sources &amp; Change Log'!$J$2:$J$5,T$4)=0,COUNTIFS('Team Calendar'!$A$5:$A$12,$F31,'Team Calendar'!$C$5:$C$12,T$4)=0),1,"")</f>
        <v/>
      </c>
      <c r="U31" s="171">
        <f>IF(AND(ISNUMBER($D31),ISNUMBER($E31),U$4&gt;=$D31,U$4&lt;=$E31,WEEKDAY(U$4,2)&lt;=5,COUNTIF('Sources &amp; Change Log'!$J$2:$J$5,U$4)=0,COUNTIFS('Team Calendar'!$A$5:$A$12,$F31,'Team Calendar'!$C$5:$C$12,U$4)=0),1,"")</f>
        <v/>
      </c>
      <c r="V31" s="171">
        <f>IF(AND(ISNUMBER($D31),ISNUMBER($E31),V$4&gt;=$D31,V$4&lt;=$E31,WEEKDAY(V$4,2)&lt;=5,COUNTIF('Sources &amp; Change Log'!$J$2:$J$5,V$4)=0,COUNTIFS('Team Calendar'!$A$5:$A$12,$F31,'Team Calendar'!$C$5:$C$12,V$4)=0),1,"")</f>
        <v/>
      </c>
      <c r="W31" s="171">
        <f>IF(AND(ISNUMBER($D31),ISNUMBER($E31),W$4&gt;=$D31,W$4&lt;=$E31,WEEKDAY(W$4,2)&lt;=5,COUNTIF('Sources &amp; Change Log'!$J$2:$J$5,W$4)=0,COUNTIFS('Team Calendar'!$A$5:$A$12,$F31,'Team Calendar'!$C$5:$C$12,W$4)=0),1,"")</f>
        <v/>
      </c>
      <c r="X31" s="172">
        <f>IF(AND(ISNUMBER($D31),ISNUMBER($E31),X$4&gt;=$D31,X$4&lt;=$E31,WEEKDAY(X$4,2)&lt;=5,COUNTIF('Sources &amp; Change Log'!$J$2:$J$5,X$4)=0,COUNTIFS('Team Calendar'!$A$5:$A$12,$F31,'Team Calendar'!$C$5:$C$12,X$4)=0),1,"")</f>
        <v/>
      </c>
      <c r="Y31" s="172">
        <f>IF(AND(ISNUMBER($D31),ISNUMBER($E31),Y$4&gt;=$D31,Y$4&lt;=$E31,WEEKDAY(Y$4,2)&lt;=5,COUNTIF('Sources &amp; Change Log'!$J$2:$J$5,Y$4)=0,COUNTIFS('Team Calendar'!$A$5:$A$12,$F31,'Team Calendar'!$C$5:$C$12,Y$4)=0),1,"")</f>
        <v/>
      </c>
      <c r="Z31" s="171">
        <f>IF(AND(ISNUMBER($D31),ISNUMBER($E31),Z$4&gt;=$D31,Z$4&lt;=$E31,WEEKDAY(Z$4,2)&lt;=5,COUNTIF('Sources &amp; Change Log'!$J$2:$J$5,Z$4)=0,COUNTIFS('Team Calendar'!$A$5:$A$12,$F31,'Team Calendar'!$C$5:$C$12,Z$4)=0),1,"")</f>
        <v/>
      </c>
      <c r="AA31" s="171">
        <f>IF(AND(ISNUMBER($D31),ISNUMBER($E31),AA$4&gt;=$D31,AA$4&lt;=$E31,WEEKDAY(AA$4,2)&lt;=5,COUNTIF('Sources &amp; Change Log'!$J$2:$J$5,AA$4)=0,COUNTIFS('Team Calendar'!$A$5:$A$12,$F31,'Team Calendar'!$C$5:$C$12,AA$4)=0),1,"")</f>
        <v/>
      </c>
      <c r="AB31" s="171">
        <f>IF(AND(ISNUMBER($D31),ISNUMBER($E31),AB$4&gt;=$D31,AB$4&lt;=$E31,WEEKDAY(AB$4,2)&lt;=5,COUNTIF('Sources &amp; Change Log'!$J$2:$J$5,AB$4)=0,COUNTIFS('Team Calendar'!$A$5:$A$12,$F31,'Team Calendar'!$C$5:$C$12,AB$4)=0),1,"")</f>
        <v/>
      </c>
      <c r="AC31" s="171">
        <f>IF(AND(ISNUMBER($D31),ISNUMBER($E31),AC$4&gt;=$D31,AC$4&lt;=$E31,WEEKDAY(AC$4,2)&lt;=5,COUNTIF('Sources &amp; Change Log'!$J$2:$J$5,AC$4)=0,COUNTIFS('Team Calendar'!$A$5:$A$12,$F31,'Team Calendar'!$C$5:$C$12,AC$4)=0),1,"")</f>
        <v/>
      </c>
      <c r="AD31" s="171">
        <f>IF(AND(ISNUMBER($D31),ISNUMBER($E31),AD$4&gt;=$D31,AD$4&lt;=$E31,WEEKDAY(AD$4,2)&lt;=5,COUNTIF('Sources &amp; Change Log'!$J$2:$J$5,AD$4)=0,COUNTIFS('Team Calendar'!$A$5:$A$12,$F31,'Team Calendar'!$C$5:$C$12,AD$4)=0),1,"")</f>
        <v/>
      </c>
      <c r="AE31" s="172">
        <f>IF(AND(ISNUMBER($D31),ISNUMBER($E31),AE$4&gt;=$D31,AE$4&lt;=$E31,WEEKDAY(AE$4,2)&lt;=5,COUNTIF('Sources &amp; Change Log'!$J$2:$J$5,AE$4)=0,COUNTIFS('Team Calendar'!$A$5:$A$12,$F31,'Team Calendar'!$C$5:$C$12,AE$4)=0),1,"")</f>
        <v/>
      </c>
      <c r="AF31" s="172">
        <f>IF(AND(ISNUMBER($D31),ISNUMBER($E31),AF$4&gt;=$D31,AF$4&lt;=$E31,WEEKDAY(AF$4,2)&lt;=5,COUNTIF('Sources &amp; Change Log'!$J$2:$J$5,AF$4)=0,COUNTIFS('Team Calendar'!$A$5:$A$12,$F31,'Team Calendar'!$C$5:$C$12,AF$4)=0),1,"")</f>
        <v/>
      </c>
      <c r="AG31" s="171">
        <f>IF(AND(ISNUMBER($D31),ISNUMBER($E31),AG$4&gt;=$D31,AG$4&lt;=$E31,WEEKDAY(AG$4,2)&lt;=5,COUNTIF('Sources &amp; Change Log'!$J$2:$J$5,AG$4)=0,COUNTIFS('Team Calendar'!$A$5:$A$12,$F31,'Team Calendar'!$C$5:$C$12,AG$4)=0),1,"")</f>
        <v/>
      </c>
      <c r="AH31" s="171">
        <f>IF(AND(ISNUMBER($D31),ISNUMBER($E31),AH$4&gt;=$D31,AH$4&lt;=$E31,WEEKDAY(AH$4,2)&lt;=5,COUNTIF('Sources &amp; Change Log'!$J$2:$J$5,AH$4)=0,COUNTIFS('Team Calendar'!$A$5:$A$12,$F31,'Team Calendar'!$C$5:$C$12,AH$4)=0),1,"")</f>
        <v/>
      </c>
      <c r="AI31" s="173">
        <f>IF(AND(ISNUMBER($D31),ISNUMBER($E31),AI$4&gt;=$D31,AI$4&lt;=$E31,WEEKDAY(AI$4,2)&lt;=5,COUNTIF('Sources &amp; Change Log'!$J$2:$J$5,AI$4)=0,COUNTIFS('Team Calendar'!$A$5:$A$12,$F31,'Team Calendar'!$C$5:$C$12,AI$4)=0),1,"")</f>
        <v/>
      </c>
    </row>
    <row r="32" ht="28" customHeight="1">
      <c r="A32">
        <f>WBS!A56</f>
        <v/>
      </c>
      <c r="B32">
        <f>WBS!B56</f>
        <v/>
      </c>
      <c r="C32">
        <f>WBS!G56</f>
        <v/>
      </c>
      <c r="D32" s="170">
        <f>IF(WBS!H56="","",WBS!H56)</f>
        <v/>
      </c>
      <c r="E32" s="170">
        <f>IF(WBS!I56="","",WBS!I56)</f>
        <v/>
      </c>
      <c r="F32">
        <f>WBS!L56</f>
        <v/>
      </c>
      <c r="G32" s="171">
        <f>IF(AND(ISNUMBER($D32),ISNUMBER($E32),G$4&gt;=$D32,G$4&lt;=$E32,WEEKDAY(G$4,2)&lt;=5,COUNTIF('Sources &amp; Change Log'!$J$2:$J$5,G$4)=0,COUNTIFS('Team Calendar'!$A$5:$A$12,$F32,'Team Calendar'!$C$5:$C$12,G$4)=0),1,"")</f>
        <v/>
      </c>
      <c r="H32" s="171">
        <f>IF(AND(ISNUMBER($D32),ISNUMBER($E32),H$4&gt;=$D32,H$4&lt;=$E32,WEEKDAY(H$4,2)&lt;=5,COUNTIF('Sources &amp; Change Log'!$J$2:$J$5,H$4)=0,COUNTIFS('Team Calendar'!$A$5:$A$12,$F32,'Team Calendar'!$C$5:$C$12,H$4)=0),1,"")</f>
        <v/>
      </c>
      <c r="I32" s="171">
        <f>IF(AND(ISNUMBER($D32),ISNUMBER($E32),I$4&gt;=$D32,I$4&lt;=$E32,WEEKDAY(I$4,2)&lt;=5,COUNTIF('Sources &amp; Change Log'!$J$2:$J$5,I$4)=0,COUNTIFS('Team Calendar'!$A$5:$A$12,$F32,'Team Calendar'!$C$5:$C$12,I$4)=0),1,"")</f>
        <v/>
      </c>
      <c r="J32" s="172">
        <f>IF(AND(ISNUMBER($D32),ISNUMBER($E32),J$4&gt;=$D32,J$4&lt;=$E32,WEEKDAY(J$4,2)&lt;=5,COUNTIF('Sources &amp; Change Log'!$J$2:$J$5,J$4)=0,COUNTIFS('Team Calendar'!$A$5:$A$12,$F32,'Team Calendar'!$C$5:$C$12,J$4)=0),1,"")</f>
        <v/>
      </c>
      <c r="K32" s="172">
        <f>IF(AND(ISNUMBER($D32),ISNUMBER($E32),K$4&gt;=$D32,K$4&lt;=$E32,WEEKDAY(K$4,2)&lt;=5,COUNTIF('Sources &amp; Change Log'!$J$2:$J$5,K$4)=0,COUNTIFS('Team Calendar'!$A$5:$A$12,$F32,'Team Calendar'!$C$5:$C$12,K$4)=0),1,"")</f>
        <v/>
      </c>
      <c r="L32" s="171">
        <f>IF(AND(ISNUMBER($D32),ISNUMBER($E32),L$4&gt;=$D32,L$4&lt;=$E32,WEEKDAY(L$4,2)&lt;=5,COUNTIF('Sources &amp; Change Log'!$J$2:$J$5,L$4)=0,COUNTIFS('Team Calendar'!$A$5:$A$12,$F32,'Team Calendar'!$C$5:$C$12,L$4)=0),1,"")</f>
        <v/>
      </c>
      <c r="M32" s="171">
        <f>IF(AND(ISNUMBER($D32),ISNUMBER($E32),M$4&gt;=$D32,M$4&lt;=$E32,WEEKDAY(M$4,2)&lt;=5,COUNTIF('Sources &amp; Change Log'!$J$2:$J$5,M$4)=0,COUNTIFS('Team Calendar'!$A$5:$A$12,$F32,'Team Calendar'!$C$5:$C$12,M$4)=0),1,"")</f>
        <v/>
      </c>
      <c r="N32" s="171">
        <f>IF(AND(ISNUMBER($D32),ISNUMBER($E32),N$4&gt;=$D32,N$4&lt;=$E32,WEEKDAY(N$4,2)&lt;=5,COUNTIF('Sources &amp; Change Log'!$J$2:$J$5,N$4)=0,COUNTIFS('Team Calendar'!$A$5:$A$12,$F32,'Team Calendar'!$C$5:$C$12,N$4)=0),1,"")</f>
        <v/>
      </c>
      <c r="O32" s="171">
        <f>IF(AND(ISNUMBER($D32),ISNUMBER($E32),O$4&gt;=$D32,O$4&lt;=$E32,WEEKDAY(O$4,2)&lt;=5,COUNTIF('Sources &amp; Change Log'!$J$2:$J$5,O$4)=0,COUNTIFS('Team Calendar'!$A$5:$A$12,$F32,'Team Calendar'!$C$5:$C$12,O$4)=0),1,"")</f>
        <v/>
      </c>
      <c r="P32" s="171">
        <f>IF(AND(ISNUMBER($D32),ISNUMBER($E32),P$4&gt;=$D32,P$4&lt;=$E32,WEEKDAY(P$4,2)&lt;=5,COUNTIF('Sources &amp; Change Log'!$J$2:$J$5,P$4)=0,COUNTIFS('Team Calendar'!$A$5:$A$12,$F32,'Team Calendar'!$C$5:$C$12,P$4)=0),1,"")</f>
        <v/>
      </c>
      <c r="Q32" s="172">
        <f>IF(AND(ISNUMBER($D32),ISNUMBER($E32),Q$4&gt;=$D32,Q$4&lt;=$E32,WEEKDAY(Q$4,2)&lt;=5,COUNTIF('Sources &amp; Change Log'!$J$2:$J$5,Q$4)=0,COUNTIFS('Team Calendar'!$A$5:$A$12,$F32,'Team Calendar'!$C$5:$C$12,Q$4)=0),1,"")</f>
        <v/>
      </c>
      <c r="R32" s="172">
        <f>IF(AND(ISNUMBER($D32),ISNUMBER($E32),R$4&gt;=$D32,R$4&lt;=$E32,WEEKDAY(R$4,2)&lt;=5,COUNTIF('Sources &amp; Change Log'!$J$2:$J$5,R$4)=0,COUNTIFS('Team Calendar'!$A$5:$A$12,$F32,'Team Calendar'!$C$5:$C$12,R$4)=0),1,"")</f>
        <v/>
      </c>
      <c r="S32" s="171">
        <f>IF(AND(ISNUMBER($D32),ISNUMBER($E32),S$4&gt;=$D32,S$4&lt;=$E32,WEEKDAY(S$4,2)&lt;=5,COUNTIF('Sources &amp; Change Log'!$J$2:$J$5,S$4)=0,COUNTIFS('Team Calendar'!$A$5:$A$12,$F32,'Team Calendar'!$C$5:$C$12,S$4)=0),1,"")</f>
        <v/>
      </c>
      <c r="T32" s="171">
        <f>IF(AND(ISNUMBER($D32),ISNUMBER($E32),T$4&gt;=$D32,T$4&lt;=$E32,WEEKDAY(T$4,2)&lt;=5,COUNTIF('Sources &amp; Change Log'!$J$2:$J$5,T$4)=0,COUNTIFS('Team Calendar'!$A$5:$A$12,$F32,'Team Calendar'!$C$5:$C$12,T$4)=0),1,"")</f>
        <v/>
      </c>
      <c r="U32" s="171">
        <f>IF(AND(ISNUMBER($D32),ISNUMBER($E32),U$4&gt;=$D32,U$4&lt;=$E32,WEEKDAY(U$4,2)&lt;=5,COUNTIF('Sources &amp; Change Log'!$J$2:$J$5,U$4)=0,COUNTIFS('Team Calendar'!$A$5:$A$12,$F32,'Team Calendar'!$C$5:$C$12,U$4)=0),1,"")</f>
        <v/>
      </c>
      <c r="V32" s="171">
        <f>IF(AND(ISNUMBER($D32),ISNUMBER($E32),V$4&gt;=$D32,V$4&lt;=$E32,WEEKDAY(V$4,2)&lt;=5,COUNTIF('Sources &amp; Change Log'!$J$2:$J$5,V$4)=0,COUNTIFS('Team Calendar'!$A$5:$A$12,$F32,'Team Calendar'!$C$5:$C$12,V$4)=0),1,"")</f>
        <v/>
      </c>
      <c r="W32" s="171">
        <f>IF(AND(ISNUMBER($D32),ISNUMBER($E32),W$4&gt;=$D32,W$4&lt;=$E32,WEEKDAY(W$4,2)&lt;=5,COUNTIF('Sources &amp; Change Log'!$J$2:$J$5,W$4)=0,COUNTIFS('Team Calendar'!$A$5:$A$12,$F32,'Team Calendar'!$C$5:$C$12,W$4)=0),1,"")</f>
        <v/>
      </c>
      <c r="X32" s="172">
        <f>IF(AND(ISNUMBER($D32),ISNUMBER($E32),X$4&gt;=$D32,X$4&lt;=$E32,WEEKDAY(X$4,2)&lt;=5,COUNTIF('Sources &amp; Change Log'!$J$2:$J$5,X$4)=0,COUNTIFS('Team Calendar'!$A$5:$A$12,$F32,'Team Calendar'!$C$5:$C$12,X$4)=0),1,"")</f>
        <v/>
      </c>
      <c r="Y32" s="172">
        <f>IF(AND(ISNUMBER($D32),ISNUMBER($E32),Y$4&gt;=$D32,Y$4&lt;=$E32,WEEKDAY(Y$4,2)&lt;=5,COUNTIF('Sources &amp; Change Log'!$J$2:$J$5,Y$4)=0,COUNTIFS('Team Calendar'!$A$5:$A$12,$F32,'Team Calendar'!$C$5:$C$12,Y$4)=0),1,"")</f>
        <v/>
      </c>
      <c r="Z32" s="171">
        <f>IF(AND(ISNUMBER($D32),ISNUMBER($E32),Z$4&gt;=$D32,Z$4&lt;=$E32,WEEKDAY(Z$4,2)&lt;=5,COUNTIF('Sources &amp; Change Log'!$J$2:$J$5,Z$4)=0,COUNTIFS('Team Calendar'!$A$5:$A$12,$F32,'Team Calendar'!$C$5:$C$12,Z$4)=0),1,"")</f>
        <v/>
      </c>
      <c r="AA32" s="171">
        <f>IF(AND(ISNUMBER($D32),ISNUMBER($E32),AA$4&gt;=$D32,AA$4&lt;=$E32,WEEKDAY(AA$4,2)&lt;=5,COUNTIF('Sources &amp; Change Log'!$J$2:$J$5,AA$4)=0,COUNTIFS('Team Calendar'!$A$5:$A$12,$F32,'Team Calendar'!$C$5:$C$12,AA$4)=0),1,"")</f>
        <v/>
      </c>
      <c r="AB32" s="171">
        <f>IF(AND(ISNUMBER($D32),ISNUMBER($E32),AB$4&gt;=$D32,AB$4&lt;=$E32,WEEKDAY(AB$4,2)&lt;=5,COUNTIF('Sources &amp; Change Log'!$J$2:$J$5,AB$4)=0,COUNTIFS('Team Calendar'!$A$5:$A$12,$F32,'Team Calendar'!$C$5:$C$12,AB$4)=0),1,"")</f>
        <v/>
      </c>
      <c r="AC32" s="171">
        <f>IF(AND(ISNUMBER($D32),ISNUMBER($E32),AC$4&gt;=$D32,AC$4&lt;=$E32,WEEKDAY(AC$4,2)&lt;=5,COUNTIF('Sources &amp; Change Log'!$J$2:$J$5,AC$4)=0,COUNTIFS('Team Calendar'!$A$5:$A$12,$F32,'Team Calendar'!$C$5:$C$12,AC$4)=0),1,"")</f>
        <v/>
      </c>
      <c r="AD32" s="171">
        <f>IF(AND(ISNUMBER($D32),ISNUMBER($E32),AD$4&gt;=$D32,AD$4&lt;=$E32,WEEKDAY(AD$4,2)&lt;=5,COUNTIF('Sources &amp; Change Log'!$J$2:$J$5,AD$4)=0,COUNTIFS('Team Calendar'!$A$5:$A$12,$F32,'Team Calendar'!$C$5:$C$12,AD$4)=0),1,"")</f>
        <v/>
      </c>
      <c r="AE32" s="172">
        <f>IF(AND(ISNUMBER($D32),ISNUMBER($E32),AE$4&gt;=$D32,AE$4&lt;=$E32,WEEKDAY(AE$4,2)&lt;=5,COUNTIF('Sources &amp; Change Log'!$J$2:$J$5,AE$4)=0,COUNTIFS('Team Calendar'!$A$5:$A$12,$F32,'Team Calendar'!$C$5:$C$12,AE$4)=0),1,"")</f>
        <v/>
      </c>
      <c r="AF32" s="172">
        <f>IF(AND(ISNUMBER($D32),ISNUMBER($E32),AF$4&gt;=$D32,AF$4&lt;=$E32,WEEKDAY(AF$4,2)&lt;=5,COUNTIF('Sources &amp; Change Log'!$J$2:$J$5,AF$4)=0,COUNTIFS('Team Calendar'!$A$5:$A$12,$F32,'Team Calendar'!$C$5:$C$12,AF$4)=0),1,"")</f>
        <v/>
      </c>
      <c r="AG32" s="171">
        <f>IF(AND(ISNUMBER($D32),ISNUMBER($E32),AG$4&gt;=$D32,AG$4&lt;=$E32,WEEKDAY(AG$4,2)&lt;=5,COUNTIF('Sources &amp; Change Log'!$J$2:$J$5,AG$4)=0,COUNTIFS('Team Calendar'!$A$5:$A$12,$F32,'Team Calendar'!$C$5:$C$12,AG$4)=0),1,"")</f>
        <v/>
      </c>
      <c r="AH32" s="171">
        <f>IF(AND(ISNUMBER($D32),ISNUMBER($E32),AH$4&gt;=$D32,AH$4&lt;=$E32,WEEKDAY(AH$4,2)&lt;=5,COUNTIF('Sources &amp; Change Log'!$J$2:$J$5,AH$4)=0,COUNTIFS('Team Calendar'!$A$5:$A$12,$F32,'Team Calendar'!$C$5:$C$12,AH$4)=0),1,"")</f>
        <v/>
      </c>
      <c r="AI32" s="171">
        <f>IF(AND(ISNUMBER($D32),ISNUMBER($E32),AI$4&gt;=$D32,AI$4&lt;=$E32,WEEKDAY(AI$4,2)&lt;=5,COUNTIF('Sources &amp; Change Log'!$J$2:$J$5,AI$4)=0,COUNTIFS('Team Calendar'!$A$5:$A$12,$F32,'Team Calendar'!$C$5:$C$12,AI$4)=0),1,"")</f>
        <v/>
      </c>
    </row>
    <row r="33" ht="28" customHeight="1">
      <c r="A33">
        <f>WBS!A57</f>
        <v/>
      </c>
      <c r="B33">
        <f>WBS!B57</f>
        <v/>
      </c>
      <c r="C33">
        <f>WBS!G57</f>
        <v/>
      </c>
      <c r="D33" s="170">
        <f>IF(WBS!H57="","",WBS!H57)</f>
        <v/>
      </c>
      <c r="E33" s="170">
        <f>IF(WBS!I57="","",WBS!I57)</f>
        <v/>
      </c>
      <c r="F33">
        <f>WBS!L57</f>
        <v/>
      </c>
      <c r="G33" s="171">
        <f>IF(AND(ISNUMBER($D33),ISNUMBER($E33),G$4&gt;=$D33,G$4&lt;=$E33,WEEKDAY(G$4,2)&lt;=5,COUNTIF('Sources &amp; Change Log'!$J$2:$J$5,G$4)=0,COUNTIFS('Team Calendar'!$A$5:$A$12,$F33,'Team Calendar'!$C$5:$C$12,G$4)=0),1,"")</f>
        <v/>
      </c>
      <c r="H33" s="171">
        <f>IF(AND(ISNUMBER($D33),ISNUMBER($E33),H$4&gt;=$D33,H$4&lt;=$E33,WEEKDAY(H$4,2)&lt;=5,COUNTIF('Sources &amp; Change Log'!$J$2:$J$5,H$4)=0,COUNTIFS('Team Calendar'!$A$5:$A$12,$F33,'Team Calendar'!$C$5:$C$12,H$4)=0),1,"")</f>
        <v/>
      </c>
      <c r="I33" s="171">
        <f>IF(AND(ISNUMBER($D33),ISNUMBER($E33),I$4&gt;=$D33,I$4&lt;=$E33,WEEKDAY(I$4,2)&lt;=5,COUNTIF('Sources &amp; Change Log'!$J$2:$J$5,I$4)=0,COUNTIFS('Team Calendar'!$A$5:$A$12,$F33,'Team Calendar'!$C$5:$C$12,I$4)=0),1,"")</f>
        <v/>
      </c>
      <c r="J33" s="172">
        <f>IF(AND(ISNUMBER($D33),ISNUMBER($E33),J$4&gt;=$D33,J$4&lt;=$E33,WEEKDAY(J$4,2)&lt;=5,COUNTIF('Sources &amp; Change Log'!$J$2:$J$5,J$4)=0,COUNTIFS('Team Calendar'!$A$5:$A$12,$F33,'Team Calendar'!$C$5:$C$12,J$4)=0),1,"")</f>
        <v/>
      </c>
      <c r="K33" s="172">
        <f>IF(AND(ISNUMBER($D33),ISNUMBER($E33),K$4&gt;=$D33,K$4&lt;=$E33,WEEKDAY(K$4,2)&lt;=5,COUNTIF('Sources &amp; Change Log'!$J$2:$J$5,K$4)=0,COUNTIFS('Team Calendar'!$A$5:$A$12,$F33,'Team Calendar'!$C$5:$C$12,K$4)=0),1,"")</f>
        <v/>
      </c>
      <c r="L33" s="171">
        <f>IF(AND(ISNUMBER($D33),ISNUMBER($E33),L$4&gt;=$D33,L$4&lt;=$E33,WEEKDAY(L$4,2)&lt;=5,COUNTIF('Sources &amp; Change Log'!$J$2:$J$5,L$4)=0,COUNTIFS('Team Calendar'!$A$5:$A$12,$F33,'Team Calendar'!$C$5:$C$12,L$4)=0),1,"")</f>
        <v/>
      </c>
      <c r="M33" s="171">
        <f>IF(AND(ISNUMBER($D33),ISNUMBER($E33),M$4&gt;=$D33,M$4&lt;=$E33,WEEKDAY(M$4,2)&lt;=5,COUNTIF('Sources &amp; Change Log'!$J$2:$J$5,M$4)=0,COUNTIFS('Team Calendar'!$A$5:$A$12,$F33,'Team Calendar'!$C$5:$C$12,M$4)=0),1,"")</f>
        <v/>
      </c>
      <c r="N33" s="171">
        <f>IF(AND(ISNUMBER($D33),ISNUMBER($E33),N$4&gt;=$D33,N$4&lt;=$E33,WEEKDAY(N$4,2)&lt;=5,COUNTIF('Sources &amp; Change Log'!$J$2:$J$5,N$4)=0,COUNTIFS('Team Calendar'!$A$5:$A$12,$F33,'Team Calendar'!$C$5:$C$12,N$4)=0),1,"")</f>
        <v/>
      </c>
      <c r="O33" s="171">
        <f>IF(AND(ISNUMBER($D33),ISNUMBER($E33),O$4&gt;=$D33,O$4&lt;=$E33,WEEKDAY(O$4,2)&lt;=5,COUNTIF('Sources &amp; Change Log'!$J$2:$J$5,O$4)=0,COUNTIFS('Team Calendar'!$A$5:$A$12,$F33,'Team Calendar'!$C$5:$C$12,O$4)=0),1,"")</f>
        <v/>
      </c>
      <c r="P33" s="171">
        <f>IF(AND(ISNUMBER($D33),ISNUMBER($E33),P$4&gt;=$D33,P$4&lt;=$E33,WEEKDAY(P$4,2)&lt;=5,COUNTIF('Sources &amp; Change Log'!$J$2:$J$5,P$4)=0,COUNTIFS('Team Calendar'!$A$5:$A$12,$F33,'Team Calendar'!$C$5:$C$12,P$4)=0),1,"")</f>
        <v/>
      </c>
      <c r="Q33" s="172">
        <f>IF(AND(ISNUMBER($D33),ISNUMBER($E33),Q$4&gt;=$D33,Q$4&lt;=$E33,WEEKDAY(Q$4,2)&lt;=5,COUNTIF('Sources &amp; Change Log'!$J$2:$J$5,Q$4)=0,COUNTIFS('Team Calendar'!$A$5:$A$12,$F33,'Team Calendar'!$C$5:$C$12,Q$4)=0),1,"")</f>
        <v/>
      </c>
      <c r="R33" s="172">
        <f>IF(AND(ISNUMBER($D33),ISNUMBER($E33),R$4&gt;=$D33,R$4&lt;=$E33,WEEKDAY(R$4,2)&lt;=5,COUNTIF('Sources &amp; Change Log'!$J$2:$J$5,R$4)=0,COUNTIFS('Team Calendar'!$A$5:$A$12,$F33,'Team Calendar'!$C$5:$C$12,R$4)=0),1,"")</f>
        <v/>
      </c>
      <c r="S33" s="171">
        <f>IF(AND(ISNUMBER($D33),ISNUMBER($E33),S$4&gt;=$D33,S$4&lt;=$E33,WEEKDAY(S$4,2)&lt;=5,COUNTIF('Sources &amp; Change Log'!$J$2:$J$5,S$4)=0,COUNTIFS('Team Calendar'!$A$5:$A$12,$F33,'Team Calendar'!$C$5:$C$12,S$4)=0),1,"")</f>
        <v/>
      </c>
      <c r="T33" s="171">
        <f>IF(AND(ISNUMBER($D33),ISNUMBER($E33),T$4&gt;=$D33,T$4&lt;=$E33,WEEKDAY(T$4,2)&lt;=5,COUNTIF('Sources &amp; Change Log'!$J$2:$J$5,T$4)=0,COUNTIFS('Team Calendar'!$A$5:$A$12,$F33,'Team Calendar'!$C$5:$C$12,T$4)=0),1,"")</f>
        <v/>
      </c>
      <c r="U33" s="171">
        <f>IF(AND(ISNUMBER($D33),ISNUMBER($E33),U$4&gt;=$D33,U$4&lt;=$E33,WEEKDAY(U$4,2)&lt;=5,COUNTIF('Sources &amp; Change Log'!$J$2:$J$5,U$4)=0,COUNTIFS('Team Calendar'!$A$5:$A$12,$F33,'Team Calendar'!$C$5:$C$12,U$4)=0),1,"")</f>
        <v/>
      </c>
      <c r="V33" s="171">
        <f>IF(AND(ISNUMBER($D33),ISNUMBER($E33),V$4&gt;=$D33,V$4&lt;=$E33,WEEKDAY(V$4,2)&lt;=5,COUNTIF('Sources &amp; Change Log'!$J$2:$J$5,V$4)=0,COUNTIFS('Team Calendar'!$A$5:$A$12,$F33,'Team Calendar'!$C$5:$C$12,V$4)=0),1,"")</f>
        <v/>
      </c>
      <c r="W33" s="171">
        <f>IF(AND(ISNUMBER($D33),ISNUMBER($E33),W$4&gt;=$D33,W$4&lt;=$E33,WEEKDAY(W$4,2)&lt;=5,COUNTIF('Sources &amp; Change Log'!$J$2:$J$5,W$4)=0,COUNTIFS('Team Calendar'!$A$5:$A$12,$F33,'Team Calendar'!$C$5:$C$12,W$4)=0),1,"")</f>
        <v/>
      </c>
      <c r="X33" s="172">
        <f>IF(AND(ISNUMBER($D33),ISNUMBER($E33),X$4&gt;=$D33,X$4&lt;=$E33,WEEKDAY(X$4,2)&lt;=5,COUNTIF('Sources &amp; Change Log'!$J$2:$J$5,X$4)=0,COUNTIFS('Team Calendar'!$A$5:$A$12,$F33,'Team Calendar'!$C$5:$C$12,X$4)=0),1,"")</f>
        <v/>
      </c>
      <c r="Y33" s="172">
        <f>IF(AND(ISNUMBER($D33),ISNUMBER($E33),Y$4&gt;=$D33,Y$4&lt;=$E33,WEEKDAY(Y$4,2)&lt;=5,COUNTIF('Sources &amp; Change Log'!$J$2:$J$5,Y$4)=0,COUNTIFS('Team Calendar'!$A$5:$A$12,$F33,'Team Calendar'!$C$5:$C$12,Y$4)=0),1,"")</f>
        <v/>
      </c>
      <c r="Z33" s="171">
        <f>IF(AND(ISNUMBER($D33),ISNUMBER($E33),Z$4&gt;=$D33,Z$4&lt;=$E33,WEEKDAY(Z$4,2)&lt;=5,COUNTIF('Sources &amp; Change Log'!$J$2:$J$5,Z$4)=0,COUNTIFS('Team Calendar'!$A$5:$A$12,$F33,'Team Calendar'!$C$5:$C$12,Z$4)=0),1,"")</f>
        <v/>
      </c>
      <c r="AA33" s="171">
        <f>IF(AND(ISNUMBER($D33),ISNUMBER($E33),AA$4&gt;=$D33,AA$4&lt;=$E33,WEEKDAY(AA$4,2)&lt;=5,COUNTIF('Sources &amp; Change Log'!$J$2:$J$5,AA$4)=0,COUNTIFS('Team Calendar'!$A$5:$A$12,$F33,'Team Calendar'!$C$5:$C$12,AA$4)=0),1,"")</f>
        <v/>
      </c>
      <c r="AB33" s="171">
        <f>IF(AND(ISNUMBER($D33),ISNUMBER($E33),AB$4&gt;=$D33,AB$4&lt;=$E33,WEEKDAY(AB$4,2)&lt;=5,COUNTIF('Sources &amp; Change Log'!$J$2:$J$5,AB$4)=0,COUNTIFS('Team Calendar'!$A$5:$A$12,$F33,'Team Calendar'!$C$5:$C$12,AB$4)=0),1,"")</f>
        <v/>
      </c>
      <c r="AC33" s="171">
        <f>IF(AND(ISNUMBER($D33),ISNUMBER($E33),AC$4&gt;=$D33,AC$4&lt;=$E33,WEEKDAY(AC$4,2)&lt;=5,COUNTIF('Sources &amp; Change Log'!$J$2:$J$5,AC$4)=0,COUNTIFS('Team Calendar'!$A$5:$A$12,$F33,'Team Calendar'!$C$5:$C$12,AC$4)=0),1,"")</f>
        <v/>
      </c>
      <c r="AD33" s="171">
        <f>IF(AND(ISNUMBER($D33),ISNUMBER($E33),AD$4&gt;=$D33,AD$4&lt;=$E33,WEEKDAY(AD$4,2)&lt;=5,COUNTIF('Sources &amp; Change Log'!$J$2:$J$5,AD$4)=0,COUNTIFS('Team Calendar'!$A$5:$A$12,$F33,'Team Calendar'!$C$5:$C$12,AD$4)=0),1,"")</f>
        <v/>
      </c>
      <c r="AE33" s="172">
        <f>IF(AND(ISNUMBER($D33),ISNUMBER($E33),AE$4&gt;=$D33,AE$4&lt;=$E33,WEEKDAY(AE$4,2)&lt;=5,COUNTIF('Sources &amp; Change Log'!$J$2:$J$5,AE$4)=0,COUNTIFS('Team Calendar'!$A$5:$A$12,$F33,'Team Calendar'!$C$5:$C$12,AE$4)=0),1,"")</f>
        <v/>
      </c>
      <c r="AF33" s="172">
        <f>IF(AND(ISNUMBER($D33),ISNUMBER($E33),AF$4&gt;=$D33,AF$4&lt;=$E33,WEEKDAY(AF$4,2)&lt;=5,COUNTIF('Sources &amp; Change Log'!$J$2:$J$5,AF$4)=0,COUNTIFS('Team Calendar'!$A$5:$A$12,$F33,'Team Calendar'!$C$5:$C$12,AF$4)=0),1,"")</f>
        <v/>
      </c>
      <c r="AG33" s="171">
        <f>IF(AND(ISNUMBER($D33),ISNUMBER($E33),AG$4&gt;=$D33,AG$4&lt;=$E33,WEEKDAY(AG$4,2)&lt;=5,COUNTIF('Sources &amp; Change Log'!$J$2:$J$5,AG$4)=0,COUNTIFS('Team Calendar'!$A$5:$A$12,$F33,'Team Calendar'!$C$5:$C$12,AG$4)=0),1,"")</f>
        <v/>
      </c>
      <c r="AH33" s="171">
        <f>IF(AND(ISNUMBER($D33),ISNUMBER($E33),AH$4&gt;=$D33,AH$4&lt;=$E33,WEEKDAY(AH$4,2)&lt;=5,COUNTIF('Sources &amp; Change Log'!$J$2:$J$5,AH$4)=0,COUNTIFS('Team Calendar'!$A$5:$A$12,$F33,'Team Calendar'!$C$5:$C$12,AH$4)=0),1,"")</f>
        <v/>
      </c>
      <c r="AI33" s="171">
        <f>IF(AND(ISNUMBER($D33),ISNUMBER($E33),AI$4&gt;=$D33,AI$4&lt;=$E33,WEEKDAY(AI$4,2)&lt;=5,COUNTIF('Sources &amp; Change Log'!$J$2:$J$5,AI$4)=0,COUNTIFS('Team Calendar'!$A$5:$A$12,$F33,'Team Calendar'!$C$5:$C$12,AI$4)=0),1,"")</f>
        <v/>
      </c>
    </row>
    <row r="34" ht="28" customHeight="1">
      <c r="A34">
        <f>WBS!A58</f>
        <v/>
      </c>
      <c r="B34">
        <f>WBS!B58</f>
        <v/>
      </c>
      <c r="C34">
        <f>WBS!G58</f>
        <v/>
      </c>
      <c r="D34" s="170">
        <f>IF(WBS!H58="","",WBS!H58)</f>
        <v/>
      </c>
      <c r="E34" s="170">
        <f>IF(WBS!I58="","",WBS!I58)</f>
        <v/>
      </c>
      <c r="F34">
        <f>WBS!L58</f>
        <v/>
      </c>
      <c r="G34" s="171">
        <f>IF(AND(ISNUMBER($D34),ISNUMBER($E34),G$4&gt;=$D34,G$4&lt;=$E34,WEEKDAY(G$4,2)&lt;=5,COUNTIF('Sources &amp; Change Log'!$J$2:$J$5,G$4)=0,COUNTIFS('Team Calendar'!$A$5:$A$12,$F34,'Team Calendar'!$C$5:$C$12,G$4)=0),1,"")</f>
        <v/>
      </c>
      <c r="H34" s="171">
        <f>IF(AND(ISNUMBER($D34),ISNUMBER($E34),H$4&gt;=$D34,H$4&lt;=$E34,WEEKDAY(H$4,2)&lt;=5,COUNTIF('Sources &amp; Change Log'!$J$2:$J$5,H$4)=0,COUNTIFS('Team Calendar'!$A$5:$A$12,$F34,'Team Calendar'!$C$5:$C$12,H$4)=0),1,"")</f>
        <v/>
      </c>
      <c r="I34" s="171">
        <f>IF(AND(ISNUMBER($D34),ISNUMBER($E34),I$4&gt;=$D34,I$4&lt;=$E34,WEEKDAY(I$4,2)&lt;=5,COUNTIF('Sources &amp; Change Log'!$J$2:$J$5,I$4)=0,COUNTIFS('Team Calendar'!$A$5:$A$12,$F34,'Team Calendar'!$C$5:$C$12,I$4)=0),1,"")</f>
        <v/>
      </c>
      <c r="J34" s="172">
        <f>IF(AND(ISNUMBER($D34),ISNUMBER($E34),J$4&gt;=$D34,J$4&lt;=$E34,WEEKDAY(J$4,2)&lt;=5,COUNTIF('Sources &amp; Change Log'!$J$2:$J$5,J$4)=0,COUNTIFS('Team Calendar'!$A$5:$A$12,$F34,'Team Calendar'!$C$5:$C$12,J$4)=0),1,"")</f>
        <v/>
      </c>
      <c r="K34" s="172">
        <f>IF(AND(ISNUMBER($D34),ISNUMBER($E34),K$4&gt;=$D34,K$4&lt;=$E34,WEEKDAY(K$4,2)&lt;=5,COUNTIF('Sources &amp; Change Log'!$J$2:$J$5,K$4)=0,COUNTIFS('Team Calendar'!$A$5:$A$12,$F34,'Team Calendar'!$C$5:$C$12,K$4)=0),1,"")</f>
        <v/>
      </c>
      <c r="L34" s="171">
        <f>IF(AND(ISNUMBER($D34),ISNUMBER($E34),L$4&gt;=$D34,L$4&lt;=$E34,WEEKDAY(L$4,2)&lt;=5,COUNTIF('Sources &amp; Change Log'!$J$2:$J$5,L$4)=0,COUNTIFS('Team Calendar'!$A$5:$A$12,$F34,'Team Calendar'!$C$5:$C$12,L$4)=0),1,"")</f>
        <v/>
      </c>
      <c r="M34" s="171">
        <f>IF(AND(ISNUMBER($D34),ISNUMBER($E34),M$4&gt;=$D34,M$4&lt;=$E34,WEEKDAY(M$4,2)&lt;=5,COUNTIF('Sources &amp; Change Log'!$J$2:$J$5,M$4)=0,COUNTIFS('Team Calendar'!$A$5:$A$12,$F34,'Team Calendar'!$C$5:$C$12,M$4)=0),1,"")</f>
        <v/>
      </c>
      <c r="N34" s="171">
        <f>IF(AND(ISNUMBER($D34),ISNUMBER($E34),N$4&gt;=$D34,N$4&lt;=$E34,WEEKDAY(N$4,2)&lt;=5,COUNTIF('Sources &amp; Change Log'!$J$2:$J$5,N$4)=0,COUNTIFS('Team Calendar'!$A$5:$A$12,$F34,'Team Calendar'!$C$5:$C$12,N$4)=0),1,"")</f>
        <v/>
      </c>
      <c r="O34" s="171">
        <f>IF(AND(ISNUMBER($D34),ISNUMBER($E34),O$4&gt;=$D34,O$4&lt;=$E34,WEEKDAY(O$4,2)&lt;=5,COUNTIF('Sources &amp; Change Log'!$J$2:$J$5,O$4)=0,COUNTIFS('Team Calendar'!$A$5:$A$12,$F34,'Team Calendar'!$C$5:$C$12,O$4)=0),1,"")</f>
        <v/>
      </c>
      <c r="P34" s="171">
        <f>IF(AND(ISNUMBER($D34),ISNUMBER($E34),P$4&gt;=$D34,P$4&lt;=$E34,WEEKDAY(P$4,2)&lt;=5,COUNTIF('Sources &amp; Change Log'!$J$2:$J$5,P$4)=0,COUNTIFS('Team Calendar'!$A$5:$A$12,$F34,'Team Calendar'!$C$5:$C$12,P$4)=0),1,"")</f>
        <v/>
      </c>
      <c r="Q34" s="172">
        <f>IF(AND(ISNUMBER($D34),ISNUMBER($E34),Q$4&gt;=$D34,Q$4&lt;=$E34,WEEKDAY(Q$4,2)&lt;=5,COUNTIF('Sources &amp; Change Log'!$J$2:$J$5,Q$4)=0,COUNTIFS('Team Calendar'!$A$5:$A$12,$F34,'Team Calendar'!$C$5:$C$12,Q$4)=0),1,"")</f>
        <v/>
      </c>
      <c r="R34" s="172">
        <f>IF(AND(ISNUMBER($D34),ISNUMBER($E34),R$4&gt;=$D34,R$4&lt;=$E34,WEEKDAY(R$4,2)&lt;=5,COUNTIF('Sources &amp; Change Log'!$J$2:$J$5,R$4)=0,COUNTIFS('Team Calendar'!$A$5:$A$12,$F34,'Team Calendar'!$C$5:$C$12,R$4)=0),1,"")</f>
        <v/>
      </c>
      <c r="S34" s="171">
        <f>IF(AND(ISNUMBER($D34),ISNUMBER($E34),S$4&gt;=$D34,S$4&lt;=$E34,WEEKDAY(S$4,2)&lt;=5,COUNTIF('Sources &amp; Change Log'!$J$2:$J$5,S$4)=0,COUNTIFS('Team Calendar'!$A$5:$A$12,$F34,'Team Calendar'!$C$5:$C$12,S$4)=0),1,"")</f>
        <v/>
      </c>
      <c r="T34" s="171">
        <f>IF(AND(ISNUMBER($D34),ISNUMBER($E34),T$4&gt;=$D34,T$4&lt;=$E34,WEEKDAY(T$4,2)&lt;=5,COUNTIF('Sources &amp; Change Log'!$J$2:$J$5,T$4)=0,COUNTIFS('Team Calendar'!$A$5:$A$12,$F34,'Team Calendar'!$C$5:$C$12,T$4)=0),1,"")</f>
        <v/>
      </c>
      <c r="U34" s="171">
        <f>IF(AND(ISNUMBER($D34),ISNUMBER($E34),U$4&gt;=$D34,U$4&lt;=$E34,WEEKDAY(U$4,2)&lt;=5,COUNTIF('Sources &amp; Change Log'!$J$2:$J$5,U$4)=0,COUNTIFS('Team Calendar'!$A$5:$A$12,$F34,'Team Calendar'!$C$5:$C$12,U$4)=0),1,"")</f>
        <v/>
      </c>
      <c r="V34" s="171">
        <f>IF(AND(ISNUMBER($D34),ISNUMBER($E34),V$4&gt;=$D34,V$4&lt;=$E34,WEEKDAY(V$4,2)&lt;=5,COUNTIF('Sources &amp; Change Log'!$J$2:$J$5,V$4)=0,COUNTIFS('Team Calendar'!$A$5:$A$12,$F34,'Team Calendar'!$C$5:$C$12,V$4)=0),1,"")</f>
        <v/>
      </c>
      <c r="W34" s="171">
        <f>IF(AND(ISNUMBER($D34),ISNUMBER($E34),W$4&gt;=$D34,W$4&lt;=$E34,WEEKDAY(W$4,2)&lt;=5,COUNTIF('Sources &amp; Change Log'!$J$2:$J$5,W$4)=0,COUNTIFS('Team Calendar'!$A$5:$A$12,$F34,'Team Calendar'!$C$5:$C$12,W$4)=0),1,"")</f>
        <v/>
      </c>
      <c r="X34" s="172">
        <f>IF(AND(ISNUMBER($D34),ISNUMBER($E34),X$4&gt;=$D34,X$4&lt;=$E34,WEEKDAY(X$4,2)&lt;=5,COUNTIF('Sources &amp; Change Log'!$J$2:$J$5,X$4)=0,COUNTIFS('Team Calendar'!$A$5:$A$12,$F34,'Team Calendar'!$C$5:$C$12,X$4)=0),1,"")</f>
        <v/>
      </c>
      <c r="Y34" s="172">
        <f>IF(AND(ISNUMBER($D34),ISNUMBER($E34),Y$4&gt;=$D34,Y$4&lt;=$E34,WEEKDAY(Y$4,2)&lt;=5,COUNTIF('Sources &amp; Change Log'!$J$2:$J$5,Y$4)=0,COUNTIFS('Team Calendar'!$A$5:$A$12,$F34,'Team Calendar'!$C$5:$C$12,Y$4)=0),1,"")</f>
        <v/>
      </c>
      <c r="Z34" s="171">
        <f>IF(AND(ISNUMBER($D34),ISNUMBER($E34),Z$4&gt;=$D34,Z$4&lt;=$E34,WEEKDAY(Z$4,2)&lt;=5,COUNTIF('Sources &amp; Change Log'!$J$2:$J$5,Z$4)=0,COUNTIFS('Team Calendar'!$A$5:$A$12,$F34,'Team Calendar'!$C$5:$C$12,Z$4)=0),1,"")</f>
        <v/>
      </c>
      <c r="AA34" s="171">
        <f>IF(AND(ISNUMBER($D34),ISNUMBER($E34),AA$4&gt;=$D34,AA$4&lt;=$E34,WEEKDAY(AA$4,2)&lt;=5,COUNTIF('Sources &amp; Change Log'!$J$2:$J$5,AA$4)=0,COUNTIFS('Team Calendar'!$A$5:$A$12,$F34,'Team Calendar'!$C$5:$C$12,AA$4)=0),1,"")</f>
        <v/>
      </c>
      <c r="AB34" s="171">
        <f>IF(AND(ISNUMBER($D34),ISNUMBER($E34),AB$4&gt;=$D34,AB$4&lt;=$E34,WEEKDAY(AB$4,2)&lt;=5,COUNTIF('Sources &amp; Change Log'!$J$2:$J$5,AB$4)=0,COUNTIFS('Team Calendar'!$A$5:$A$12,$F34,'Team Calendar'!$C$5:$C$12,AB$4)=0),1,"")</f>
        <v/>
      </c>
      <c r="AC34" s="171">
        <f>IF(AND(ISNUMBER($D34),ISNUMBER($E34),AC$4&gt;=$D34,AC$4&lt;=$E34,WEEKDAY(AC$4,2)&lt;=5,COUNTIF('Sources &amp; Change Log'!$J$2:$J$5,AC$4)=0,COUNTIFS('Team Calendar'!$A$5:$A$12,$F34,'Team Calendar'!$C$5:$C$12,AC$4)=0),1,"")</f>
        <v/>
      </c>
      <c r="AD34" s="171">
        <f>IF(AND(ISNUMBER($D34),ISNUMBER($E34),AD$4&gt;=$D34,AD$4&lt;=$E34,WEEKDAY(AD$4,2)&lt;=5,COUNTIF('Sources &amp; Change Log'!$J$2:$J$5,AD$4)=0,COUNTIFS('Team Calendar'!$A$5:$A$12,$F34,'Team Calendar'!$C$5:$C$12,AD$4)=0),1,"")</f>
        <v/>
      </c>
      <c r="AE34" s="172">
        <f>IF(AND(ISNUMBER($D34),ISNUMBER($E34),AE$4&gt;=$D34,AE$4&lt;=$E34,WEEKDAY(AE$4,2)&lt;=5,COUNTIF('Sources &amp; Change Log'!$J$2:$J$5,AE$4)=0,COUNTIFS('Team Calendar'!$A$5:$A$12,$F34,'Team Calendar'!$C$5:$C$12,AE$4)=0),1,"")</f>
        <v/>
      </c>
      <c r="AF34" s="172">
        <f>IF(AND(ISNUMBER($D34),ISNUMBER($E34),AF$4&gt;=$D34,AF$4&lt;=$E34,WEEKDAY(AF$4,2)&lt;=5,COUNTIF('Sources &amp; Change Log'!$J$2:$J$5,AF$4)=0,COUNTIFS('Team Calendar'!$A$5:$A$12,$F34,'Team Calendar'!$C$5:$C$12,AF$4)=0),1,"")</f>
        <v/>
      </c>
      <c r="AG34" s="171">
        <f>IF(AND(ISNUMBER($D34),ISNUMBER($E34),AG$4&gt;=$D34,AG$4&lt;=$E34,WEEKDAY(AG$4,2)&lt;=5,COUNTIF('Sources &amp; Change Log'!$J$2:$J$5,AG$4)=0,COUNTIFS('Team Calendar'!$A$5:$A$12,$F34,'Team Calendar'!$C$5:$C$12,AG$4)=0),1,"")</f>
        <v/>
      </c>
      <c r="AH34" s="171">
        <f>IF(AND(ISNUMBER($D34),ISNUMBER($E34),AH$4&gt;=$D34,AH$4&lt;=$E34,WEEKDAY(AH$4,2)&lt;=5,COUNTIF('Sources &amp; Change Log'!$J$2:$J$5,AH$4)=0,COUNTIFS('Team Calendar'!$A$5:$A$12,$F34,'Team Calendar'!$C$5:$C$12,AH$4)=0),1,"")</f>
        <v/>
      </c>
      <c r="AI34" s="171">
        <f>IF(AND(ISNUMBER($D34),ISNUMBER($E34),AI$4&gt;=$D34,AI$4&lt;=$E34,WEEKDAY(AI$4,2)&lt;=5,COUNTIF('Sources &amp; Change Log'!$J$2:$J$5,AI$4)=0,COUNTIFS('Team Calendar'!$A$5:$A$12,$F34,'Team Calendar'!$C$5:$C$12,AI$4)=0),1,"")</f>
        <v/>
      </c>
    </row>
    <row r="35" ht="42" customHeight="1">
      <c r="A35" s="146">
        <f>WBS!A59</f>
        <v/>
      </c>
      <c r="B35" s="146">
        <f>WBS!B59</f>
        <v/>
      </c>
      <c r="C35" s="146">
        <f>WBS!G59</f>
        <v/>
      </c>
      <c r="D35" s="174">
        <f>IF(WBS!H59="","",WBS!H59)</f>
        <v/>
      </c>
      <c r="E35" s="174">
        <f>IF(WBS!I59="","",WBS!I59)</f>
        <v/>
      </c>
      <c r="F35" s="146">
        <f>WBS!L59</f>
        <v/>
      </c>
      <c r="G35" s="175">
        <f>IF(AND(ISNUMBER($D35),ISNUMBER($E35),G$4&gt;=$D35,G$4&lt;=$E35,WEEKDAY(G$4,2)&lt;=5,COUNTIF('Sources &amp; Change Log'!$J$2:$J$5,G$4)=0,COUNTIFS('Team Calendar'!$A$5:$A$12,$F35,'Team Calendar'!$C$5:$C$12,G$4)=0),1,"")</f>
        <v/>
      </c>
      <c r="H35" s="175">
        <f>IF(AND(ISNUMBER($D35),ISNUMBER($E35),H$4&gt;=$D35,H$4&lt;=$E35,WEEKDAY(H$4,2)&lt;=5,COUNTIF('Sources &amp; Change Log'!$J$2:$J$5,H$4)=0,COUNTIFS('Team Calendar'!$A$5:$A$12,$F35,'Team Calendar'!$C$5:$C$12,H$4)=0),1,"")</f>
        <v/>
      </c>
      <c r="I35" s="175">
        <f>IF(AND(ISNUMBER($D35),ISNUMBER($E35),I$4&gt;=$D35,I$4&lt;=$E35,WEEKDAY(I$4,2)&lt;=5,COUNTIF('Sources &amp; Change Log'!$J$2:$J$5,I$4)=0,COUNTIFS('Team Calendar'!$A$5:$A$12,$F35,'Team Calendar'!$C$5:$C$12,I$4)=0),1,"")</f>
        <v/>
      </c>
      <c r="J35" s="175">
        <f>IF(AND(ISNUMBER($D35),ISNUMBER($E35),J$4&gt;=$D35,J$4&lt;=$E35,WEEKDAY(J$4,2)&lt;=5,COUNTIF('Sources &amp; Change Log'!$J$2:$J$5,J$4)=0,COUNTIFS('Team Calendar'!$A$5:$A$12,$F35,'Team Calendar'!$C$5:$C$12,J$4)=0),1,"")</f>
        <v/>
      </c>
      <c r="K35" s="175">
        <f>IF(AND(ISNUMBER($D35),ISNUMBER($E35),K$4&gt;=$D35,K$4&lt;=$E35,WEEKDAY(K$4,2)&lt;=5,COUNTIF('Sources &amp; Change Log'!$J$2:$J$5,K$4)=0,COUNTIFS('Team Calendar'!$A$5:$A$12,$F35,'Team Calendar'!$C$5:$C$12,K$4)=0),1,"")</f>
        <v/>
      </c>
      <c r="L35" s="175">
        <f>IF(AND(ISNUMBER($D35),ISNUMBER($E35),L$4&gt;=$D35,L$4&lt;=$E35,WEEKDAY(L$4,2)&lt;=5,COUNTIF('Sources &amp; Change Log'!$J$2:$J$5,L$4)=0,COUNTIFS('Team Calendar'!$A$5:$A$12,$F35,'Team Calendar'!$C$5:$C$12,L$4)=0),1,"")</f>
        <v/>
      </c>
      <c r="M35" s="175">
        <f>IF(AND(ISNUMBER($D35),ISNUMBER($E35),M$4&gt;=$D35,M$4&lt;=$E35,WEEKDAY(M$4,2)&lt;=5,COUNTIF('Sources &amp; Change Log'!$J$2:$J$5,M$4)=0,COUNTIFS('Team Calendar'!$A$5:$A$12,$F35,'Team Calendar'!$C$5:$C$12,M$4)=0),1,"")</f>
        <v/>
      </c>
      <c r="N35" s="175">
        <f>IF(AND(ISNUMBER($D35),ISNUMBER($E35),N$4&gt;=$D35,N$4&lt;=$E35,WEEKDAY(N$4,2)&lt;=5,COUNTIF('Sources &amp; Change Log'!$J$2:$J$5,N$4)=0,COUNTIFS('Team Calendar'!$A$5:$A$12,$F35,'Team Calendar'!$C$5:$C$12,N$4)=0),1,"")</f>
        <v/>
      </c>
      <c r="O35" s="175">
        <f>IF(AND(ISNUMBER($D35),ISNUMBER($E35),O$4&gt;=$D35,O$4&lt;=$E35,WEEKDAY(O$4,2)&lt;=5,COUNTIF('Sources &amp; Change Log'!$J$2:$J$5,O$4)=0,COUNTIFS('Team Calendar'!$A$5:$A$12,$F35,'Team Calendar'!$C$5:$C$12,O$4)=0),1,"")</f>
        <v/>
      </c>
      <c r="P35" s="175">
        <f>IF(AND(ISNUMBER($D35),ISNUMBER($E35),P$4&gt;=$D35,P$4&lt;=$E35,WEEKDAY(P$4,2)&lt;=5,COUNTIF('Sources &amp; Change Log'!$J$2:$J$5,P$4)=0,COUNTIFS('Team Calendar'!$A$5:$A$12,$F35,'Team Calendar'!$C$5:$C$12,P$4)=0),1,"")</f>
        <v/>
      </c>
      <c r="Q35" s="175">
        <f>IF(AND(ISNUMBER($D35),ISNUMBER($E35),Q$4&gt;=$D35,Q$4&lt;=$E35,WEEKDAY(Q$4,2)&lt;=5,COUNTIF('Sources &amp; Change Log'!$J$2:$J$5,Q$4)=0,COUNTIFS('Team Calendar'!$A$5:$A$12,$F35,'Team Calendar'!$C$5:$C$12,Q$4)=0),1,"")</f>
        <v/>
      </c>
      <c r="R35" s="175">
        <f>IF(AND(ISNUMBER($D35),ISNUMBER($E35),R$4&gt;=$D35,R$4&lt;=$E35,WEEKDAY(R$4,2)&lt;=5,COUNTIF('Sources &amp; Change Log'!$J$2:$J$5,R$4)=0,COUNTIFS('Team Calendar'!$A$5:$A$12,$F35,'Team Calendar'!$C$5:$C$12,R$4)=0),1,"")</f>
        <v/>
      </c>
      <c r="S35" s="175">
        <f>IF(AND(ISNUMBER($D35),ISNUMBER($E35),S$4&gt;=$D35,S$4&lt;=$E35,WEEKDAY(S$4,2)&lt;=5,COUNTIF('Sources &amp; Change Log'!$J$2:$J$5,S$4)=0,COUNTIFS('Team Calendar'!$A$5:$A$12,$F35,'Team Calendar'!$C$5:$C$12,S$4)=0),1,"")</f>
        <v/>
      </c>
      <c r="T35" s="175">
        <f>IF(AND(ISNUMBER($D35),ISNUMBER($E35),T$4&gt;=$D35,T$4&lt;=$E35,WEEKDAY(T$4,2)&lt;=5,COUNTIF('Sources &amp; Change Log'!$J$2:$J$5,T$4)=0,COUNTIFS('Team Calendar'!$A$5:$A$12,$F35,'Team Calendar'!$C$5:$C$12,T$4)=0),1,"")</f>
        <v/>
      </c>
      <c r="U35" s="175">
        <f>IF(AND(ISNUMBER($D35),ISNUMBER($E35),U$4&gt;=$D35,U$4&lt;=$E35,WEEKDAY(U$4,2)&lt;=5,COUNTIF('Sources &amp; Change Log'!$J$2:$J$5,U$4)=0,COUNTIFS('Team Calendar'!$A$5:$A$12,$F35,'Team Calendar'!$C$5:$C$12,U$4)=0),1,"")</f>
        <v/>
      </c>
      <c r="V35" s="175">
        <f>IF(AND(ISNUMBER($D35),ISNUMBER($E35),V$4&gt;=$D35,V$4&lt;=$E35,WEEKDAY(V$4,2)&lt;=5,COUNTIF('Sources &amp; Change Log'!$J$2:$J$5,V$4)=0,COUNTIFS('Team Calendar'!$A$5:$A$12,$F35,'Team Calendar'!$C$5:$C$12,V$4)=0),1,"")</f>
        <v/>
      </c>
      <c r="W35" s="175">
        <f>IF(AND(ISNUMBER($D35),ISNUMBER($E35),W$4&gt;=$D35,W$4&lt;=$E35,WEEKDAY(W$4,2)&lt;=5,COUNTIF('Sources &amp; Change Log'!$J$2:$J$5,W$4)=0,COUNTIFS('Team Calendar'!$A$5:$A$12,$F35,'Team Calendar'!$C$5:$C$12,W$4)=0),1,"")</f>
        <v/>
      </c>
      <c r="X35" s="175">
        <f>IF(AND(ISNUMBER($D35),ISNUMBER($E35),X$4&gt;=$D35,X$4&lt;=$E35,WEEKDAY(X$4,2)&lt;=5,COUNTIF('Sources &amp; Change Log'!$J$2:$J$5,X$4)=0,COUNTIFS('Team Calendar'!$A$5:$A$12,$F35,'Team Calendar'!$C$5:$C$12,X$4)=0),1,"")</f>
        <v/>
      </c>
      <c r="Y35" s="175">
        <f>IF(AND(ISNUMBER($D35),ISNUMBER($E35),Y$4&gt;=$D35,Y$4&lt;=$E35,WEEKDAY(Y$4,2)&lt;=5,COUNTIF('Sources &amp; Change Log'!$J$2:$J$5,Y$4)=0,COUNTIFS('Team Calendar'!$A$5:$A$12,$F35,'Team Calendar'!$C$5:$C$12,Y$4)=0),1,"")</f>
        <v/>
      </c>
      <c r="Z35" s="175">
        <f>IF(AND(ISNUMBER($D35),ISNUMBER($E35),Z$4&gt;=$D35,Z$4&lt;=$E35,WEEKDAY(Z$4,2)&lt;=5,COUNTIF('Sources &amp; Change Log'!$J$2:$J$5,Z$4)=0,COUNTIFS('Team Calendar'!$A$5:$A$12,$F35,'Team Calendar'!$C$5:$C$12,Z$4)=0),1,"")</f>
        <v/>
      </c>
      <c r="AA35" s="175">
        <f>IF(AND(ISNUMBER($D35),ISNUMBER($E35),AA$4&gt;=$D35,AA$4&lt;=$E35,WEEKDAY(AA$4,2)&lt;=5,COUNTIF('Sources &amp; Change Log'!$J$2:$J$5,AA$4)=0,COUNTIFS('Team Calendar'!$A$5:$A$12,$F35,'Team Calendar'!$C$5:$C$12,AA$4)=0),1,"")</f>
        <v/>
      </c>
      <c r="AB35" s="175">
        <f>IF(AND(ISNUMBER($D35),ISNUMBER($E35),AB$4&gt;=$D35,AB$4&lt;=$E35,WEEKDAY(AB$4,2)&lt;=5,COUNTIF('Sources &amp; Change Log'!$J$2:$J$5,AB$4)=0,COUNTIFS('Team Calendar'!$A$5:$A$12,$F35,'Team Calendar'!$C$5:$C$12,AB$4)=0),1,"")</f>
        <v/>
      </c>
      <c r="AC35" s="175">
        <f>IF(AND(ISNUMBER($D35),ISNUMBER($E35),AC$4&gt;=$D35,AC$4&lt;=$E35,WEEKDAY(AC$4,2)&lt;=5,COUNTIF('Sources &amp; Change Log'!$J$2:$J$5,AC$4)=0,COUNTIFS('Team Calendar'!$A$5:$A$12,$F35,'Team Calendar'!$C$5:$C$12,AC$4)=0),1,"")</f>
        <v/>
      </c>
      <c r="AD35" s="175">
        <f>IF(AND(ISNUMBER($D35),ISNUMBER($E35),AD$4&gt;=$D35,AD$4&lt;=$E35,WEEKDAY(AD$4,2)&lt;=5,COUNTIF('Sources &amp; Change Log'!$J$2:$J$5,AD$4)=0,COUNTIFS('Team Calendar'!$A$5:$A$12,$F35,'Team Calendar'!$C$5:$C$12,AD$4)=0),1,"")</f>
        <v/>
      </c>
      <c r="AE35" s="175">
        <f>IF(AND(ISNUMBER($D35),ISNUMBER($E35),AE$4&gt;=$D35,AE$4&lt;=$E35,WEEKDAY(AE$4,2)&lt;=5,COUNTIF('Sources &amp; Change Log'!$J$2:$J$5,AE$4)=0,COUNTIFS('Team Calendar'!$A$5:$A$12,$F35,'Team Calendar'!$C$5:$C$12,AE$4)=0),1,"")</f>
        <v/>
      </c>
      <c r="AF35" s="175">
        <f>IF(AND(ISNUMBER($D35),ISNUMBER($E35),AF$4&gt;=$D35,AF$4&lt;=$E35,WEEKDAY(AF$4,2)&lt;=5,COUNTIF('Sources &amp; Change Log'!$J$2:$J$5,AF$4)=0,COUNTIFS('Team Calendar'!$A$5:$A$12,$F35,'Team Calendar'!$C$5:$C$12,AF$4)=0),1,"")</f>
        <v/>
      </c>
      <c r="AG35" s="175">
        <f>IF(AND(ISNUMBER($D35),ISNUMBER($E35),AG$4&gt;=$D35,AG$4&lt;=$E35,WEEKDAY(AG$4,2)&lt;=5,COUNTIF('Sources &amp; Change Log'!$J$2:$J$5,AG$4)=0,COUNTIFS('Team Calendar'!$A$5:$A$12,$F35,'Team Calendar'!$C$5:$C$12,AG$4)=0),1,"")</f>
        <v/>
      </c>
      <c r="AH35" s="175">
        <f>IF(AND(ISNUMBER($D35),ISNUMBER($E35),AH$4&gt;=$D35,AH$4&lt;=$E35,WEEKDAY(AH$4,2)&lt;=5,COUNTIF('Sources &amp; Change Log'!$J$2:$J$5,AH$4)=0,COUNTIFS('Team Calendar'!$A$5:$A$12,$F35,'Team Calendar'!$C$5:$C$12,AH$4)=0),1,"")</f>
        <v/>
      </c>
      <c r="AI35" s="175">
        <f>IF(AND(ISNUMBER($D35),ISNUMBER($E35),AI$4&gt;=$D35,AI$4&lt;=$E35,WEEKDAY(AI$4,2)&lt;=5,COUNTIF('Sources &amp; Change Log'!$J$2:$J$5,AI$4)=0,COUNTIFS('Team Calendar'!$A$5:$A$12,$F35,'Team Calendar'!$C$5:$C$12,AI$4)=0),1,"")</f>
        <v/>
      </c>
    </row>
    <row r="36" ht="42" customHeight="1">
      <c r="A36" s="146">
        <f>WBS!A60</f>
        <v/>
      </c>
      <c r="B36" s="146">
        <f>WBS!B60</f>
        <v/>
      </c>
      <c r="C36" s="146">
        <f>WBS!G60</f>
        <v/>
      </c>
      <c r="D36" s="174">
        <f>IF(WBS!H60="","",WBS!H60)</f>
        <v/>
      </c>
      <c r="E36" s="174">
        <f>IF(WBS!I60="","",WBS!I60)</f>
        <v/>
      </c>
      <c r="F36" s="146">
        <f>WBS!L60</f>
        <v/>
      </c>
      <c r="G36" s="175">
        <f>IF(AND(ISNUMBER($D36),ISNUMBER($E36),G$4&gt;=$D36,G$4&lt;=$E36,WEEKDAY(G$4,2)&lt;=5,COUNTIF('Sources &amp; Change Log'!$J$2:$J$5,G$4)=0,COUNTIFS('Team Calendar'!$A$5:$A$12,$F36,'Team Calendar'!$C$5:$C$12,G$4)=0),1,"")</f>
        <v/>
      </c>
      <c r="H36" s="175">
        <f>IF(AND(ISNUMBER($D36),ISNUMBER($E36),H$4&gt;=$D36,H$4&lt;=$E36,WEEKDAY(H$4,2)&lt;=5,COUNTIF('Sources &amp; Change Log'!$J$2:$J$5,H$4)=0,COUNTIFS('Team Calendar'!$A$5:$A$12,$F36,'Team Calendar'!$C$5:$C$12,H$4)=0),1,"")</f>
        <v/>
      </c>
      <c r="I36" s="175">
        <f>IF(AND(ISNUMBER($D36),ISNUMBER($E36),I$4&gt;=$D36,I$4&lt;=$E36,WEEKDAY(I$4,2)&lt;=5,COUNTIF('Sources &amp; Change Log'!$J$2:$J$5,I$4)=0,COUNTIFS('Team Calendar'!$A$5:$A$12,$F36,'Team Calendar'!$C$5:$C$12,I$4)=0),1,"")</f>
        <v/>
      </c>
      <c r="J36" s="175">
        <f>IF(AND(ISNUMBER($D36),ISNUMBER($E36),J$4&gt;=$D36,J$4&lt;=$E36,WEEKDAY(J$4,2)&lt;=5,COUNTIF('Sources &amp; Change Log'!$J$2:$J$5,J$4)=0,COUNTIFS('Team Calendar'!$A$5:$A$12,$F36,'Team Calendar'!$C$5:$C$12,J$4)=0),1,"")</f>
        <v/>
      </c>
      <c r="K36" s="175">
        <f>IF(AND(ISNUMBER($D36),ISNUMBER($E36),K$4&gt;=$D36,K$4&lt;=$E36,WEEKDAY(K$4,2)&lt;=5,COUNTIF('Sources &amp; Change Log'!$J$2:$J$5,K$4)=0,COUNTIFS('Team Calendar'!$A$5:$A$12,$F36,'Team Calendar'!$C$5:$C$12,K$4)=0),1,"")</f>
        <v/>
      </c>
      <c r="L36" s="175">
        <f>IF(AND(ISNUMBER($D36),ISNUMBER($E36),L$4&gt;=$D36,L$4&lt;=$E36,WEEKDAY(L$4,2)&lt;=5,COUNTIF('Sources &amp; Change Log'!$J$2:$J$5,L$4)=0,COUNTIFS('Team Calendar'!$A$5:$A$12,$F36,'Team Calendar'!$C$5:$C$12,L$4)=0),1,"")</f>
        <v/>
      </c>
      <c r="M36" s="175">
        <f>IF(AND(ISNUMBER($D36),ISNUMBER($E36),M$4&gt;=$D36,M$4&lt;=$E36,WEEKDAY(M$4,2)&lt;=5,COUNTIF('Sources &amp; Change Log'!$J$2:$J$5,M$4)=0,COUNTIFS('Team Calendar'!$A$5:$A$12,$F36,'Team Calendar'!$C$5:$C$12,M$4)=0),1,"")</f>
        <v/>
      </c>
      <c r="N36" s="175">
        <f>IF(AND(ISNUMBER($D36),ISNUMBER($E36),N$4&gt;=$D36,N$4&lt;=$E36,WEEKDAY(N$4,2)&lt;=5,COUNTIF('Sources &amp; Change Log'!$J$2:$J$5,N$4)=0,COUNTIFS('Team Calendar'!$A$5:$A$12,$F36,'Team Calendar'!$C$5:$C$12,N$4)=0),1,"")</f>
        <v/>
      </c>
      <c r="O36" s="175">
        <f>IF(AND(ISNUMBER($D36),ISNUMBER($E36),O$4&gt;=$D36,O$4&lt;=$E36,WEEKDAY(O$4,2)&lt;=5,COUNTIF('Sources &amp; Change Log'!$J$2:$J$5,O$4)=0,COUNTIFS('Team Calendar'!$A$5:$A$12,$F36,'Team Calendar'!$C$5:$C$12,O$4)=0),1,"")</f>
        <v/>
      </c>
      <c r="P36" s="175">
        <f>IF(AND(ISNUMBER($D36),ISNUMBER($E36),P$4&gt;=$D36,P$4&lt;=$E36,WEEKDAY(P$4,2)&lt;=5,COUNTIF('Sources &amp; Change Log'!$J$2:$J$5,P$4)=0,COUNTIFS('Team Calendar'!$A$5:$A$12,$F36,'Team Calendar'!$C$5:$C$12,P$4)=0),1,"")</f>
        <v/>
      </c>
      <c r="Q36" s="175">
        <f>IF(AND(ISNUMBER($D36),ISNUMBER($E36),Q$4&gt;=$D36,Q$4&lt;=$E36,WEEKDAY(Q$4,2)&lt;=5,COUNTIF('Sources &amp; Change Log'!$J$2:$J$5,Q$4)=0,COUNTIFS('Team Calendar'!$A$5:$A$12,$F36,'Team Calendar'!$C$5:$C$12,Q$4)=0),1,"")</f>
        <v/>
      </c>
      <c r="R36" s="175">
        <f>IF(AND(ISNUMBER($D36),ISNUMBER($E36),R$4&gt;=$D36,R$4&lt;=$E36,WEEKDAY(R$4,2)&lt;=5,COUNTIF('Sources &amp; Change Log'!$J$2:$J$5,R$4)=0,COUNTIFS('Team Calendar'!$A$5:$A$12,$F36,'Team Calendar'!$C$5:$C$12,R$4)=0),1,"")</f>
        <v/>
      </c>
      <c r="S36" s="175">
        <f>IF(AND(ISNUMBER($D36),ISNUMBER($E36),S$4&gt;=$D36,S$4&lt;=$E36,WEEKDAY(S$4,2)&lt;=5,COUNTIF('Sources &amp; Change Log'!$J$2:$J$5,S$4)=0,COUNTIFS('Team Calendar'!$A$5:$A$12,$F36,'Team Calendar'!$C$5:$C$12,S$4)=0),1,"")</f>
        <v/>
      </c>
      <c r="T36" s="175">
        <f>IF(AND(ISNUMBER($D36),ISNUMBER($E36),T$4&gt;=$D36,T$4&lt;=$E36,WEEKDAY(T$4,2)&lt;=5,COUNTIF('Sources &amp; Change Log'!$J$2:$J$5,T$4)=0,COUNTIFS('Team Calendar'!$A$5:$A$12,$F36,'Team Calendar'!$C$5:$C$12,T$4)=0),1,"")</f>
        <v/>
      </c>
      <c r="U36" s="175">
        <f>IF(AND(ISNUMBER($D36),ISNUMBER($E36),U$4&gt;=$D36,U$4&lt;=$E36,WEEKDAY(U$4,2)&lt;=5,COUNTIF('Sources &amp; Change Log'!$J$2:$J$5,U$4)=0,COUNTIFS('Team Calendar'!$A$5:$A$12,$F36,'Team Calendar'!$C$5:$C$12,U$4)=0),1,"")</f>
        <v/>
      </c>
      <c r="V36" s="175">
        <f>IF(AND(ISNUMBER($D36),ISNUMBER($E36),V$4&gt;=$D36,V$4&lt;=$E36,WEEKDAY(V$4,2)&lt;=5,COUNTIF('Sources &amp; Change Log'!$J$2:$J$5,V$4)=0,COUNTIFS('Team Calendar'!$A$5:$A$12,$F36,'Team Calendar'!$C$5:$C$12,V$4)=0),1,"")</f>
        <v/>
      </c>
      <c r="W36" s="175">
        <f>IF(AND(ISNUMBER($D36),ISNUMBER($E36),W$4&gt;=$D36,W$4&lt;=$E36,WEEKDAY(W$4,2)&lt;=5,COUNTIF('Sources &amp; Change Log'!$J$2:$J$5,W$4)=0,COUNTIFS('Team Calendar'!$A$5:$A$12,$F36,'Team Calendar'!$C$5:$C$12,W$4)=0),1,"")</f>
        <v/>
      </c>
      <c r="X36" s="175">
        <f>IF(AND(ISNUMBER($D36),ISNUMBER($E36),X$4&gt;=$D36,X$4&lt;=$E36,WEEKDAY(X$4,2)&lt;=5,COUNTIF('Sources &amp; Change Log'!$J$2:$J$5,X$4)=0,COUNTIFS('Team Calendar'!$A$5:$A$12,$F36,'Team Calendar'!$C$5:$C$12,X$4)=0),1,"")</f>
        <v/>
      </c>
      <c r="Y36" s="175">
        <f>IF(AND(ISNUMBER($D36),ISNUMBER($E36),Y$4&gt;=$D36,Y$4&lt;=$E36,WEEKDAY(Y$4,2)&lt;=5,COUNTIF('Sources &amp; Change Log'!$J$2:$J$5,Y$4)=0,COUNTIFS('Team Calendar'!$A$5:$A$12,$F36,'Team Calendar'!$C$5:$C$12,Y$4)=0),1,"")</f>
        <v/>
      </c>
      <c r="Z36" s="175">
        <f>IF(AND(ISNUMBER($D36),ISNUMBER($E36),Z$4&gt;=$D36,Z$4&lt;=$E36,WEEKDAY(Z$4,2)&lt;=5,COUNTIF('Sources &amp; Change Log'!$J$2:$J$5,Z$4)=0,COUNTIFS('Team Calendar'!$A$5:$A$12,$F36,'Team Calendar'!$C$5:$C$12,Z$4)=0),1,"")</f>
        <v/>
      </c>
      <c r="AA36" s="175">
        <f>IF(AND(ISNUMBER($D36),ISNUMBER($E36),AA$4&gt;=$D36,AA$4&lt;=$E36,WEEKDAY(AA$4,2)&lt;=5,COUNTIF('Sources &amp; Change Log'!$J$2:$J$5,AA$4)=0,COUNTIFS('Team Calendar'!$A$5:$A$12,$F36,'Team Calendar'!$C$5:$C$12,AA$4)=0),1,"")</f>
        <v/>
      </c>
      <c r="AB36" s="175">
        <f>IF(AND(ISNUMBER($D36),ISNUMBER($E36),AB$4&gt;=$D36,AB$4&lt;=$E36,WEEKDAY(AB$4,2)&lt;=5,COUNTIF('Sources &amp; Change Log'!$J$2:$J$5,AB$4)=0,COUNTIFS('Team Calendar'!$A$5:$A$12,$F36,'Team Calendar'!$C$5:$C$12,AB$4)=0),1,"")</f>
        <v/>
      </c>
      <c r="AC36" s="175">
        <f>IF(AND(ISNUMBER($D36),ISNUMBER($E36),AC$4&gt;=$D36,AC$4&lt;=$E36,WEEKDAY(AC$4,2)&lt;=5,COUNTIF('Sources &amp; Change Log'!$J$2:$J$5,AC$4)=0,COUNTIFS('Team Calendar'!$A$5:$A$12,$F36,'Team Calendar'!$C$5:$C$12,AC$4)=0),1,"")</f>
        <v/>
      </c>
      <c r="AD36" s="175">
        <f>IF(AND(ISNUMBER($D36),ISNUMBER($E36),AD$4&gt;=$D36,AD$4&lt;=$E36,WEEKDAY(AD$4,2)&lt;=5,COUNTIF('Sources &amp; Change Log'!$J$2:$J$5,AD$4)=0,COUNTIFS('Team Calendar'!$A$5:$A$12,$F36,'Team Calendar'!$C$5:$C$12,AD$4)=0),1,"")</f>
        <v/>
      </c>
      <c r="AE36" s="175">
        <f>IF(AND(ISNUMBER($D36),ISNUMBER($E36),AE$4&gt;=$D36,AE$4&lt;=$E36,WEEKDAY(AE$4,2)&lt;=5,COUNTIF('Sources &amp; Change Log'!$J$2:$J$5,AE$4)=0,COUNTIFS('Team Calendar'!$A$5:$A$12,$F36,'Team Calendar'!$C$5:$C$12,AE$4)=0),1,"")</f>
        <v/>
      </c>
      <c r="AF36" s="175">
        <f>IF(AND(ISNUMBER($D36),ISNUMBER($E36),AF$4&gt;=$D36,AF$4&lt;=$E36,WEEKDAY(AF$4,2)&lt;=5,COUNTIF('Sources &amp; Change Log'!$J$2:$J$5,AF$4)=0,COUNTIFS('Team Calendar'!$A$5:$A$12,$F36,'Team Calendar'!$C$5:$C$12,AF$4)=0),1,"")</f>
        <v/>
      </c>
      <c r="AG36" s="175">
        <f>IF(AND(ISNUMBER($D36),ISNUMBER($E36),AG$4&gt;=$D36,AG$4&lt;=$E36,WEEKDAY(AG$4,2)&lt;=5,COUNTIF('Sources &amp; Change Log'!$J$2:$J$5,AG$4)=0,COUNTIFS('Team Calendar'!$A$5:$A$12,$F36,'Team Calendar'!$C$5:$C$12,AG$4)=0),1,"")</f>
        <v/>
      </c>
      <c r="AH36" s="175">
        <f>IF(AND(ISNUMBER($D36),ISNUMBER($E36),AH$4&gt;=$D36,AH$4&lt;=$E36,WEEKDAY(AH$4,2)&lt;=5,COUNTIF('Sources &amp; Change Log'!$J$2:$J$5,AH$4)=0,COUNTIFS('Team Calendar'!$A$5:$A$12,$F36,'Team Calendar'!$C$5:$C$12,AH$4)=0),1,"")</f>
        <v/>
      </c>
      <c r="AI36" s="175">
        <f>IF(AND(ISNUMBER($D36),ISNUMBER($E36),AI$4&gt;=$D36,AI$4&lt;=$E36,WEEKDAY(AI$4,2)&lt;=5,COUNTIF('Sources &amp; Change Log'!$J$2:$J$5,AI$4)=0,COUNTIFS('Team Calendar'!$A$5:$A$12,$F36,'Team Calendar'!$C$5:$C$12,AI$4)=0),1,"")</f>
        <v/>
      </c>
    </row>
    <row r="37" ht="42" customHeight="1">
      <c r="A37" s="146">
        <f>WBS!A61</f>
        <v/>
      </c>
      <c r="B37" s="146">
        <f>WBS!B61</f>
        <v/>
      </c>
      <c r="C37" s="146">
        <f>WBS!G61</f>
        <v/>
      </c>
      <c r="D37" s="174">
        <f>IF(WBS!H61="","",WBS!H61)</f>
        <v/>
      </c>
      <c r="E37" s="174">
        <f>IF(WBS!I61="","",WBS!I61)</f>
        <v/>
      </c>
      <c r="F37" s="146">
        <f>WBS!L61</f>
        <v/>
      </c>
      <c r="G37" s="175">
        <f>IF(AND(ISNUMBER($D37),ISNUMBER($E37),G$4&gt;=$D37,G$4&lt;=$E37,WEEKDAY(G$4,2)&lt;=5,COUNTIF('Sources &amp; Change Log'!$J$2:$J$5,G$4)=0,COUNTIFS('Team Calendar'!$A$5:$A$12,$F37,'Team Calendar'!$C$5:$C$12,G$4)=0),1,"")</f>
        <v/>
      </c>
      <c r="H37" s="175">
        <f>IF(AND(ISNUMBER($D37),ISNUMBER($E37),H$4&gt;=$D37,H$4&lt;=$E37,WEEKDAY(H$4,2)&lt;=5,COUNTIF('Sources &amp; Change Log'!$J$2:$J$5,H$4)=0,COUNTIFS('Team Calendar'!$A$5:$A$12,$F37,'Team Calendar'!$C$5:$C$12,H$4)=0),1,"")</f>
        <v/>
      </c>
      <c r="I37" s="175">
        <f>IF(AND(ISNUMBER($D37),ISNUMBER($E37),I$4&gt;=$D37,I$4&lt;=$E37,WEEKDAY(I$4,2)&lt;=5,COUNTIF('Sources &amp; Change Log'!$J$2:$J$5,I$4)=0,COUNTIFS('Team Calendar'!$A$5:$A$12,$F37,'Team Calendar'!$C$5:$C$12,I$4)=0),1,"")</f>
        <v/>
      </c>
      <c r="J37" s="175">
        <f>IF(AND(ISNUMBER($D37),ISNUMBER($E37),J$4&gt;=$D37,J$4&lt;=$E37,WEEKDAY(J$4,2)&lt;=5,COUNTIF('Sources &amp; Change Log'!$J$2:$J$5,J$4)=0,COUNTIFS('Team Calendar'!$A$5:$A$12,$F37,'Team Calendar'!$C$5:$C$12,J$4)=0),1,"")</f>
        <v/>
      </c>
      <c r="K37" s="175">
        <f>IF(AND(ISNUMBER($D37),ISNUMBER($E37),K$4&gt;=$D37,K$4&lt;=$E37,WEEKDAY(K$4,2)&lt;=5,COUNTIF('Sources &amp; Change Log'!$J$2:$J$5,K$4)=0,COUNTIFS('Team Calendar'!$A$5:$A$12,$F37,'Team Calendar'!$C$5:$C$12,K$4)=0),1,"")</f>
        <v/>
      </c>
      <c r="L37" s="175">
        <f>IF(AND(ISNUMBER($D37),ISNUMBER($E37),L$4&gt;=$D37,L$4&lt;=$E37,WEEKDAY(L$4,2)&lt;=5,COUNTIF('Sources &amp; Change Log'!$J$2:$J$5,L$4)=0,COUNTIFS('Team Calendar'!$A$5:$A$12,$F37,'Team Calendar'!$C$5:$C$12,L$4)=0),1,"")</f>
        <v/>
      </c>
      <c r="M37" s="175">
        <f>IF(AND(ISNUMBER($D37),ISNUMBER($E37),M$4&gt;=$D37,M$4&lt;=$E37,WEEKDAY(M$4,2)&lt;=5,COUNTIF('Sources &amp; Change Log'!$J$2:$J$5,M$4)=0,COUNTIFS('Team Calendar'!$A$5:$A$12,$F37,'Team Calendar'!$C$5:$C$12,M$4)=0),1,"")</f>
        <v/>
      </c>
      <c r="N37" s="175">
        <f>IF(AND(ISNUMBER($D37),ISNUMBER($E37),N$4&gt;=$D37,N$4&lt;=$E37,WEEKDAY(N$4,2)&lt;=5,COUNTIF('Sources &amp; Change Log'!$J$2:$J$5,N$4)=0,COUNTIFS('Team Calendar'!$A$5:$A$12,$F37,'Team Calendar'!$C$5:$C$12,N$4)=0),1,"")</f>
        <v/>
      </c>
      <c r="O37" s="175">
        <f>IF(AND(ISNUMBER($D37),ISNUMBER($E37),O$4&gt;=$D37,O$4&lt;=$E37,WEEKDAY(O$4,2)&lt;=5,COUNTIF('Sources &amp; Change Log'!$J$2:$J$5,O$4)=0,COUNTIFS('Team Calendar'!$A$5:$A$12,$F37,'Team Calendar'!$C$5:$C$12,O$4)=0),1,"")</f>
        <v/>
      </c>
      <c r="P37" s="175">
        <f>IF(AND(ISNUMBER($D37),ISNUMBER($E37),P$4&gt;=$D37,P$4&lt;=$E37,WEEKDAY(P$4,2)&lt;=5,COUNTIF('Sources &amp; Change Log'!$J$2:$J$5,P$4)=0,COUNTIFS('Team Calendar'!$A$5:$A$12,$F37,'Team Calendar'!$C$5:$C$12,P$4)=0),1,"")</f>
        <v/>
      </c>
      <c r="Q37" s="175">
        <f>IF(AND(ISNUMBER($D37),ISNUMBER($E37),Q$4&gt;=$D37,Q$4&lt;=$E37,WEEKDAY(Q$4,2)&lt;=5,COUNTIF('Sources &amp; Change Log'!$J$2:$J$5,Q$4)=0,COUNTIFS('Team Calendar'!$A$5:$A$12,$F37,'Team Calendar'!$C$5:$C$12,Q$4)=0),1,"")</f>
        <v/>
      </c>
      <c r="R37" s="175">
        <f>IF(AND(ISNUMBER($D37),ISNUMBER($E37),R$4&gt;=$D37,R$4&lt;=$E37,WEEKDAY(R$4,2)&lt;=5,COUNTIF('Sources &amp; Change Log'!$J$2:$J$5,R$4)=0,COUNTIFS('Team Calendar'!$A$5:$A$12,$F37,'Team Calendar'!$C$5:$C$12,R$4)=0),1,"")</f>
        <v/>
      </c>
      <c r="S37" s="175">
        <f>IF(AND(ISNUMBER($D37),ISNUMBER($E37),S$4&gt;=$D37,S$4&lt;=$E37,WEEKDAY(S$4,2)&lt;=5,COUNTIF('Sources &amp; Change Log'!$J$2:$J$5,S$4)=0,COUNTIFS('Team Calendar'!$A$5:$A$12,$F37,'Team Calendar'!$C$5:$C$12,S$4)=0),1,"")</f>
        <v/>
      </c>
      <c r="T37" s="175">
        <f>IF(AND(ISNUMBER($D37),ISNUMBER($E37),T$4&gt;=$D37,T$4&lt;=$E37,WEEKDAY(T$4,2)&lt;=5,COUNTIF('Sources &amp; Change Log'!$J$2:$J$5,T$4)=0,COUNTIFS('Team Calendar'!$A$5:$A$12,$F37,'Team Calendar'!$C$5:$C$12,T$4)=0),1,"")</f>
        <v/>
      </c>
      <c r="U37" s="175">
        <f>IF(AND(ISNUMBER($D37),ISNUMBER($E37),U$4&gt;=$D37,U$4&lt;=$E37,WEEKDAY(U$4,2)&lt;=5,COUNTIF('Sources &amp; Change Log'!$J$2:$J$5,U$4)=0,COUNTIFS('Team Calendar'!$A$5:$A$12,$F37,'Team Calendar'!$C$5:$C$12,U$4)=0),1,"")</f>
        <v/>
      </c>
      <c r="V37" s="175">
        <f>IF(AND(ISNUMBER($D37),ISNUMBER($E37),V$4&gt;=$D37,V$4&lt;=$E37,WEEKDAY(V$4,2)&lt;=5,COUNTIF('Sources &amp; Change Log'!$J$2:$J$5,V$4)=0,COUNTIFS('Team Calendar'!$A$5:$A$12,$F37,'Team Calendar'!$C$5:$C$12,V$4)=0),1,"")</f>
        <v/>
      </c>
      <c r="W37" s="175">
        <f>IF(AND(ISNUMBER($D37),ISNUMBER($E37),W$4&gt;=$D37,W$4&lt;=$E37,WEEKDAY(W$4,2)&lt;=5,COUNTIF('Sources &amp; Change Log'!$J$2:$J$5,W$4)=0,COUNTIFS('Team Calendar'!$A$5:$A$12,$F37,'Team Calendar'!$C$5:$C$12,W$4)=0),1,"")</f>
        <v/>
      </c>
      <c r="X37" s="175">
        <f>IF(AND(ISNUMBER($D37),ISNUMBER($E37),X$4&gt;=$D37,X$4&lt;=$E37,WEEKDAY(X$4,2)&lt;=5,COUNTIF('Sources &amp; Change Log'!$J$2:$J$5,X$4)=0,COUNTIFS('Team Calendar'!$A$5:$A$12,$F37,'Team Calendar'!$C$5:$C$12,X$4)=0),1,"")</f>
        <v/>
      </c>
      <c r="Y37" s="175">
        <f>IF(AND(ISNUMBER($D37),ISNUMBER($E37),Y$4&gt;=$D37,Y$4&lt;=$E37,WEEKDAY(Y$4,2)&lt;=5,COUNTIF('Sources &amp; Change Log'!$J$2:$J$5,Y$4)=0,COUNTIFS('Team Calendar'!$A$5:$A$12,$F37,'Team Calendar'!$C$5:$C$12,Y$4)=0),1,"")</f>
        <v/>
      </c>
      <c r="Z37" s="175">
        <f>IF(AND(ISNUMBER($D37),ISNUMBER($E37),Z$4&gt;=$D37,Z$4&lt;=$E37,WEEKDAY(Z$4,2)&lt;=5,COUNTIF('Sources &amp; Change Log'!$J$2:$J$5,Z$4)=0,COUNTIFS('Team Calendar'!$A$5:$A$12,$F37,'Team Calendar'!$C$5:$C$12,Z$4)=0),1,"")</f>
        <v/>
      </c>
      <c r="AA37" s="175">
        <f>IF(AND(ISNUMBER($D37),ISNUMBER($E37),AA$4&gt;=$D37,AA$4&lt;=$E37,WEEKDAY(AA$4,2)&lt;=5,COUNTIF('Sources &amp; Change Log'!$J$2:$J$5,AA$4)=0,COUNTIFS('Team Calendar'!$A$5:$A$12,$F37,'Team Calendar'!$C$5:$C$12,AA$4)=0),1,"")</f>
        <v/>
      </c>
      <c r="AB37" s="175">
        <f>IF(AND(ISNUMBER($D37),ISNUMBER($E37),AB$4&gt;=$D37,AB$4&lt;=$E37,WEEKDAY(AB$4,2)&lt;=5,COUNTIF('Sources &amp; Change Log'!$J$2:$J$5,AB$4)=0,COUNTIFS('Team Calendar'!$A$5:$A$12,$F37,'Team Calendar'!$C$5:$C$12,AB$4)=0),1,"")</f>
        <v/>
      </c>
      <c r="AC37" s="175">
        <f>IF(AND(ISNUMBER($D37),ISNUMBER($E37),AC$4&gt;=$D37,AC$4&lt;=$E37,WEEKDAY(AC$4,2)&lt;=5,COUNTIF('Sources &amp; Change Log'!$J$2:$J$5,AC$4)=0,COUNTIFS('Team Calendar'!$A$5:$A$12,$F37,'Team Calendar'!$C$5:$C$12,AC$4)=0),1,"")</f>
        <v/>
      </c>
      <c r="AD37" s="175">
        <f>IF(AND(ISNUMBER($D37),ISNUMBER($E37),AD$4&gt;=$D37,AD$4&lt;=$E37,WEEKDAY(AD$4,2)&lt;=5,COUNTIF('Sources &amp; Change Log'!$J$2:$J$5,AD$4)=0,COUNTIFS('Team Calendar'!$A$5:$A$12,$F37,'Team Calendar'!$C$5:$C$12,AD$4)=0),1,"")</f>
        <v/>
      </c>
      <c r="AE37" s="175">
        <f>IF(AND(ISNUMBER($D37),ISNUMBER($E37),AE$4&gt;=$D37,AE$4&lt;=$E37,WEEKDAY(AE$4,2)&lt;=5,COUNTIF('Sources &amp; Change Log'!$J$2:$J$5,AE$4)=0,COUNTIFS('Team Calendar'!$A$5:$A$12,$F37,'Team Calendar'!$C$5:$C$12,AE$4)=0),1,"")</f>
        <v/>
      </c>
      <c r="AF37" s="175">
        <f>IF(AND(ISNUMBER($D37),ISNUMBER($E37),AF$4&gt;=$D37,AF$4&lt;=$E37,WEEKDAY(AF$4,2)&lt;=5,COUNTIF('Sources &amp; Change Log'!$J$2:$J$5,AF$4)=0,COUNTIFS('Team Calendar'!$A$5:$A$12,$F37,'Team Calendar'!$C$5:$C$12,AF$4)=0),1,"")</f>
        <v/>
      </c>
      <c r="AG37" s="175">
        <f>IF(AND(ISNUMBER($D37),ISNUMBER($E37),AG$4&gt;=$D37,AG$4&lt;=$E37,WEEKDAY(AG$4,2)&lt;=5,COUNTIF('Sources &amp; Change Log'!$J$2:$J$5,AG$4)=0,COUNTIFS('Team Calendar'!$A$5:$A$12,$F37,'Team Calendar'!$C$5:$C$12,AG$4)=0),1,"")</f>
        <v/>
      </c>
      <c r="AH37" s="175">
        <f>IF(AND(ISNUMBER($D37),ISNUMBER($E37),AH$4&gt;=$D37,AH$4&lt;=$E37,WEEKDAY(AH$4,2)&lt;=5,COUNTIF('Sources &amp; Change Log'!$J$2:$J$5,AH$4)=0,COUNTIFS('Team Calendar'!$A$5:$A$12,$F37,'Team Calendar'!$C$5:$C$12,AH$4)=0),1,"")</f>
        <v/>
      </c>
      <c r="AI37" s="175">
        <f>IF(AND(ISNUMBER($D37),ISNUMBER($E37),AI$4&gt;=$D37,AI$4&lt;=$E37,WEEKDAY(AI$4,2)&lt;=5,COUNTIF('Sources &amp; Change Log'!$J$2:$J$5,AI$4)=0,COUNTIFS('Team Calendar'!$A$5:$A$12,$F37,'Team Calendar'!$C$5:$C$12,AI$4)=0),1,"")</f>
        <v/>
      </c>
    </row>
  </sheetData>
  <mergeCells count="2">
    <mergeCell ref="A2:AI2"/>
    <mergeCell ref="A1:AI1"/>
  </mergeCells>
  <conditionalFormatting sqref="G5:AI30">
    <cfRule type="expression" priority="1" dxfId="6">
      <formula>AND(G5=1,$C5="Done")</formula>
    </cfRule>
    <cfRule type="expression" priority="2" dxfId="7">
      <formula>AND(G5=1,$C5="In Progress")</formula>
    </cfRule>
    <cfRule type="expression" priority="3" dxfId="8">
      <formula>AND(G5=1,$C5="In Review")</formula>
    </cfRule>
    <cfRule type="expression" priority="4" dxfId="9">
      <formula>AND(G5=1,$C5="To Do")</formula>
    </cfRule>
    <cfRule type="expression" priority="5" dxfId="10">
      <formula>AND(G5=1,$C5="Blocked")</formula>
    </cfRule>
  </conditionalFormatting>
  <conditionalFormatting sqref="C5:C30">
    <cfRule type="containsText" priority="6" operator="containsText" dxfId="0" text="Done"/>
    <cfRule type="containsText" priority="7" operator="containsText" dxfId="1" text="In Progress"/>
    <cfRule type="containsText" priority="8" operator="containsText" dxfId="2" text="In Review"/>
  </conditionalFormatting>
  <conditionalFormatting sqref="G31:AI34">
    <cfRule type="expression" priority="9" dxfId="6">
      <formula>AND(G31=1,$C31="Done")</formula>
    </cfRule>
    <cfRule type="expression" priority="11" dxfId="7">
      <formula>AND(G31=1,$C31="In Progress")</formula>
    </cfRule>
    <cfRule type="expression" priority="13" dxfId="8">
      <formula>AND(G31=1,$C31="In Review")</formula>
    </cfRule>
    <cfRule type="expression" priority="15" dxfId="10">
      <formula>AND(G31=1,$C31="Blocked")</formula>
    </cfRule>
    <cfRule type="expression" priority="16" dxfId="9">
      <formula>AND(G31=1,$C31="To Do")</formula>
    </cfRule>
  </conditionalFormatting>
  <conditionalFormatting sqref="C31:C34">
    <cfRule type="containsText" priority="10" operator="containsText" dxfId="0" text="Done"/>
    <cfRule type="containsText" priority="12" operator="containsText" dxfId="24" text="In Progress"/>
    <cfRule type="containsText" priority="14" operator="containsText" dxfId="2" text="In Review"/>
  </conditionalFormatting>
  <conditionalFormatting sqref="G35:AI37">
    <cfRule type="cellIs" priority="20" operator="equal" dxfId="47">
      <formula>1</formula>
    </cfRule>
  </conditionalFormatting>
  <conditionalFormatting sqref="C35:C37">
    <cfRule type="containsText" priority="21" operator="containsText" dxfId="45" text="Done"/>
    <cfRule type="containsText" priority="22" operator="containsText" dxfId="46" text="In Progress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6" customWidth="1" min="3" max="3"/>
    <col width="13" customWidth="1" min="4" max="4"/>
    <col width="13" customWidth="1" min="5" max="5"/>
    <col width="14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</cols>
  <sheetData>
    <row r="1" ht="34" customHeight="1">
      <c r="A1" s="79" t="inlineStr">
        <is>
          <t>FDS v3.1.20 · Phase 2 Gantt (CANDIDATE)</t>
        </is>
      </c>
    </row>
    <row r="2">
      <c r="A2" s="21" t="inlineStr">
        <is>
          <t>계획은 유연한 목표. 색상/막대는 예정 창이며 Runtime 완료율이 아님.</t>
        </is>
      </c>
    </row>
    <row r="3">
      <c r="A3" t="inlineStr">
        <is>
          <t>Bars = Lead available weekdays within plan window; weekend/holiday/Lead absence excluded. Support allocations: Fast Track Plan.</t>
        </is>
      </c>
    </row>
    <row r="4">
      <c r="A4" s="9" t="inlineStr">
        <is>
          <t>WBS ID</t>
        </is>
      </c>
      <c r="B4" s="9" t="inlineStr">
        <is>
          <t>Work Item</t>
        </is>
      </c>
      <c r="C4" s="9" t="inlineStr">
        <is>
          <t>Status</t>
        </is>
      </c>
      <c r="D4" s="9" t="inlineStr">
        <is>
          <t>Start</t>
        </is>
      </c>
      <c r="E4" s="9" t="inlineStr">
        <is>
          <t>End</t>
        </is>
      </c>
      <c r="F4" s="9" t="inlineStr">
        <is>
          <t>Lead</t>
        </is>
      </c>
      <c r="G4" s="161" t="n">
        <v>46293</v>
      </c>
      <c r="H4" s="161" t="n">
        <v>46294</v>
      </c>
      <c r="I4" s="161" t="n">
        <v>46295</v>
      </c>
      <c r="J4" s="161" t="n">
        <v>46296</v>
      </c>
      <c r="K4" s="161" t="n">
        <v>46297</v>
      </c>
      <c r="L4" s="162" t="n">
        <v>46298</v>
      </c>
      <c r="M4" s="162" t="n">
        <v>46299</v>
      </c>
      <c r="N4" s="161" t="n">
        <v>46300</v>
      </c>
      <c r="O4" s="161" t="n">
        <v>46301</v>
      </c>
      <c r="P4" s="161" t="n">
        <v>46302</v>
      </c>
      <c r="Q4" s="161" t="n">
        <v>46303</v>
      </c>
      <c r="R4" s="161" t="n">
        <v>46304</v>
      </c>
      <c r="S4" s="162" t="n">
        <v>46305</v>
      </c>
      <c r="T4" s="162" t="n">
        <v>46306</v>
      </c>
      <c r="U4" s="161" t="n">
        <v>46307</v>
      </c>
      <c r="V4" s="161" t="n">
        <v>46308</v>
      </c>
      <c r="W4" s="161" t="n">
        <v>46309</v>
      </c>
      <c r="X4" s="161" t="n">
        <v>46310</v>
      </c>
      <c r="Y4" s="161" t="n">
        <v>46311</v>
      </c>
      <c r="Z4" s="162" t="n">
        <v>46312</v>
      </c>
      <c r="AA4" s="162" t="n">
        <v>46313</v>
      </c>
      <c r="AB4" s="161" t="n">
        <v>46314</v>
      </c>
      <c r="AC4" s="161" t="n">
        <v>46315</v>
      </c>
      <c r="AD4" s="161" t="n">
        <v>46316</v>
      </c>
      <c r="AE4" s="161" t="n">
        <v>46317</v>
      </c>
      <c r="AF4" s="161" t="n">
        <v>46318</v>
      </c>
      <c r="AG4" s="162" t="n">
        <v>46319</v>
      </c>
      <c r="AH4" s="162" t="n">
        <v>46320</v>
      </c>
      <c r="AI4" s="161" t="n">
        <v>46321</v>
      </c>
    </row>
    <row r="5" ht="24" customHeight="1">
      <c r="A5" s="13">
        <f>WBS!A31</f>
        <v/>
      </c>
      <c r="B5" s="13">
        <f>WBS!B31</f>
        <v/>
      </c>
      <c r="C5" s="13">
        <f>WBS!G31</f>
        <v/>
      </c>
      <c r="D5" s="164">
        <f>IF(WBS!H31="","",WBS!H31)</f>
        <v/>
      </c>
      <c r="E5" s="164">
        <f>IF(WBS!I31="","",WBS!I31)</f>
        <v/>
      </c>
      <c r="F5" s="13">
        <f>WBS!L31</f>
        <v/>
      </c>
      <c r="G5" s="165">
        <f>IF(AND(ISNUMBER($D5),ISNUMBER($E5),G$4&gt;=$D5,G$4&lt;=$E5,WEEKDAY(G$4,2)&lt;=5,COUNTIF('Sources &amp; Change Log'!$J$2:$J$5,G$4)=0,COUNTIFS('Team Calendar'!$A$5:$A$12,$F5,'Team Calendar'!$C$5:$C$12,G$4)=0),1,"")</f>
        <v/>
      </c>
      <c r="H5" s="165">
        <f>IF(AND(ISNUMBER($D5),ISNUMBER($E5),H$4&gt;=$D5,H$4&lt;=$E5,WEEKDAY(H$4,2)&lt;=5,COUNTIF('Sources &amp; Change Log'!$J$2:$J$5,H$4)=0,COUNTIFS('Team Calendar'!$A$5:$A$12,$F5,'Team Calendar'!$C$5:$C$12,H$4)=0),1,"")</f>
        <v/>
      </c>
      <c r="I5" s="165">
        <f>IF(AND(ISNUMBER($D5),ISNUMBER($E5),I$4&gt;=$D5,I$4&lt;=$E5,WEEKDAY(I$4,2)&lt;=5,COUNTIF('Sources &amp; Change Log'!$J$2:$J$5,I$4)=0,COUNTIFS('Team Calendar'!$A$5:$A$12,$F5,'Team Calendar'!$C$5:$C$12,I$4)=0),1,"")</f>
        <v/>
      </c>
      <c r="J5" s="165">
        <f>IF(AND(ISNUMBER($D5),ISNUMBER($E5),J$4&gt;=$D5,J$4&lt;=$E5,WEEKDAY(J$4,2)&lt;=5,COUNTIF('Sources &amp; Change Log'!$J$2:$J$5,J$4)=0,COUNTIFS('Team Calendar'!$A$5:$A$12,$F5,'Team Calendar'!$C$5:$C$12,J$4)=0),1,"")</f>
        <v/>
      </c>
      <c r="K5" s="165">
        <f>IF(AND(ISNUMBER($D5),ISNUMBER($E5),K$4&gt;=$D5,K$4&lt;=$E5,WEEKDAY(K$4,2)&lt;=5,COUNTIF('Sources &amp; Change Log'!$J$2:$J$5,K$4)=0,COUNTIFS('Team Calendar'!$A$5:$A$12,$F5,'Team Calendar'!$C$5:$C$12,K$4)=0),1,"")</f>
        <v/>
      </c>
      <c r="L5" s="166">
        <f>IF(AND(ISNUMBER($D5),ISNUMBER($E5),L$4&gt;=$D5,L$4&lt;=$E5,WEEKDAY(L$4,2)&lt;=5,COUNTIF('Sources &amp; Change Log'!$J$2:$J$5,L$4)=0,COUNTIFS('Team Calendar'!$A$5:$A$12,$F5,'Team Calendar'!$C$5:$C$12,L$4)=0),1,"")</f>
        <v/>
      </c>
      <c r="M5" s="166">
        <f>IF(AND(ISNUMBER($D5),ISNUMBER($E5),M$4&gt;=$D5,M$4&lt;=$E5,WEEKDAY(M$4,2)&lt;=5,COUNTIF('Sources &amp; Change Log'!$J$2:$J$5,M$4)=0,COUNTIFS('Team Calendar'!$A$5:$A$12,$F5,'Team Calendar'!$C$5:$C$12,M$4)=0),1,"")</f>
        <v/>
      </c>
      <c r="N5" s="165">
        <f>IF(AND(ISNUMBER($D5),ISNUMBER($E5),N$4&gt;=$D5,N$4&lt;=$E5,WEEKDAY(N$4,2)&lt;=5,COUNTIF('Sources &amp; Change Log'!$J$2:$J$5,N$4)=0,COUNTIFS('Team Calendar'!$A$5:$A$12,$F5,'Team Calendar'!$C$5:$C$12,N$4)=0),1,"")</f>
        <v/>
      </c>
      <c r="O5" s="165">
        <f>IF(AND(ISNUMBER($D5),ISNUMBER($E5),O$4&gt;=$D5,O$4&lt;=$E5,WEEKDAY(O$4,2)&lt;=5,COUNTIF('Sources &amp; Change Log'!$J$2:$J$5,O$4)=0,COUNTIFS('Team Calendar'!$A$5:$A$12,$F5,'Team Calendar'!$C$5:$C$12,O$4)=0),1,"")</f>
        <v/>
      </c>
      <c r="P5" s="165">
        <f>IF(AND(ISNUMBER($D5),ISNUMBER($E5),P$4&gt;=$D5,P$4&lt;=$E5,WEEKDAY(P$4,2)&lt;=5,COUNTIF('Sources &amp; Change Log'!$J$2:$J$5,P$4)=0,COUNTIFS('Team Calendar'!$A$5:$A$12,$F5,'Team Calendar'!$C$5:$C$12,P$4)=0),1,"")</f>
        <v/>
      </c>
      <c r="Q5" s="165">
        <f>IF(AND(ISNUMBER($D5),ISNUMBER($E5),Q$4&gt;=$D5,Q$4&lt;=$E5,WEEKDAY(Q$4,2)&lt;=5,COUNTIF('Sources &amp; Change Log'!$J$2:$J$5,Q$4)=0,COUNTIFS('Team Calendar'!$A$5:$A$12,$F5,'Team Calendar'!$C$5:$C$12,Q$4)=0),1,"")</f>
        <v/>
      </c>
      <c r="R5" s="165">
        <f>IF(AND(ISNUMBER($D5),ISNUMBER($E5),R$4&gt;=$D5,R$4&lt;=$E5,WEEKDAY(R$4,2)&lt;=5,COUNTIF('Sources &amp; Change Log'!$J$2:$J$5,R$4)=0,COUNTIFS('Team Calendar'!$A$5:$A$12,$F5,'Team Calendar'!$C$5:$C$12,R$4)=0),1,"")</f>
        <v/>
      </c>
      <c r="S5" s="166">
        <f>IF(AND(ISNUMBER($D5),ISNUMBER($E5),S$4&gt;=$D5,S$4&lt;=$E5,WEEKDAY(S$4,2)&lt;=5,COUNTIF('Sources &amp; Change Log'!$J$2:$J$5,S$4)=0,COUNTIFS('Team Calendar'!$A$5:$A$12,$F5,'Team Calendar'!$C$5:$C$12,S$4)=0),1,"")</f>
        <v/>
      </c>
      <c r="T5" s="166">
        <f>IF(AND(ISNUMBER($D5),ISNUMBER($E5),T$4&gt;=$D5,T$4&lt;=$E5,WEEKDAY(T$4,2)&lt;=5,COUNTIF('Sources &amp; Change Log'!$J$2:$J$5,T$4)=0,COUNTIFS('Team Calendar'!$A$5:$A$12,$F5,'Team Calendar'!$C$5:$C$12,T$4)=0),1,"")</f>
        <v/>
      </c>
      <c r="U5" s="165">
        <f>IF(AND(ISNUMBER($D5),ISNUMBER($E5),U$4&gt;=$D5,U$4&lt;=$E5,WEEKDAY(U$4,2)&lt;=5,COUNTIF('Sources &amp; Change Log'!$J$2:$J$5,U$4)=0,COUNTIFS('Team Calendar'!$A$5:$A$12,$F5,'Team Calendar'!$C$5:$C$12,U$4)=0),1,"")</f>
        <v/>
      </c>
      <c r="V5" s="165">
        <f>IF(AND(ISNUMBER($D5),ISNUMBER($E5),V$4&gt;=$D5,V$4&lt;=$E5,WEEKDAY(V$4,2)&lt;=5,COUNTIF('Sources &amp; Change Log'!$J$2:$J$5,V$4)=0,COUNTIFS('Team Calendar'!$A$5:$A$12,$F5,'Team Calendar'!$C$5:$C$12,V$4)=0),1,"")</f>
        <v/>
      </c>
      <c r="W5" s="165">
        <f>IF(AND(ISNUMBER($D5),ISNUMBER($E5),W$4&gt;=$D5,W$4&lt;=$E5,WEEKDAY(W$4,2)&lt;=5,COUNTIF('Sources &amp; Change Log'!$J$2:$J$5,W$4)=0,COUNTIFS('Team Calendar'!$A$5:$A$12,$F5,'Team Calendar'!$C$5:$C$12,W$4)=0),1,"")</f>
        <v/>
      </c>
      <c r="X5" s="165">
        <f>IF(AND(ISNUMBER($D5),ISNUMBER($E5),X$4&gt;=$D5,X$4&lt;=$E5,WEEKDAY(X$4,2)&lt;=5,COUNTIF('Sources &amp; Change Log'!$J$2:$J$5,X$4)=0,COUNTIFS('Team Calendar'!$A$5:$A$12,$F5,'Team Calendar'!$C$5:$C$12,X$4)=0),1,"")</f>
        <v/>
      </c>
      <c r="Y5" s="165">
        <f>IF(AND(ISNUMBER($D5),ISNUMBER($E5),Y$4&gt;=$D5,Y$4&lt;=$E5,WEEKDAY(Y$4,2)&lt;=5,COUNTIF('Sources &amp; Change Log'!$J$2:$J$5,Y$4)=0,COUNTIFS('Team Calendar'!$A$5:$A$12,$F5,'Team Calendar'!$C$5:$C$12,Y$4)=0),1,"")</f>
        <v/>
      </c>
      <c r="Z5" s="166">
        <f>IF(AND(ISNUMBER($D5),ISNUMBER($E5),Z$4&gt;=$D5,Z$4&lt;=$E5,WEEKDAY(Z$4,2)&lt;=5,COUNTIF('Sources &amp; Change Log'!$J$2:$J$5,Z$4)=0,COUNTIFS('Team Calendar'!$A$5:$A$12,$F5,'Team Calendar'!$C$5:$C$12,Z$4)=0),1,"")</f>
        <v/>
      </c>
      <c r="AA5" s="166">
        <f>IF(AND(ISNUMBER($D5),ISNUMBER($E5),AA$4&gt;=$D5,AA$4&lt;=$E5,WEEKDAY(AA$4,2)&lt;=5,COUNTIF('Sources &amp; Change Log'!$J$2:$J$5,AA$4)=0,COUNTIFS('Team Calendar'!$A$5:$A$12,$F5,'Team Calendar'!$C$5:$C$12,AA$4)=0),1,"")</f>
        <v/>
      </c>
      <c r="AB5" s="165">
        <f>IF(AND(ISNUMBER($D5),ISNUMBER($E5),AB$4&gt;=$D5,AB$4&lt;=$E5,WEEKDAY(AB$4,2)&lt;=5,COUNTIF('Sources &amp; Change Log'!$J$2:$J$5,AB$4)=0,COUNTIFS('Team Calendar'!$A$5:$A$12,$F5,'Team Calendar'!$C$5:$C$12,AB$4)=0),1,"")</f>
        <v/>
      </c>
      <c r="AC5" s="165">
        <f>IF(AND(ISNUMBER($D5),ISNUMBER($E5),AC$4&gt;=$D5,AC$4&lt;=$E5,WEEKDAY(AC$4,2)&lt;=5,COUNTIF('Sources &amp; Change Log'!$J$2:$J$5,AC$4)=0,COUNTIFS('Team Calendar'!$A$5:$A$12,$F5,'Team Calendar'!$C$5:$C$12,AC$4)=0),1,"")</f>
        <v/>
      </c>
      <c r="AD5" s="165">
        <f>IF(AND(ISNUMBER($D5),ISNUMBER($E5),AD$4&gt;=$D5,AD$4&lt;=$E5,WEEKDAY(AD$4,2)&lt;=5,COUNTIF('Sources &amp; Change Log'!$J$2:$J$5,AD$4)=0,COUNTIFS('Team Calendar'!$A$5:$A$12,$F5,'Team Calendar'!$C$5:$C$12,AD$4)=0),1,"")</f>
        <v/>
      </c>
      <c r="AE5" s="165">
        <f>IF(AND(ISNUMBER($D5),ISNUMBER($E5),AE$4&gt;=$D5,AE$4&lt;=$E5,WEEKDAY(AE$4,2)&lt;=5,COUNTIF('Sources &amp; Change Log'!$J$2:$J$5,AE$4)=0,COUNTIFS('Team Calendar'!$A$5:$A$12,$F5,'Team Calendar'!$C$5:$C$12,AE$4)=0),1,"")</f>
        <v/>
      </c>
      <c r="AF5" s="165">
        <f>IF(AND(ISNUMBER($D5),ISNUMBER($E5),AF$4&gt;=$D5,AF$4&lt;=$E5,WEEKDAY(AF$4,2)&lt;=5,COUNTIF('Sources &amp; Change Log'!$J$2:$J$5,AF$4)=0,COUNTIFS('Team Calendar'!$A$5:$A$12,$F5,'Team Calendar'!$C$5:$C$12,AF$4)=0),1,"")</f>
        <v/>
      </c>
      <c r="AG5" s="166">
        <f>IF(AND(ISNUMBER($D5),ISNUMBER($E5),AG$4&gt;=$D5,AG$4&lt;=$E5,WEEKDAY(AG$4,2)&lt;=5,COUNTIF('Sources &amp; Change Log'!$J$2:$J$5,AG$4)=0,COUNTIFS('Team Calendar'!$A$5:$A$12,$F5,'Team Calendar'!$C$5:$C$12,AG$4)=0),1,"")</f>
        <v/>
      </c>
      <c r="AH5" s="166">
        <f>IF(AND(ISNUMBER($D5),ISNUMBER($E5),AH$4&gt;=$D5,AH$4&lt;=$E5,WEEKDAY(AH$4,2)&lt;=5,COUNTIF('Sources &amp; Change Log'!$J$2:$J$5,AH$4)=0,COUNTIFS('Team Calendar'!$A$5:$A$12,$F5,'Team Calendar'!$C$5:$C$12,AH$4)=0),1,"")</f>
        <v/>
      </c>
      <c r="AI5" s="165">
        <f>IF(AND(ISNUMBER($D5),ISNUMBER($E5),AI$4&gt;=$D5,AI$4&lt;=$E5,WEEKDAY(AI$4,2)&lt;=5,COUNTIF('Sources &amp; Change Log'!$J$2:$J$5,AI$4)=0,COUNTIFS('Team Calendar'!$A$5:$A$12,$F5,'Team Calendar'!$C$5:$C$12,AI$4)=0),1,"")</f>
        <v/>
      </c>
    </row>
    <row r="6" ht="24" customHeight="1">
      <c r="A6" s="13">
        <f>WBS!A32</f>
        <v/>
      </c>
      <c r="B6" s="13">
        <f>WBS!B32</f>
        <v/>
      </c>
      <c r="C6" s="13">
        <f>WBS!G32</f>
        <v/>
      </c>
      <c r="D6" s="164">
        <f>IF(WBS!H32="","",WBS!H32)</f>
        <v/>
      </c>
      <c r="E6" s="164">
        <f>IF(WBS!I32="","",WBS!I32)</f>
        <v/>
      </c>
      <c r="F6" s="13">
        <f>WBS!L32</f>
        <v/>
      </c>
      <c r="G6" s="165">
        <f>IF(AND(ISNUMBER($D6),ISNUMBER($E6),G$4&gt;=$D6,G$4&lt;=$E6,WEEKDAY(G$4,2)&lt;=5,COUNTIF('Sources &amp; Change Log'!$J$2:$J$5,G$4)=0,COUNTIFS('Team Calendar'!$A$5:$A$12,$F6,'Team Calendar'!$C$5:$C$12,G$4)=0),1,"")</f>
        <v/>
      </c>
      <c r="H6" s="165">
        <f>IF(AND(ISNUMBER($D6),ISNUMBER($E6),H$4&gt;=$D6,H$4&lt;=$E6,WEEKDAY(H$4,2)&lt;=5,COUNTIF('Sources &amp; Change Log'!$J$2:$J$5,H$4)=0,COUNTIFS('Team Calendar'!$A$5:$A$12,$F6,'Team Calendar'!$C$5:$C$12,H$4)=0),1,"")</f>
        <v/>
      </c>
      <c r="I6" s="165">
        <f>IF(AND(ISNUMBER($D6),ISNUMBER($E6),I$4&gt;=$D6,I$4&lt;=$E6,WEEKDAY(I$4,2)&lt;=5,COUNTIF('Sources &amp; Change Log'!$J$2:$J$5,I$4)=0,COUNTIFS('Team Calendar'!$A$5:$A$12,$F6,'Team Calendar'!$C$5:$C$12,I$4)=0),1,"")</f>
        <v/>
      </c>
      <c r="J6" s="165">
        <f>IF(AND(ISNUMBER($D6),ISNUMBER($E6),J$4&gt;=$D6,J$4&lt;=$E6,WEEKDAY(J$4,2)&lt;=5,COUNTIF('Sources &amp; Change Log'!$J$2:$J$5,J$4)=0,COUNTIFS('Team Calendar'!$A$5:$A$12,$F6,'Team Calendar'!$C$5:$C$12,J$4)=0),1,"")</f>
        <v/>
      </c>
      <c r="K6" s="165">
        <f>IF(AND(ISNUMBER($D6),ISNUMBER($E6),K$4&gt;=$D6,K$4&lt;=$E6,WEEKDAY(K$4,2)&lt;=5,COUNTIF('Sources &amp; Change Log'!$J$2:$J$5,K$4)=0,COUNTIFS('Team Calendar'!$A$5:$A$12,$F6,'Team Calendar'!$C$5:$C$12,K$4)=0),1,"")</f>
        <v/>
      </c>
      <c r="L6" s="166">
        <f>IF(AND(ISNUMBER($D6),ISNUMBER($E6),L$4&gt;=$D6,L$4&lt;=$E6,WEEKDAY(L$4,2)&lt;=5,COUNTIF('Sources &amp; Change Log'!$J$2:$J$5,L$4)=0,COUNTIFS('Team Calendar'!$A$5:$A$12,$F6,'Team Calendar'!$C$5:$C$12,L$4)=0),1,"")</f>
        <v/>
      </c>
      <c r="M6" s="166">
        <f>IF(AND(ISNUMBER($D6),ISNUMBER($E6),M$4&gt;=$D6,M$4&lt;=$E6,WEEKDAY(M$4,2)&lt;=5,COUNTIF('Sources &amp; Change Log'!$J$2:$J$5,M$4)=0,COUNTIFS('Team Calendar'!$A$5:$A$12,$F6,'Team Calendar'!$C$5:$C$12,M$4)=0),1,"")</f>
        <v/>
      </c>
      <c r="N6" s="165">
        <f>IF(AND(ISNUMBER($D6),ISNUMBER($E6),N$4&gt;=$D6,N$4&lt;=$E6,WEEKDAY(N$4,2)&lt;=5,COUNTIF('Sources &amp; Change Log'!$J$2:$J$5,N$4)=0,COUNTIFS('Team Calendar'!$A$5:$A$12,$F6,'Team Calendar'!$C$5:$C$12,N$4)=0),1,"")</f>
        <v/>
      </c>
      <c r="O6" s="165">
        <f>IF(AND(ISNUMBER($D6),ISNUMBER($E6),O$4&gt;=$D6,O$4&lt;=$E6,WEEKDAY(O$4,2)&lt;=5,COUNTIF('Sources &amp; Change Log'!$J$2:$J$5,O$4)=0,COUNTIFS('Team Calendar'!$A$5:$A$12,$F6,'Team Calendar'!$C$5:$C$12,O$4)=0),1,"")</f>
        <v/>
      </c>
      <c r="P6" s="165">
        <f>IF(AND(ISNUMBER($D6),ISNUMBER($E6),P$4&gt;=$D6,P$4&lt;=$E6,WEEKDAY(P$4,2)&lt;=5,COUNTIF('Sources &amp; Change Log'!$J$2:$J$5,P$4)=0,COUNTIFS('Team Calendar'!$A$5:$A$12,$F6,'Team Calendar'!$C$5:$C$12,P$4)=0),1,"")</f>
        <v/>
      </c>
      <c r="Q6" s="165">
        <f>IF(AND(ISNUMBER($D6),ISNUMBER($E6),Q$4&gt;=$D6,Q$4&lt;=$E6,WEEKDAY(Q$4,2)&lt;=5,COUNTIF('Sources &amp; Change Log'!$J$2:$J$5,Q$4)=0,COUNTIFS('Team Calendar'!$A$5:$A$12,$F6,'Team Calendar'!$C$5:$C$12,Q$4)=0),1,"")</f>
        <v/>
      </c>
      <c r="R6" s="165">
        <f>IF(AND(ISNUMBER($D6),ISNUMBER($E6),R$4&gt;=$D6,R$4&lt;=$E6,WEEKDAY(R$4,2)&lt;=5,COUNTIF('Sources &amp; Change Log'!$J$2:$J$5,R$4)=0,COUNTIFS('Team Calendar'!$A$5:$A$12,$F6,'Team Calendar'!$C$5:$C$12,R$4)=0),1,"")</f>
        <v/>
      </c>
      <c r="S6" s="166">
        <f>IF(AND(ISNUMBER($D6),ISNUMBER($E6),S$4&gt;=$D6,S$4&lt;=$E6,WEEKDAY(S$4,2)&lt;=5,COUNTIF('Sources &amp; Change Log'!$J$2:$J$5,S$4)=0,COUNTIFS('Team Calendar'!$A$5:$A$12,$F6,'Team Calendar'!$C$5:$C$12,S$4)=0),1,"")</f>
        <v/>
      </c>
      <c r="T6" s="166">
        <f>IF(AND(ISNUMBER($D6),ISNUMBER($E6),T$4&gt;=$D6,T$4&lt;=$E6,WEEKDAY(T$4,2)&lt;=5,COUNTIF('Sources &amp; Change Log'!$J$2:$J$5,T$4)=0,COUNTIFS('Team Calendar'!$A$5:$A$12,$F6,'Team Calendar'!$C$5:$C$12,T$4)=0),1,"")</f>
        <v/>
      </c>
      <c r="U6" s="165">
        <f>IF(AND(ISNUMBER($D6),ISNUMBER($E6),U$4&gt;=$D6,U$4&lt;=$E6,WEEKDAY(U$4,2)&lt;=5,COUNTIF('Sources &amp; Change Log'!$J$2:$J$5,U$4)=0,COUNTIFS('Team Calendar'!$A$5:$A$12,$F6,'Team Calendar'!$C$5:$C$12,U$4)=0),1,"")</f>
        <v/>
      </c>
      <c r="V6" s="165">
        <f>IF(AND(ISNUMBER($D6),ISNUMBER($E6),V$4&gt;=$D6,V$4&lt;=$E6,WEEKDAY(V$4,2)&lt;=5,COUNTIF('Sources &amp; Change Log'!$J$2:$J$5,V$4)=0,COUNTIFS('Team Calendar'!$A$5:$A$12,$F6,'Team Calendar'!$C$5:$C$12,V$4)=0),1,"")</f>
        <v/>
      </c>
      <c r="W6" s="165">
        <f>IF(AND(ISNUMBER($D6),ISNUMBER($E6),W$4&gt;=$D6,W$4&lt;=$E6,WEEKDAY(W$4,2)&lt;=5,COUNTIF('Sources &amp; Change Log'!$J$2:$J$5,W$4)=0,COUNTIFS('Team Calendar'!$A$5:$A$12,$F6,'Team Calendar'!$C$5:$C$12,W$4)=0),1,"")</f>
        <v/>
      </c>
      <c r="X6" s="165">
        <f>IF(AND(ISNUMBER($D6),ISNUMBER($E6),X$4&gt;=$D6,X$4&lt;=$E6,WEEKDAY(X$4,2)&lt;=5,COUNTIF('Sources &amp; Change Log'!$J$2:$J$5,X$4)=0,COUNTIFS('Team Calendar'!$A$5:$A$12,$F6,'Team Calendar'!$C$5:$C$12,X$4)=0),1,"")</f>
        <v/>
      </c>
      <c r="Y6" s="165">
        <f>IF(AND(ISNUMBER($D6),ISNUMBER($E6),Y$4&gt;=$D6,Y$4&lt;=$E6,WEEKDAY(Y$4,2)&lt;=5,COUNTIF('Sources &amp; Change Log'!$J$2:$J$5,Y$4)=0,COUNTIFS('Team Calendar'!$A$5:$A$12,$F6,'Team Calendar'!$C$5:$C$12,Y$4)=0),1,"")</f>
        <v/>
      </c>
      <c r="Z6" s="166">
        <f>IF(AND(ISNUMBER($D6),ISNUMBER($E6),Z$4&gt;=$D6,Z$4&lt;=$E6,WEEKDAY(Z$4,2)&lt;=5,COUNTIF('Sources &amp; Change Log'!$J$2:$J$5,Z$4)=0,COUNTIFS('Team Calendar'!$A$5:$A$12,$F6,'Team Calendar'!$C$5:$C$12,Z$4)=0),1,"")</f>
        <v/>
      </c>
      <c r="AA6" s="166">
        <f>IF(AND(ISNUMBER($D6),ISNUMBER($E6),AA$4&gt;=$D6,AA$4&lt;=$E6,WEEKDAY(AA$4,2)&lt;=5,COUNTIF('Sources &amp; Change Log'!$J$2:$J$5,AA$4)=0,COUNTIFS('Team Calendar'!$A$5:$A$12,$F6,'Team Calendar'!$C$5:$C$12,AA$4)=0),1,"")</f>
        <v/>
      </c>
      <c r="AB6" s="165">
        <f>IF(AND(ISNUMBER($D6),ISNUMBER($E6),AB$4&gt;=$D6,AB$4&lt;=$E6,WEEKDAY(AB$4,2)&lt;=5,COUNTIF('Sources &amp; Change Log'!$J$2:$J$5,AB$4)=0,COUNTIFS('Team Calendar'!$A$5:$A$12,$F6,'Team Calendar'!$C$5:$C$12,AB$4)=0),1,"")</f>
        <v/>
      </c>
      <c r="AC6" s="165">
        <f>IF(AND(ISNUMBER($D6),ISNUMBER($E6),AC$4&gt;=$D6,AC$4&lt;=$E6,WEEKDAY(AC$4,2)&lt;=5,COUNTIF('Sources &amp; Change Log'!$J$2:$J$5,AC$4)=0,COUNTIFS('Team Calendar'!$A$5:$A$12,$F6,'Team Calendar'!$C$5:$C$12,AC$4)=0),1,"")</f>
        <v/>
      </c>
      <c r="AD6" s="165">
        <f>IF(AND(ISNUMBER($D6),ISNUMBER($E6),AD$4&gt;=$D6,AD$4&lt;=$E6,WEEKDAY(AD$4,2)&lt;=5,COUNTIF('Sources &amp; Change Log'!$J$2:$J$5,AD$4)=0,COUNTIFS('Team Calendar'!$A$5:$A$12,$F6,'Team Calendar'!$C$5:$C$12,AD$4)=0),1,"")</f>
        <v/>
      </c>
      <c r="AE6" s="165">
        <f>IF(AND(ISNUMBER($D6),ISNUMBER($E6),AE$4&gt;=$D6,AE$4&lt;=$E6,WEEKDAY(AE$4,2)&lt;=5,COUNTIF('Sources &amp; Change Log'!$J$2:$J$5,AE$4)=0,COUNTIFS('Team Calendar'!$A$5:$A$12,$F6,'Team Calendar'!$C$5:$C$12,AE$4)=0),1,"")</f>
        <v/>
      </c>
      <c r="AF6" s="165">
        <f>IF(AND(ISNUMBER($D6),ISNUMBER($E6),AF$4&gt;=$D6,AF$4&lt;=$E6,WEEKDAY(AF$4,2)&lt;=5,COUNTIF('Sources &amp; Change Log'!$J$2:$J$5,AF$4)=0,COUNTIFS('Team Calendar'!$A$5:$A$12,$F6,'Team Calendar'!$C$5:$C$12,AF$4)=0),1,"")</f>
        <v/>
      </c>
      <c r="AG6" s="166">
        <f>IF(AND(ISNUMBER($D6),ISNUMBER($E6),AG$4&gt;=$D6,AG$4&lt;=$E6,WEEKDAY(AG$4,2)&lt;=5,COUNTIF('Sources &amp; Change Log'!$J$2:$J$5,AG$4)=0,COUNTIFS('Team Calendar'!$A$5:$A$12,$F6,'Team Calendar'!$C$5:$C$12,AG$4)=0),1,"")</f>
        <v/>
      </c>
      <c r="AH6" s="166">
        <f>IF(AND(ISNUMBER($D6),ISNUMBER($E6),AH$4&gt;=$D6,AH$4&lt;=$E6,WEEKDAY(AH$4,2)&lt;=5,COUNTIF('Sources &amp; Change Log'!$J$2:$J$5,AH$4)=0,COUNTIFS('Team Calendar'!$A$5:$A$12,$F6,'Team Calendar'!$C$5:$C$12,AH$4)=0),1,"")</f>
        <v/>
      </c>
      <c r="AI6" s="165">
        <f>IF(AND(ISNUMBER($D6),ISNUMBER($E6),AI$4&gt;=$D6,AI$4&lt;=$E6,WEEKDAY(AI$4,2)&lt;=5,COUNTIF('Sources &amp; Change Log'!$J$2:$J$5,AI$4)=0,COUNTIFS('Team Calendar'!$A$5:$A$12,$F6,'Team Calendar'!$C$5:$C$12,AI$4)=0),1,"")</f>
        <v/>
      </c>
    </row>
    <row r="7" ht="24" customHeight="1">
      <c r="A7" s="13">
        <f>WBS!A33</f>
        <v/>
      </c>
      <c r="B7" s="13">
        <f>WBS!B33</f>
        <v/>
      </c>
      <c r="C7" s="13">
        <f>WBS!G33</f>
        <v/>
      </c>
      <c r="D7" s="164">
        <f>IF(WBS!H33="","",WBS!H33)</f>
        <v/>
      </c>
      <c r="E7" s="164">
        <f>IF(WBS!I33="","",WBS!I33)</f>
        <v/>
      </c>
      <c r="F7" s="13">
        <f>WBS!L33</f>
        <v/>
      </c>
      <c r="G7" s="165">
        <f>IF(AND(ISNUMBER($D7),ISNUMBER($E7),G$4&gt;=$D7,G$4&lt;=$E7,WEEKDAY(G$4,2)&lt;=5,COUNTIF('Sources &amp; Change Log'!$J$2:$J$5,G$4)=0,COUNTIFS('Team Calendar'!$A$5:$A$12,$F7,'Team Calendar'!$C$5:$C$12,G$4)=0),1,"")</f>
        <v/>
      </c>
      <c r="H7" s="165">
        <f>IF(AND(ISNUMBER($D7),ISNUMBER($E7),H$4&gt;=$D7,H$4&lt;=$E7,WEEKDAY(H$4,2)&lt;=5,COUNTIF('Sources &amp; Change Log'!$J$2:$J$5,H$4)=0,COUNTIFS('Team Calendar'!$A$5:$A$12,$F7,'Team Calendar'!$C$5:$C$12,H$4)=0),1,"")</f>
        <v/>
      </c>
      <c r="I7" s="165">
        <f>IF(AND(ISNUMBER($D7),ISNUMBER($E7),I$4&gt;=$D7,I$4&lt;=$E7,WEEKDAY(I$4,2)&lt;=5,COUNTIF('Sources &amp; Change Log'!$J$2:$J$5,I$4)=0,COUNTIFS('Team Calendar'!$A$5:$A$12,$F7,'Team Calendar'!$C$5:$C$12,I$4)=0),1,"")</f>
        <v/>
      </c>
      <c r="J7" s="165">
        <f>IF(AND(ISNUMBER($D7),ISNUMBER($E7),J$4&gt;=$D7,J$4&lt;=$E7,WEEKDAY(J$4,2)&lt;=5,COUNTIF('Sources &amp; Change Log'!$J$2:$J$5,J$4)=0,COUNTIFS('Team Calendar'!$A$5:$A$12,$F7,'Team Calendar'!$C$5:$C$12,J$4)=0),1,"")</f>
        <v/>
      </c>
      <c r="K7" s="165">
        <f>IF(AND(ISNUMBER($D7),ISNUMBER($E7),K$4&gt;=$D7,K$4&lt;=$E7,WEEKDAY(K$4,2)&lt;=5,COUNTIF('Sources &amp; Change Log'!$J$2:$J$5,K$4)=0,COUNTIFS('Team Calendar'!$A$5:$A$12,$F7,'Team Calendar'!$C$5:$C$12,K$4)=0),1,"")</f>
        <v/>
      </c>
      <c r="L7" s="166">
        <f>IF(AND(ISNUMBER($D7),ISNUMBER($E7),L$4&gt;=$D7,L$4&lt;=$E7,WEEKDAY(L$4,2)&lt;=5,COUNTIF('Sources &amp; Change Log'!$J$2:$J$5,L$4)=0,COUNTIFS('Team Calendar'!$A$5:$A$12,$F7,'Team Calendar'!$C$5:$C$12,L$4)=0),1,"")</f>
        <v/>
      </c>
      <c r="M7" s="166">
        <f>IF(AND(ISNUMBER($D7),ISNUMBER($E7),M$4&gt;=$D7,M$4&lt;=$E7,WEEKDAY(M$4,2)&lt;=5,COUNTIF('Sources &amp; Change Log'!$J$2:$J$5,M$4)=0,COUNTIFS('Team Calendar'!$A$5:$A$12,$F7,'Team Calendar'!$C$5:$C$12,M$4)=0),1,"")</f>
        <v/>
      </c>
      <c r="N7" s="165">
        <f>IF(AND(ISNUMBER($D7),ISNUMBER($E7),N$4&gt;=$D7,N$4&lt;=$E7,WEEKDAY(N$4,2)&lt;=5,COUNTIF('Sources &amp; Change Log'!$J$2:$J$5,N$4)=0,COUNTIFS('Team Calendar'!$A$5:$A$12,$F7,'Team Calendar'!$C$5:$C$12,N$4)=0),1,"")</f>
        <v/>
      </c>
      <c r="O7" s="165">
        <f>IF(AND(ISNUMBER($D7),ISNUMBER($E7),O$4&gt;=$D7,O$4&lt;=$E7,WEEKDAY(O$4,2)&lt;=5,COUNTIF('Sources &amp; Change Log'!$J$2:$J$5,O$4)=0,COUNTIFS('Team Calendar'!$A$5:$A$12,$F7,'Team Calendar'!$C$5:$C$12,O$4)=0),1,"")</f>
        <v/>
      </c>
      <c r="P7" s="165">
        <f>IF(AND(ISNUMBER($D7),ISNUMBER($E7),P$4&gt;=$D7,P$4&lt;=$E7,WEEKDAY(P$4,2)&lt;=5,COUNTIF('Sources &amp; Change Log'!$J$2:$J$5,P$4)=0,COUNTIFS('Team Calendar'!$A$5:$A$12,$F7,'Team Calendar'!$C$5:$C$12,P$4)=0),1,"")</f>
        <v/>
      </c>
      <c r="Q7" s="165">
        <f>IF(AND(ISNUMBER($D7),ISNUMBER($E7),Q$4&gt;=$D7,Q$4&lt;=$E7,WEEKDAY(Q$4,2)&lt;=5,COUNTIF('Sources &amp; Change Log'!$J$2:$J$5,Q$4)=0,COUNTIFS('Team Calendar'!$A$5:$A$12,$F7,'Team Calendar'!$C$5:$C$12,Q$4)=0),1,"")</f>
        <v/>
      </c>
      <c r="R7" s="165">
        <f>IF(AND(ISNUMBER($D7),ISNUMBER($E7),R$4&gt;=$D7,R$4&lt;=$E7,WEEKDAY(R$4,2)&lt;=5,COUNTIF('Sources &amp; Change Log'!$J$2:$J$5,R$4)=0,COUNTIFS('Team Calendar'!$A$5:$A$12,$F7,'Team Calendar'!$C$5:$C$12,R$4)=0),1,"")</f>
        <v/>
      </c>
      <c r="S7" s="166">
        <f>IF(AND(ISNUMBER($D7),ISNUMBER($E7),S$4&gt;=$D7,S$4&lt;=$E7,WEEKDAY(S$4,2)&lt;=5,COUNTIF('Sources &amp; Change Log'!$J$2:$J$5,S$4)=0,COUNTIFS('Team Calendar'!$A$5:$A$12,$F7,'Team Calendar'!$C$5:$C$12,S$4)=0),1,"")</f>
        <v/>
      </c>
      <c r="T7" s="166">
        <f>IF(AND(ISNUMBER($D7),ISNUMBER($E7),T$4&gt;=$D7,T$4&lt;=$E7,WEEKDAY(T$4,2)&lt;=5,COUNTIF('Sources &amp; Change Log'!$J$2:$J$5,T$4)=0,COUNTIFS('Team Calendar'!$A$5:$A$12,$F7,'Team Calendar'!$C$5:$C$12,T$4)=0),1,"")</f>
        <v/>
      </c>
      <c r="U7" s="165">
        <f>IF(AND(ISNUMBER($D7),ISNUMBER($E7),U$4&gt;=$D7,U$4&lt;=$E7,WEEKDAY(U$4,2)&lt;=5,COUNTIF('Sources &amp; Change Log'!$J$2:$J$5,U$4)=0,COUNTIFS('Team Calendar'!$A$5:$A$12,$F7,'Team Calendar'!$C$5:$C$12,U$4)=0),1,"")</f>
        <v/>
      </c>
      <c r="V7" s="165">
        <f>IF(AND(ISNUMBER($D7),ISNUMBER($E7),V$4&gt;=$D7,V$4&lt;=$E7,WEEKDAY(V$4,2)&lt;=5,COUNTIF('Sources &amp; Change Log'!$J$2:$J$5,V$4)=0,COUNTIFS('Team Calendar'!$A$5:$A$12,$F7,'Team Calendar'!$C$5:$C$12,V$4)=0),1,"")</f>
        <v/>
      </c>
      <c r="W7" s="165">
        <f>IF(AND(ISNUMBER($D7),ISNUMBER($E7),W$4&gt;=$D7,W$4&lt;=$E7,WEEKDAY(W$4,2)&lt;=5,COUNTIF('Sources &amp; Change Log'!$J$2:$J$5,W$4)=0,COUNTIFS('Team Calendar'!$A$5:$A$12,$F7,'Team Calendar'!$C$5:$C$12,W$4)=0),1,"")</f>
        <v/>
      </c>
      <c r="X7" s="165">
        <f>IF(AND(ISNUMBER($D7),ISNUMBER($E7),X$4&gt;=$D7,X$4&lt;=$E7,WEEKDAY(X$4,2)&lt;=5,COUNTIF('Sources &amp; Change Log'!$J$2:$J$5,X$4)=0,COUNTIFS('Team Calendar'!$A$5:$A$12,$F7,'Team Calendar'!$C$5:$C$12,X$4)=0),1,"")</f>
        <v/>
      </c>
      <c r="Y7" s="165">
        <f>IF(AND(ISNUMBER($D7),ISNUMBER($E7),Y$4&gt;=$D7,Y$4&lt;=$E7,WEEKDAY(Y$4,2)&lt;=5,COUNTIF('Sources &amp; Change Log'!$J$2:$J$5,Y$4)=0,COUNTIFS('Team Calendar'!$A$5:$A$12,$F7,'Team Calendar'!$C$5:$C$12,Y$4)=0),1,"")</f>
        <v/>
      </c>
      <c r="Z7" s="166">
        <f>IF(AND(ISNUMBER($D7),ISNUMBER($E7),Z$4&gt;=$D7,Z$4&lt;=$E7,WEEKDAY(Z$4,2)&lt;=5,COUNTIF('Sources &amp; Change Log'!$J$2:$J$5,Z$4)=0,COUNTIFS('Team Calendar'!$A$5:$A$12,$F7,'Team Calendar'!$C$5:$C$12,Z$4)=0),1,"")</f>
        <v/>
      </c>
      <c r="AA7" s="166">
        <f>IF(AND(ISNUMBER($D7),ISNUMBER($E7),AA$4&gt;=$D7,AA$4&lt;=$E7,WEEKDAY(AA$4,2)&lt;=5,COUNTIF('Sources &amp; Change Log'!$J$2:$J$5,AA$4)=0,COUNTIFS('Team Calendar'!$A$5:$A$12,$F7,'Team Calendar'!$C$5:$C$12,AA$4)=0),1,"")</f>
        <v/>
      </c>
      <c r="AB7" s="165">
        <f>IF(AND(ISNUMBER($D7),ISNUMBER($E7),AB$4&gt;=$D7,AB$4&lt;=$E7,WEEKDAY(AB$4,2)&lt;=5,COUNTIF('Sources &amp; Change Log'!$J$2:$J$5,AB$4)=0,COUNTIFS('Team Calendar'!$A$5:$A$12,$F7,'Team Calendar'!$C$5:$C$12,AB$4)=0),1,"")</f>
        <v/>
      </c>
      <c r="AC7" s="165">
        <f>IF(AND(ISNUMBER($D7),ISNUMBER($E7),AC$4&gt;=$D7,AC$4&lt;=$E7,WEEKDAY(AC$4,2)&lt;=5,COUNTIF('Sources &amp; Change Log'!$J$2:$J$5,AC$4)=0,COUNTIFS('Team Calendar'!$A$5:$A$12,$F7,'Team Calendar'!$C$5:$C$12,AC$4)=0),1,"")</f>
        <v/>
      </c>
      <c r="AD7" s="165">
        <f>IF(AND(ISNUMBER($D7),ISNUMBER($E7),AD$4&gt;=$D7,AD$4&lt;=$E7,WEEKDAY(AD$4,2)&lt;=5,COUNTIF('Sources &amp; Change Log'!$J$2:$J$5,AD$4)=0,COUNTIFS('Team Calendar'!$A$5:$A$12,$F7,'Team Calendar'!$C$5:$C$12,AD$4)=0),1,"")</f>
        <v/>
      </c>
      <c r="AE7" s="165">
        <f>IF(AND(ISNUMBER($D7),ISNUMBER($E7),AE$4&gt;=$D7,AE$4&lt;=$E7,WEEKDAY(AE$4,2)&lt;=5,COUNTIF('Sources &amp; Change Log'!$J$2:$J$5,AE$4)=0,COUNTIFS('Team Calendar'!$A$5:$A$12,$F7,'Team Calendar'!$C$5:$C$12,AE$4)=0),1,"")</f>
        <v/>
      </c>
      <c r="AF7" s="165">
        <f>IF(AND(ISNUMBER($D7),ISNUMBER($E7),AF$4&gt;=$D7,AF$4&lt;=$E7,WEEKDAY(AF$4,2)&lt;=5,COUNTIF('Sources &amp; Change Log'!$J$2:$J$5,AF$4)=0,COUNTIFS('Team Calendar'!$A$5:$A$12,$F7,'Team Calendar'!$C$5:$C$12,AF$4)=0),1,"")</f>
        <v/>
      </c>
      <c r="AG7" s="166">
        <f>IF(AND(ISNUMBER($D7),ISNUMBER($E7),AG$4&gt;=$D7,AG$4&lt;=$E7,WEEKDAY(AG$4,2)&lt;=5,COUNTIF('Sources &amp; Change Log'!$J$2:$J$5,AG$4)=0,COUNTIFS('Team Calendar'!$A$5:$A$12,$F7,'Team Calendar'!$C$5:$C$12,AG$4)=0),1,"")</f>
        <v/>
      </c>
      <c r="AH7" s="166">
        <f>IF(AND(ISNUMBER($D7),ISNUMBER($E7),AH$4&gt;=$D7,AH$4&lt;=$E7,WEEKDAY(AH$4,2)&lt;=5,COUNTIF('Sources &amp; Change Log'!$J$2:$J$5,AH$4)=0,COUNTIFS('Team Calendar'!$A$5:$A$12,$F7,'Team Calendar'!$C$5:$C$12,AH$4)=0),1,"")</f>
        <v/>
      </c>
      <c r="AI7" s="165">
        <f>IF(AND(ISNUMBER($D7),ISNUMBER($E7),AI$4&gt;=$D7,AI$4&lt;=$E7,WEEKDAY(AI$4,2)&lt;=5,COUNTIF('Sources &amp; Change Log'!$J$2:$J$5,AI$4)=0,COUNTIFS('Team Calendar'!$A$5:$A$12,$F7,'Team Calendar'!$C$5:$C$12,AI$4)=0),1,"")</f>
        <v/>
      </c>
    </row>
    <row r="8" ht="24" customHeight="1">
      <c r="A8" s="13">
        <f>WBS!A34</f>
        <v/>
      </c>
      <c r="B8" s="13">
        <f>WBS!B34</f>
        <v/>
      </c>
      <c r="C8" s="13">
        <f>WBS!G34</f>
        <v/>
      </c>
      <c r="D8" s="164">
        <f>IF(WBS!H34="","",WBS!H34)</f>
        <v/>
      </c>
      <c r="E8" s="164">
        <f>IF(WBS!I34="","",WBS!I34)</f>
        <v/>
      </c>
      <c r="F8" s="13">
        <f>WBS!L34</f>
        <v/>
      </c>
      <c r="G8" s="165">
        <f>IF(AND(ISNUMBER($D8),ISNUMBER($E8),G$4&gt;=$D8,G$4&lt;=$E8,WEEKDAY(G$4,2)&lt;=5,COUNTIF('Sources &amp; Change Log'!$J$2:$J$5,G$4)=0,COUNTIFS('Team Calendar'!$A$5:$A$12,$F8,'Team Calendar'!$C$5:$C$12,G$4)=0),1,"")</f>
        <v/>
      </c>
      <c r="H8" s="165">
        <f>IF(AND(ISNUMBER($D8),ISNUMBER($E8),H$4&gt;=$D8,H$4&lt;=$E8,WEEKDAY(H$4,2)&lt;=5,COUNTIF('Sources &amp; Change Log'!$J$2:$J$5,H$4)=0,COUNTIFS('Team Calendar'!$A$5:$A$12,$F8,'Team Calendar'!$C$5:$C$12,H$4)=0),1,"")</f>
        <v/>
      </c>
      <c r="I8" s="165">
        <f>IF(AND(ISNUMBER($D8),ISNUMBER($E8),I$4&gt;=$D8,I$4&lt;=$E8,WEEKDAY(I$4,2)&lt;=5,COUNTIF('Sources &amp; Change Log'!$J$2:$J$5,I$4)=0,COUNTIFS('Team Calendar'!$A$5:$A$12,$F8,'Team Calendar'!$C$5:$C$12,I$4)=0),1,"")</f>
        <v/>
      </c>
      <c r="J8" s="165">
        <f>IF(AND(ISNUMBER($D8),ISNUMBER($E8),J$4&gt;=$D8,J$4&lt;=$E8,WEEKDAY(J$4,2)&lt;=5,COUNTIF('Sources &amp; Change Log'!$J$2:$J$5,J$4)=0,COUNTIFS('Team Calendar'!$A$5:$A$12,$F8,'Team Calendar'!$C$5:$C$12,J$4)=0),1,"")</f>
        <v/>
      </c>
      <c r="K8" s="165">
        <f>IF(AND(ISNUMBER($D8),ISNUMBER($E8),K$4&gt;=$D8,K$4&lt;=$E8,WEEKDAY(K$4,2)&lt;=5,COUNTIF('Sources &amp; Change Log'!$J$2:$J$5,K$4)=0,COUNTIFS('Team Calendar'!$A$5:$A$12,$F8,'Team Calendar'!$C$5:$C$12,K$4)=0),1,"")</f>
        <v/>
      </c>
      <c r="L8" s="166">
        <f>IF(AND(ISNUMBER($D8),ISNUMBER($E8),L$4&gt;=$D8,L$4&lt;=$E8,WEEKDAY(L$4,2)&lt;=5,COUNTIF('Sources &amp; Change Log'!$J$2:$J$5,L$4)=0,COUNTIFS('Team Calendar'!$A$5:$A$12,$F8,'Team Calendar'!$C$5:$C$12,L$4)=0),1,"")</f>
        <v/>
      </c>
      <c r="M8" s="166">
        <f>IF(AND(ISNUMBER($D8),ISNUMBER($E8),M$4&gt;=$D8,M$4&lt;=$E8,WEEKDAY(M$4,2)&lt;=5,COUNTIF('Sources &amp; Change Log'!$J$2:$J$5,M$4)=0,COUNTIFS('Team Calendar'!$A$5:$A$12,$F8,'Team Calendar'!$C$5:$C$12,M$4)=0),1,"")</f>
        <v/>
      </c>
      <c r="N8" s="165">
        <f>IF(AND(ISNUMBER($D8),ISNUMBER($E8),N$4&gt;=$D8,N$4&lt;=$E8,WEEKDAY(N$4,2)&lt;=5,COUNTIF('Sources &amp; Change Log'!$J$2:$J$5,N$4)=0,COUNTIFS('Team Calendar'!$A$5:$A$12,$F8,'Team Calendar'!$C$5:$C$12,N$4)=0),1,"")</f>
        <v/>
      </c>
      <c r="O8" s="165">
        <f>IF(AND(ISNUMBER($D8),ISNUMBER($E8),O$4&gt;=$D8,O$4&lt;=$E8,WEEKDAY(O$4,2)&lt;=5,COUNTIF('Sources &amp; Change Log'!$J$2:$J$5,O$4)=0,COUNTIFS('Team Calendar'!$A$5:$A$12,$F8,'Team Calendar'!$C$5:$C$12,O$4)=0),1,"")</f>
        <v/>
      </c>
      <c r="P8" s="165">
        <f>IF(AND(ISNUMBER($D8),ISNUMBER($E8),P$4&gt;=$D8,P$4&lt;=$E8,WEEKDAY(P$4,2)&lt;=5,COUNTIF('Sources &amp; Change Log'!$J$2:$J$5,P$4)=0,COUNTIFS('Team Calendar'!$A$5:$A$12,$F8,'Team Calendar'!$C$5:$C$12,P$4)=0),1,"")</f>
        <v/>
      </c>
      <c r="Q8" s="165">
        <f>IF(AND(ISNUMBER($D8),ISNUMBER($E8),Q$4&gt;=$D8,Q$4&lt;=$E8,WEEKDAY(Q$4,2)&lt;=5,COUNTIF('Sources &amp; Change Log'!$J$2:$J$5,Q$4)=0,COUNTIFS('Team Calendar'!$A$5:$A$12,$F8,'Team Calendar'!$C$5:$C$12,Q$4)=0),1,"")</f>
        <v/>
      </c>
      <c r="R8" s="165">
        <f>IF(AND(ISNUMBER($D8),ISNUMBER($E8),R$4&gt;=$D8,R$4&lt;=$E8,WEEKDAY(R$4,2)&lt;=5,COUNTIF('Sources &amp; Change Log'!$J$2:$J$5,R$4)=0,COUNTIFS('Team Calendar'!$A$5:$A$12,$F8,'Team Calendar'!$C$5:$C$12,R$4)=0),1,"")</f>
        <v/>
      </c>
      <c r="S8" s="166">
        <f>IF(AND(ISNUMBER($D8),ISNUMBER($E8),S$4&gt;=$D8,S$4&lt;=$E8,WEEKDAY(S$4,2)&lt;=5,COUNTIF('Sources &amp; Change Log'!$J$2:$J$5,S$4)=0,COUNTIFS('Team Calendar'!$A$5:$A$12,$F8,'Team Calendar'!$C$5:$C$12,S$4)=0),1,"")</f>
        <v/>
      </c>
      <c r="T8" s="166">
        <f>IF(AND(ISNUMBER($D8),ISNUMBER($E8),T$4&gt;=$D8,T$4&lt;=$E8,WEEKDAY(T$4,2)&lt;=5,COUNTIF('Sources &amp; Change Log'!$J$2:$J$5,T$4)=0,COUNTIFS('Team Calendar'!$A$5:$A$12,$F8,'Team Calendar'!$C$5:$C$12,T$4)=0),1,"")</f>
        <v/>
      </c>
      <c r="U8" s="165">
        <f>IF(AND(ISNUMBER($D8),ISNUMBER($E8),U$4&gt;=$D8,U$4&lt;=$E8,WEEKDAY(U$4,2)&lt;=5,COUNTIF('Sources &amp; Change Log'!$J$2:$J$5,U$4)=0,COUNTIFS('Team Calendar'!$A$5:$A$12,$F8,'Team Calendar'!$C$5:$C$12,U$4)=0),1,"")</f>
        <v/>
      </c>
      <c r="V8" s="165">
        <f>IF(AND(ISNUMBER($D8),ISNUMBER($E8),V$4&gt;=$D8,V$4&lt;=$E8,WEEKDAY(V$4,2)&lt;=5,COUNTIF('Sources &amp; Change Log'!$J$2:$J$5,V$4)=0,COUNTIFS('Team Calendar'!$A$5:$A$12,$F8,'Team Calendar'!$C$5:$C$12,V$4)=0),1,"")</f>
        <v/>
      </c>
      <c r="W8" s="165">
        <f>IF(AND(ISNUMBER($D8),ISNUMBER($E8),W$4&gt;=$D8,W$4&lt;=$E8,WEEKDAY(W$4,2)&lt;=5,COUNTIF('Sources &amp; Change Log'!$J$2:$J$5,W$4)=0,COUNTIFS('Team Calendar'!$A$5:$A$12,$F8,'Team Calendar'!$C$5:$C$12,W$4)=0),1,"")</f>
        <v/>
      </c>
      <c r="X8" s="165">
        <f>IF(AND(ISNUMBER($D8),ISNUMBER($E8),X$4&gt;=$D8,X$4&lt;=$E8,WEEKDAY(X$4,2)&lt;=5,COUNTIF('Sources &amp; Change Log'!$J$2:$J$5,X$4)=0,COUNTIFS('Team Calendar'!$A$5:$A$12,$F8,'Team Calendar'!$C$5:$C$12,X$4)=0),1,"")</f>
        <v/>
      </c>
      <c r="Y8" s="165">
        <f>IF(AND(ISNUMBER($D8),ISNUMBER($E8),Y$4&gt;=$D8,Y$4&lt;=$E8,WEEKDAY(Y$4,2)&lt;=5,COUNTIF('Sources &amp; Change Log'!$J$2:$J$5,Y$4)=0,COUNTIFS('Team Calendar'!$A$5:$A$12,$F8,'Team Calendar'!$C$5:$C$12,Y$4)=0),1,"")</f>
        <v/>
      </c>
      <c r="Z8" s="166">
        <f>IF(AND(ISNUMBER($D8),ISNUMBER($E8),Z$4&gt;=$D8,Z$4&lt;=$E8,WEEKDAY(Z$4,2)&lt;=5,COUNTIF('Sources &amp; Change Log'!$J$2:$J$5,Z$4)=0,COUNTIFS('Team Calendar'!$A$5:$A$12,$F8,'Team Calendar'!$C$5:$C$12,Z$4)=0),1,"")</f>
        <v/>
      </c>
      <c r="AA8" s="166">
        <f>IF(AND(ISNUMBER($D8),ISNUMBER($E8),AA$4&gt;=$D8,AA$4&lt;=$E8,WEEKDAY(AA$4,2)&lt;=5,COUNTIF('Sources &amp; Change Log'!$J$2:$J$5,AA$4)=0,COUNTIFS('Team Calendar'!$A$5:$A$12,$F8,'Team Calendar'!$C$5:$C$12,AA$4)=0),1,"")</f>
        <v/>
      </c>
      <c r="AB8" s="165">
        <f>IF(AND(ISNUMBER($D8),ISNUMBER($E8),AB$4&gt;=$D8,AB$4&lt;=$E8,WEEKDAY(AB$4,2)&lt;=5,COUNTIF('Sources &amp; Change Log'!$J$2:$J$5,AB$4)=0,COUNTIFS('Team Calendar'!$A$5:$A$12,$F8,'Team Calendar'!$C$5:$C$12,AB$4)=0),1,"")</f>
        <v/>
      </c>
      <c r="AC8" s="165">
        <f>IF(AND(ISNUMBER($D8),ISNUMBER($E8),AC$4&gt;=$D8,AC$4&lt;=$E8,WEEKDAY(AC$4,2)&lt;=5,COUNTIF('Sources &amp; Change Log'!$J$2:$J$5,AC$4)=0,COUNTIFS('Team Calendar'!$A$5:$A$12,$F8,'Team Calendar'!$C$5:$C$12,AC$4)=0),1,"")</f>
        <v/>
      </c>
      <c r="AD8" s="165">
        <f>IF(AND(ISNUMBER($D8),ISNUMBER($E8),AD$4&gt;=$D8,AD$4&lt;=$E8,WEEKDAY(AD$4,2)&lt;=5,COUNTIF('Sources &amp; Change Log'!$J$2:$J$5,AD$4)=0,COUNTIFS('Team Calendar'!$A$5:$A$12,$F8,'Team Calendar'!$C$5:$C$12,AD$4)=0),1,"")</f>
        <v/>
      </c>
      <c r="AE8" s="165">
        <f>IF(AND(ISNUMBER($D8),ISNUMBER($E8),AE$4&gt;=$D8,AE$4&lt;=$E8,WEEKDAY(AE$4,2)&lt;=5,COUNTIF('Sources &amp; Change Log'!$J$2:$J$5,AE$4)=0,COUNTIFS('Team Calendar'!$A$5:$A$12,$F8,'Team Calendar'!$C$5:$C$12,AE$4)=0),1,"")</f>
        <v/>
      </c>
      <c r="AF8" s="165">
        <f>IF(AND(ISNUMBER($D8),ISNUMBER($E8),AF$4&gt;=$D8,AF$4&lt;=$E8,WEEKDAY(AF$4,2)&lt;=5,COUNTIF('Sources &amp; Change Log'!$J$2:$J$5,AF$4)=0,COUNTIFS('Team Calendar'!$A$5:$A$12,$F8,'Team Calendar'!$C$5:$C$12,AF$4)=0),1,"")</f>
        <v/>
      </c>
      <c r="AG8" s="166">
        <f>IF(AND(ISNUMBER($D8),ISNUMBER($E8),AG$4&gt;=$D8,AG$4&lt;=$E8,WEEKDAY(AG$4,2)&lt;=5,COUNTIF('Sources &amp; Change Log'!$J$2:$J$5,AG$4)=0,COUNTIFS('Team Calendar'!$A$5:$A$12,$F8,'Team Calendar'!$C$5:$C$12,AG$4)=0),1,"")</f>
        <v/>
      </c>
      <c r="AH8" s="166">
        <f>IF(AND(ISNUMBER($D8),ISNUMBER($E8),AH$4&gt;=$D8,AH$4&lt;=$E8,WEEKDAY(AH$4,2)&lt;=5,COUNTIF('Sources &amp; Change Log'!$J$2:$J$5,AH$4)=0,COUNTIFS('Team Calendar'!$A$5:$A$12,$F8,'Team Calendar'!$C$5:$C$12,AH$4)=0),1,"")</f>
        <v/>
      </c>
      <c r="AI8" s="165">
        <f>IF(AND(ISNUMBER($D8),ISNUMBER($E8),AI$4&gt;=$D8,AI$4&lt;=$E8,WEEKDAY(AI$4,2)&lt;=5,COUNTIF('Sources &amp; Change Log'!$J$2:$J$5,AI$4)=0,COUNTIFS('Team Calendar'!$A$5:$A$12,$F8,'Team Calendar'!$C$5:$C$12,AI$4)=0),1,"")</f>
        <v/>
      </c>
    </row>
    <row r="9" ht="24" customHeight="1">
      <c r="A9" s="13">
        <f>WBS!A35</f>
        <v/>
      </c>
      <c r="B9" s="13">
        <f>WBS!B35</f>
        <v/>
      </c>
      <c r="C9" s="13">
        <f>WBS!G35</f>
        <v/>
      </c>
      <c r="D9" s="164">
        <f>IF(WBS!H35="","",WBS!H35)</f>
        <v/>
      </c>
      <c r="E9" s="164">
        <f>IF(WBS!I35="","",WBS!I35)</f>
        <v/>
      </c>
      <c r="F9" s="13">
        <f>WBS!L35</f>
        <v/>
      </c>
      <c r="G9" s="165">
        <f>IF(AND(ISNUMBER($D9),ISNUMBER($E9),G$4&gt;=$D9,G$4&lt;=$E9,WEEKDAY(G$4,2)&lt;=5,COUNTIF('Sources &amp; Change Log'!$J$2:$J$5,G$4)=0,COUNTIFS('Team Calendar'!$A$5:$A$12,$F9,'Team Calendar'!$C$5:$C$12,G$4)=0),1,"")</f>
        <v/>
      </c>
      <c r="H9" s="165">
        <f>IF(AND(ISNUMBER($D9),ISNUMBER($E9),H$4&gt;=$D9,H$4&lt;=$E9,WEEKDAY(H$4,2)&lt;=5,COUNTIF('Sources &amp; Change Log'!$J$2:$J$5,H$4)=0,COUNTIFS('Team Calendar'!$A$5:$A$12,$F9,'Team Calendar'!$C$5:$C$12,H$4)=0),1,"")</f>
        <v/>
      </c>
      <c r="I9" s="165">
        <f>IF(AND(ISNUMBER($D9),ISNUMBER($E9),I$4&gt;=$D9,I$4&lt;=$E9,WEEKDAY(I$4,2)&lt;=5,COUNTIF('Sources &amp; Change Log'!$J$2:$J$5,I$4)=0,COUNTIFS('Team Calendar'!$A$5:$A$12,$F9,'Team Calendar'!$C$5:$C$12,I$4)=0),1,"")</f>
        <v/>
      </c>
      <c r="J9" s="165">
        <f>IF(AND(ISNUMBER($D9),ISNUMBER($E9),J$4&gt;=$D9,J$4&lt;=$E9,WEEKDAY(J$4,2)&lt;=5,COUNTIF('Sources &amp; Change Log'!$J$2:$J$5,J$4)=0,COUNTIFS('Team Calendar'!$A$5:$A$12,$F9,'Team Calendar'!$C$5:$C$12,J$4)=0),1,"")</f>
        <v/>
      </c>
      <c r="K9" s="165">
        <f>IF(AND(ISNUMBER($D9),ISNUMBER($E9),K$4&gt;=$D9,K$4&lt;=$E9,WEEKDAY(K$4,2)&lt;=5,COUNTIF('Sources &amp; Change Log'!$J$2:$J$5,K$4)=0,COUNTIFS('Team Calendar'!$A$5:$A$12,$F9,'Team Calendar'!$C$5:$C$12,K$4)=0),1,"")</f>
        <v/>
      </c>
      <c r="L9" s="166">
        <f>IF(AND(ISNUMBER($D9),ISNUMBER($E9),L$4&gt;=$D9,L$4&lt;=$E9,WEEKDAY(L$4,2)&lt;=5,COUNTIF('Sources &amp; Change Log'!$J$2:$J$5,L$4)=0,COUNTIFS('Team Calendar'!$A$5:$A$12,$F9,'Team Calendar'!$C$5:$C$12,L$4)=0),1,"")</f>
        <v/>
      </c>
      <c r="M9" s="166">
        <f>IF(AND(ISNUMBER($D9),ISNUMBER($E9),M$4&gt;=$D9,M$4&lt;=$E9,WEEKDAY(M$4,2)&lt;=5,COUNTIF('Sources &amp; Change Log'!$J$2:$J$5,M$4)=0,COUNTIFS('Team Calendar'!$A$5:$A$12,$F9,'Team Calendar'!$C$5:$C$12,M$4)=0),1,"")</f>
        <v/>
      </c>
      <c r="N9" s="165">
        <f>IF(AND(ISNUMBER($D9),ISNUMBER($E9),N$4&gt;=$D9,N$4&lt;=$E9,WEEKDAY(N$4,2)&lt;=5,COUNTIF('Sources &amp; Change Log'!$J$2:$J$5,N$4)=0,COUNTIFS('Team Calendar'!$A$5:$A$12,$F9,'Team Calendar'!$C$5:$C$12,N$4)=0),1,"")</f>
        <v/>
      </c>
      <c r="O9" s="165">
        <f>IF(AND(ISNUMBER($D9),ISNUMBER($E9),O$4&gt;=$D9,O$4&lt;=$E9,WEEKDAY(O$4,2)&lt;=5,COUNTIF('Sources &amp; Change Log'!$J$2:$J$5,O$4)=0,COUNTIFS('Team Calendar'!$A$5:$A$12,$F9,'Team Calendar'!$C$5:$C$12,O$4)=0),1,"")</f>
        <v/>
      </c>
      <c r="P9" s="165">
        <f>IF(AND(ISNUMBER($D9),ISNUMBER($E9),P$4&gt;=$D9,P$4&lt;=$E9,WEEKDAY(P$4,2)&lt;=5,COUNTIF('Sources &amp; Change Log'!$J$2:$J$5,P$4)=0,COUNTIFS('Team Calendar'!$A$5:$A$12,$F9,'Team Calendar'!$C$5:$C$12,P$4)=0),1,"")</f>
        <v/>
      </c>
      <c r="Q9" s="165">
        <f>IF(AND(ISNUMBER($D9),ISNUMBER($E9),Q$4&gt;=$D9,Q$4&lt;=$E9,WEEKDAY(Q$4,2)&lt;=5,COUNTIF('Sources &amp; Change Log'!$J$2:$J$5,Q$4)=0,COUNTIFS('Team Calendar'!$A$5:$A$12,$F9,'Team Calendar'!$C$5:$C$12,Q$4)=0),1,"")</f>
        <v/>
      </c>
      <c r="R9" s="165">
        <f>IF(AND(ISNUMBER($D9),ISNUMBER($E9),R$4&gt;=$D9,R$4&lt;=$E9,WEEKDAY(R$4,2)&lt;=5,COUNTIF('Sources &amp; Change Log'!$J$2:$J$5,R$4)=0,COUNTIFS('Team Calendar'!$A$5:$A$12,$F9,'Team Calendar'!$C$5:$C$12,R$4)=0),1,"")</f>
        <v/>
      </c>
      <c r="S9" s="166">
        <f>IF(AND(ISNUMBER($D9),ISNUMBER($E9),S$4&gt;=$D9,S$4&lt;=$E9,WEEKDAY(S$4,2)&lt;=5,COUNTIF('Sources &amp; Change Log'!$J$2:$J$5,S$4)=0,COUNTIFS('Team Calendar'!$A$5:$A$12,$F9,'Team Calendar'!$C$5:$C$12,S$4)=0),1,"")</f>
        <v/>
      </c>
      <c r="T9" s="166">
        <f>IF(AND(ISNUMBER($D9),ISNUMBER($E9),T$4&gt;=$D9,T$4&lt;=$E9,WEEKDAY(T$4,2)&lt;=5,COUNTIF('Sources &amp; Change Log'!$J$2:$J$5,T$4)=0,COUNTIFS('Team Calendar'!$A$5:$A$12,$F9,'Team Calendar'!$C$5:$C$12,T$4)=0),1,"")</f>
        <v/>
      </c>
      <c r="U9" s="165">
        <f>IF(AND(ISNUMBER($D9),ISNUMBER($E9),U$4&gt;=$D9,U$4&lt;=$E9,WEEKDAY(U$4,2)&lt;=5,COUNTIF('Sources &amp; Change Log'!$J$2:$J$5,U$4)=0,COUNTIFS('Team Calendar'!$A$5:$A$12,$F9,'Team Calendar'!$C$5:$C$12,U$4)=0),1,"")</f>
        <v/>
      </c>
      <c r="V9" s="165">
        <f>IF(AND(ISNUMBER($D9),ISNUMBER($E9),V$4&gt;=$D9,V$4&lt;=$E9,WEEKDAY(V$4,2)&lt;=5,COUNTIF('Sources &amp; Change Log'!$J$2:$J$5,V$4)=0,COUNTIFS('Team Calendar'!$A$5:$A$12,$F9,'Team Calendar'!$C$5:$C$12,V$4)=0),1,"")</f>
        <v/>
      </c>
      <c r="W9" s="165">
        <f>IF(AND(ISNUMBER($D9),ISNUMBER($E9),W$4&gt;=$D9,W$4&lt;=$E9,WEEKDAY(W$4,2)&lt;=5,COUNTIF('Sources &amp; Change Log'!$J$2:$J$5,W$4)=0,COUNTIFS('Team Calendar'!$A$5:$A$12,$F9,'Team Calendar'!$C$5:$C$12,W$4)=0),1,"")</f>
        <v/>
      </c>
      <c r="X9" s="165">
        <f>IF(AND(ISNUMBER($D9),ISNUMBER($E9),X$4&gt;=$D9,X$4&lt;=$E9,WEEKDAY(X$4,2)&lt;=5,COUNTIF('Sources &amp; Change Log'!$J$2:$J$5,X$4)=0,COUNTIFS('Team Calendar'!$A$5:$A$12,$F9,'Team Calendar'!$C$5:$C$12,X$4)=0),1,"")</f>
        <v/>
      </c>
      <c r="Y9" s="165">
        <f>IF(AND(ISNUMBER($D9),ISNUMBER($E9),Y$4&gt;=$D9,Y$4&lt;=$E9,WEEKDAY(Y$4,2)&lt;=5,COUNTIF('Sources &amp; Change Log'!$J$2:$J$5,Y$4)=0,COUNTIFS('Team Calendar'!$A$5:$A$12,$F9,'Team Calendar'!$C$5:$C$12,Y$4)=0),1,"")</f>
        <v/>
      </c>
      <c r="Z9" s="166">
        <f>IF(AND(ISNUMBER($D9),ISNUMBER($E9),Z$4&gt;=$D9,Z$4&lt;=$E9,WEEKDAY(Z$4,2)&lt;=5,COUNTIF('Sources &amp; Change Log'!$J$2:$J$5,Z$4)=0,COUNTIFS('Team Calendar'!$A$5:$A$12,$F9,'Team Calendar'!$C$5:$C$12,Z$4)=0),1,"")</f>
        <v/>
      </c>
      <c r="AA9" s="166">
        <f>IF(AND(ISNUMBER($D9),ISNUMBER($E9),AA$4&gt;=$D9,AA$4&lt;=$E9,WEEKDAY(AA$4,2)&lt;=5,COUNTIF('Sources &amp; Change Log'!$J$2:$J$5,AA$4)=0,COUNTIFS('Team Calendar'!$A$5:$A$12,$F9,'Team Calendar'!$C$5:$C$12,AA$4)=0),1,"")</f>
        <v/>
      </c>
      <c r="AB9" s="165">
        <f>IF(AND(ISNUMBER($D9),ISNUMBER($E9),AB$4&gt;=$D9,AB$4&lt;=$E9,WEEKDAY(AB$4,2)&lt;=5,COUNTIF('Sources &amp; Change Log'!$J$2:$J$5,AB$4)=0,COUNTIFS('Team Calendar'!$A$5:$A$12,$F9,'Team Calendar'!$C$5:$C$12,AB$4)=0),1,"")</f>
        <v/>
      </c>
      <c r="AC9" s="165">
        <f>IF(AND(ISNUMBER($D9),ISNUMBER($E9),AC$4&gt;=$D9,AC$4&lt;=$E9,WEEKDAY(AC$4,2)&lt;=5,COUNTIF('Sources &amp; Change Log'!$J$2:$J$5,AC$4)=0,COUNTIFS('Team Calendar'!$A$5:$A$12,$F9,'Team Calendar'!$C$5:$C$12,AC$4)=0),1,"")</f>
        <v/>
      </c>
      <c r="AD9" s="165">
        <f>IF(AND(ISNUMBER($D9),ISNUMBER($E9),AD$4&gt;=$D9,AD$4&lt;=$E9,WEEKDAY(AD$4,2)&lt;=5,COUNTIF('Sources &amp; Change Log'!$J$2:$J$5,AD$4)=0,COUNTIFS('Team Calendar'!$A$5:$A$12,$F9,'Team Calendar'!$C$5:$C$12,AD$4)=0),1,"")</f>
        <v/>
      </c>
      <c r="AE9" s="165">
        <f>IF(AND(ISNUMBER($D9),ISNUMBER($E9),AE$4&gt;=$D9,AE$4&lt;=$E9,WEEKDAY(AE$4,2)&lt;=5,COUNTIF('Sources &amp; Change Log'!$J$2:$J$5,AE$4)=0,COUNTIFS('Team Calendar'!$A$5:$A$12,$F9,'Team Calendar'!$C$5:$C$12,AE$4)=0),1,"")</f>
        <v/>
      </c>
      <c r="AF9" s="165">
        <f>IF(AND(ISNUMBER($D9),ISNUMBER($E9),AF$4&gt;=$D9,AF$4&lt;=$E9,WEEKDAY(AF$4,2)&lt;=5,COUNTIF('Sources &amp; Change Log'!$J$2:$J$5,AF$4)=0,COUNTIFS('Team Calendar'!$A$5:$A$12,$F9,'Team Calendar'!$C$5:$C$12,AF$4)=0),1,"")</f>
        <v/>
      </c>
      <c r="AG9" s="166">
        <f>IF(AND(ISNUMBER($D9),ISNUMBER($E9),AG$4&gt;=$D9,AG$4&lt;=$E9,WEEKDAY(AG$4,2)&lt;=5,COUNTIF('Sources &amp; Change Log'!$J$2:$J$5,AG$4)=0,COUNTIFS('Team Calendar'!$A$5:$A$12,$F9,'Team Calendar'!$C$5:$C$12,AG$4)=0),1,"")</f>
        <v/>
      </c>
      <c r="AH9" s="166">
        <f>IF(AND(ISNUMBER($D9),ISNUMBER($E9),AH$4&gt;=$D9,AH$4&lt;=$E9,WEEKDAY(AH$4,2)&lt;=5,COUNTIF('Sources &amp; Change Log'!$J$2:$J$5,AH$4)=0,COUNTIFS('Team Calendar'!$A$5:$A$12,$F9,'Team Calendar'!$C$5:$C$12,AH$4)=0),1,"")</f>
        <v/>
      </c>
      <c r="AI9" s="165">
        <f>IF(AND(ISNUMBER($D9),ISNUMBER($E9),AI$4&gt;=$D9,AI$4&lt;=$E9,WEEKDAY(AI$4,2)&lt;=5,COUNTIF('Sources &amp; Change Log'!$J$2:$J$5,AI$4)=0,COUNTIFS('Team Calendar'!$A$5:$A$12,$F9,'Team Calendar'!$C$5:$C$12,AI$4)=0),1,"")</f>
        <v/>
      </c>
    </row>
    <row r="10" ht="24" customHeight="1">
      <c r="A10" s="13">
        <f>WBS!A36</f>
        <v/>
      </c>
      <c r="B10" s="13">
        <f>WBS!B36</f>
        <v/>
      </c>
      <c r="C10" s="13">
        <f>WBS!G36</f>
        <v/>
      </c>
      <c r="D10" s="164">
        <f>IF(WBS!H36="","",WBS!H36)</f>
        <v/>
      </c>
      <c r="E10" s="164">
        <f>IF(WBS!I36="","",WBS!I36)</f>
        <v/>
      </c>
      <c r="F10" s="13">
        <f>WBS!L36</f>
        <v/>
      </c>
      <c r="G10" s="165">
        <f>IF(AND(ISNUMBER($D10),ISNUMBER($E10),G$4&gt;=$D10,G$4&lt;=$E10,WEEKDAY(G$4,2)&lt;=5,COUNTIF('Sources &amp; Change Log'!$J$2:$J$5,G$4)=0,COUNTIFS('Team Calendar'!$A$5:$A$12,$F10,'Team Calendar'!$C$5:$C$12,G$4)=0),1,"")</f>
        <v/>
      </c>
      <c r="H10" s="165">
        <f>IF(AND(ISNUMBER($D10),ISNUMBER($E10),H$4&gt;=$D10,H$4&lt;=$E10,WEEKDAY(H$4,2)&lt;=5,COUNTIF('Sources &amp; Change Log'!$J$2:$J$5,H$4)=0,COUNTIFS('Team Calendar'!$A$5:$A$12,$F10,'Team Calendar'!$C$5:$C$12,H$4)=0),1,"")</f>
        <v/>
      </c>
      <c r="I10" s="165">
        <f>IF(AND(ISNUMBER($D10),ISNUMBER($E10),I$4&gt;=$D10,I$4&lt;=$E10,WEEKDAY(I$4,2)&lt;=5,COUNTIF('Sources &amp; Change Log'!$J$2:$J$5,I$4)=0,COUNTIFS('Team Calendar'!$A$5:$A$12,$F10,'Team Calendar'!$C$5:$C$12,I$4)=0),1,"")</f>
        <v/>
      </c>
      <c r="J10" s="165">
        <f>IF(AND(ISNUMBER($D10),ISNUMBER($E10),J$4&gt;=$D10,J$4&lt;=$E10,WEEKDAY(J$4,2)&lt;=5,COUNTIF('Sources &amp; Change Log'!$J$2:$J$5,J$4)=0,COUNTIFS('Team Calendar'!$A$5:$A$12,$F10,'Team Calendar'!$C$5:$C$12,J$4)=0),1,"")</f>
        <v/>
      </c>
      <c r="K10" s="165">
        <f>IF(AND(ISNUMBER($D10),ISNUMBER($E10),K$4&gt;=$D10,K$4&lt;=$E10,WEEKDAY(K$4,2)&lt;=5,COUNTIF('Sources &amp; Change Log'!$J$2:$J$5,K$4)=0,COUNTIFS('Team Calendar'!$A$5:$A$12,$F10,'Team Calendar'!$C$5:$C$12,K$4)=0),1,"")</f>
        <v/>
      </c>
      <c r="L10" s="166">
        <f>IF(AND(ISNUMBER($D10),ISNUMBER($E10),L$4&gt;=$D10,L$4&lt;=$E10,WEEKDAY(L$4,2)&lt;=5,COUNTIF('Sources &amp; Change Log'!$J$2:$J$5,L$4)=0,COUNTIFS('Team Calendar'!$A$5:$A$12,$F10,'Team Calendar'!$C$5:$C$12,L$4)=0),1,"")</f>
        <v/>
      </c>
      <c r="M10" s="166">
        <f>IF(AND(ISNUMBER($D10),ISNUMBER($E10),M$4&gt;=$D10,M$4&lt;=$E10,WEEKDAY(M$4,2)&lt;=5,COUNTIF('Sources &amp; Change Log'!$J$2:$J$5,M$4)=0,COUNTIFS('Team Calendar'!$A$5:$A$12,$F10,'Team Calendar'!$C$5:$C$12,M$4)=0),1,"")</f>
        <v/>
      </c>
      <c r="N10" s="165">
        <f>IF(AND(ISNUMBER($D10),ISNUMBER($E10),N$4&gt;=$D10,N$4&lt;=$E10,WEEKDAY(N$4,2)&lt;=5,COUNTIF('Sources &amp; Change Log'!$J$2:$J$5,N$4)=0,COUNTIFS('Team Calendar'!$A$5:$A$12,$F10,'Team Calendar'!$C$5:$C$12,N$4)=0),1,"")</f>
        <v/>
      </c>
      <c r="O10" s="165">
        <f>IF(AND(ISNUMBER($D10),ISNUMBER($E10),O$4&gt;=$D10,O$4&lt;=$E10,WEEKDAY(O$4,2)&lt;=5,COUNTIF('Sources &amp; Change Log'!$J$2:$J$5,O$4)=0,COUNTIFS('Team Calendar'!$A$5:$A$12,$F10,'Team Calendar'!$C$5:$C$12,O$4)=0),1,"")</f>
        <v/>
      </c>
      <c r="P10" s="165">
        <f>IF(AND(ISNUMBER($D10),ISNUMBER($E10),P$4&gt;=$D10,P$4&lt;=$E10,WEEKDAY(P$4,2)&lt;=5,COUNTIF('Sources &amp; Change Log'!$J$2:$J$5,P$4)=0,COUNTIFS('Team Calendar'!$A$5:$A$12,$F10,'Team Calendar'!$C$5:$C$12,P$4)=0),1,"")</f>
        <v/>
      </c>
      <c r="Q10" s="165">
        <f>IF(AND(ISNUMBER($D10),ISNUMBER($E10),Q$4&gt;=$D10,Q$4&lt;=$E10,WEEKDAY(Q$4,2)&lt;=5,COUNTIF('Sources &amp; Change Log'!$J$2:$J$5,Q$4)=0,COUNTIFS('Team Calendar'!$A$5:$A$12,$F10,'Team Calendar'!$C$5:$C$12,Q$4)=0),1,"")</f>
        <v/>
      </c>
      <c r="R10" s="165">
        <f>IF(AND(ISNUMBER($D10),ISNUMBER($E10),R$4&gt;=$D10,R$4&lt;=$E10,WEEKDAY(R$4,2)&lt;=5,COUNTIF('Sources &amp; Change Log'!$J$2:$J$5,R$4)=0,COUNTIFS('Team Calendar'!$A$5:$A$12,$F10,'Team Calendar'!$C$5:$C$12,R$4)=0),1,"")</f>
        <v/>
      </c>
      <c r="S10" s="166">
        <f>IF(AND(ISNUMBER($D10),ISNUMBER($E10),S$4&gt;=$D10,S$4&lt;=$E10,WEEKDAY(S$4,2)&lt;=5,COUNTIF('Sources &amp; Change Log'!$J$2:$J$5,S$4)=0,COUNTIFS('Team Calendar'!$A$5:$A$12,$F10,'Team Calendar'!$C$5:$C$12,S$4)=0),1,"")</f>
        <v/>
      </c>
      <c r="T10" s="166">
        <f>IF(AND(ISNUMBER($D10),ISNUMBER($E10),T$4&gt;=$D10,T$4&lt;=$E10,WEEKDAY(T$4,2)&lt;=5,COUNTIF('Sources &amp; Change Log'!$J$2:$J$5,T$4)=0,COUNTIFS('Team Calendar'!$A$5:$A$12,$F10,'Team Calendar'!$C$5:$C$12,T$4)=0),1,"")</f>
        <v/>
      </c>
      <c r="U10" s="165">
        <f>IF(AND(ISNUMBER($D10),ISNUMBER($E10),U$4&gt;=$D10,U$4&lt;=$E10,WEEKDAY(U$4,2)&lt;=5,COUNTIF('Sources &amp; Change Log'!$J$2:$J$5,U$4)=0,COUNTIFS('Team Calendar'!$A$5:$A$12,$F10,'Team Calendar'!$C$5:$C$12,U$4)=0),1,"")</f>
        <v/>
      </c>
      <c r="V10" s="165">
        <f>IF(AND(ISNUMBER($D10),ISNUMBER($E10),V$4&gt;=$D10,V$4&lt;=$E10,WEEKDAY(V$4,2)&lt;=5,COUNTIF('Sources &amp; Change Log'!$J$2:$J$5,V$4)=0,COUNTIFS('Team Calendar'!$A$5:$A$12,$F10,'Team Calendar'!$C$5:$C$12,V$4)=0),1,"")</f>
        <v/>
      </c>
      <c r="W10" s="165">
        <f>IF(AND(ISNUMBER($D10),ISNUMBER($E10),W$4&gt;=$D10,W$4&lt;=$E10,WEEKDAY(W$4,2)&lt;=5,COUNTIF('Sources &amp; Change Log'!$J$2:$J$5,W$4)=0,COUNTIFS('Team Calendar'!$A$5:$A$12,$F10,'Team Calendar'!$C$5:$C$12,W$4)=0),1,"")</f>
        <v/>
      </c>
      <c r="X10" s="165">
        <f>IF(AND(ISNUMBER($D10),ISNUMBER($E10),X$4&gt;=$D10,X$4&lt;=$E10,WEEKDAY(X$4,2)&lt;=5,COUNTIF('Sources &amp; Change Log'!$J$2:$J$5,X$4)=0,COUNTIFS('Team Calendar'!$A$5:$A$12,$F10,'Team Calendar'!$C$5:$C$12,X$4)=0),1,"")</f>
        <v/>
      </c>
      <c r="Y10" s="165">
        <f>IF(AND(ISNUMBER($D10),ISNUMBER($E10),Y$4&gt;=$D10,Y$4&lt;=$E10,WEEKDAY(Y$4,2)&lt;=5,COUNTIF('Sources &amp; Change Log'!$J$2:$J$5,Y$4)=0,COUNTIFS('Team Calendar'!$A$5:$A$12,$F10,'Team Calendar'!$C$5:$C$12,Y$4)=0),1,"")</f>
        <v/>
      </c>
      <c r="Z10" s="166">
        <f>IF(AND(ISNUMBER($D10),ISNUMBER($E10),Z$4&gt;=$D10,Z$4&lt;=$E10,WEEKDAY(Z$4,2)&lt;=5,COUNTIF('Sources &amp; Change Log'!$J$2:$J$5,Z$4)=0,COUNTIFS('Team Calendar'!$A$5:$A$12,$F10,'Team Calendar'!$C$5:$C$12,Z$4)=0),1,"")</f>
        <v/>
      </c>
      <c r="AA10" s="166">
        <f>IF(AND(ISNUMBER($D10),ISNUMBER($E10),AA$4&gt;=$D10,AA$4&lt;=$E10,WEEKDAY(AA$4,2)&lt;=5,COUNTIF('Sources &amp; Change Log'!$J$2:$J$5,AA$4)=0,COUNTIFS('Team Calendar'!$A$5:$A$12,$F10,'Team Calendar'!$C$5:$C$12,AA$4)=0),1,"")</f>
        <v/>
      </c>
      <c r="AB10" s="165">
        <f>IF(AND(ISNUMBER($D10),ISNUMBER($E10),AB$4&gt;=$D10,AB$4&lt;=$E10,WEEKDAY(AB$4,2)&lt;=5,COUNTIF('Sources &amp; Change Log'!$J$2:$J$5,AB$4)=0,COUNTIFS('Team Calendar'!$A$5:$A$12,$F10,'Team Calendar'!$C$5:$C$12,AB$4)=0),1,"")</f>
        <v/>
      </c>
      <c r="AC10" s="165">
        <f>IF(AND(ISNUMBER($D10),ISNUMBER($E10),AC$4&gt;=$D10,AC$4&lt;=$E10,WEEKDAY(AC$4,2)&lt;=5,COUNTIF('Sources &amp; Change Log'!$J$2:$J$5,AC$4)=0,COUNTIFS('Team Calendar'!$A$5:$A$12,$F10,'Team Calendar'!$C$5:$C$12,AC$4)=0),1,"")</f>
        <v/>
      </c>
      <c r="AD10" s="165">
        <f>IF(AND(ISNUMBER($D10),ISNUMBER($E10),AD$4&gt;=$D10,AD$4&lt;=$E10,WEEKDAY(AD$4,2)&lt;=5,COUNTIF('Sources &amp; Change Log'!$J$2:$J$5,AD$4)=0,COUNTIFS('Team Calendar'!$A$5:$A$12,$F10,'Team Calendar'!$C$5:$C$12,AD$4)=0),1,"")</f>
        <v/>
      </c>
      <c r="AE10" s="165">
        <f>IF(AND(ISNUMBER($D10),ISNUMBER($E10),AE$4&gt;=$D10,AE$4&lt;=$E10,WEEKDAY(AE$4,2)&lt;=5,COUNTIF('Sources &amp; Change Log'!$J$2:$J$5,AE$4)=0,COUNTIFS('Team Calendar'!$A$5:$A$12,$F10,'Team Calendar'!$C$5:$C$12,AE$4)=0),1,"")</f>
        <v/>
      </c>
      <c r="AF10" s="165">
        <f>IF(AND(ISNUMBER($D10),ISNUMBER($E10),AF$4&gt;=$D10,AF$4&lt;=$E10,WEEKDAY(AF$4,2)&lt;=5,COUNTIF('Sources &amp; Change Log'!$J$2:$J$5,AF$4)=0,COUNTIFS('Team Calendar'!$A$5:$A$12,$F10,'Team Calendar'!$C$5:$C$12,AF$4)=0),1,"")</f>
        <v/>
      </c>
      <c r="AG10" s="166">
        <f>IF(AND(ISNUMBER($D10),ISNUMBER($E10),AG$4&gt;=$D10,AG$4&lt;=$E10,WEEKDAY(AG$4,2)&lt;=5,COUNTIF('Sources &amp; Change Log'!$J$2:$J$5,AG$4)=0,COUNTIFS('Team Calendar'!$A$5:$A$12,$F10,'Team Calendar'!$C$5:$C$12,AG$4)=0),1,"")</f>
        <v/>
      </c>
      <c r="AH10" s="166">
        <f>IF(AND(ISNUMBER($D10),ISNUMBER($E10),AH$4&gt;=$D10,AH$4&lt;=$E10,WEEKDAY(AH$4,2)&lt;=5,COUNTIF('Sources &amp; Change Log'!$J$2:$J$5,AH$4)=0,COUNTIFS('Team Calendar'!$A$5:$A$12,$F10,'Team Calendar'!$C$5:$C$12,AH$4)=0),1,"")</f>
        <v/>
      </c>
      <c r="AI10" s="165">
        <f>IF(AND(ISNUMBER($D10),ISNUMBER($E10),AI$4&gt;=$D10,AI$4&lt;=$E10,WEEKDAY(AI$4,2)&lt;=5,COUNTIF('Sources &amp; Change Log'!$J$2:$J$5,AI$4)=0,COUNTIFS('Team Calendar'!$A$5:$A$12,$F10,'Team Calendar'!$C$5:$C$12,AI$4)=0),1,"")</f>
        <v/>
      </c>
    </row>
    <row r="11" ht="24" customHeight="1">
      <c r="A11" s="13">
        <f>WBS!A37</f>
        <v/>
      </c>
      <c r="B11" s="13">
        <f>WBS!B37</f>
        <v/>
      </c>
      <c r="C11" s="13">
        <f>WBS!G37</f>
        <v/>
      </c>
      <c r="D11" s="164">
        <f>IF(WBS!H37="","",WBS!H37)</f>
        <v/>
      </c>
      <c r="E11" s="164">
        <f>IF(WBS!I37="","",WBS!I37)</f>
        <v/>
      </c>
      <c r="F11" s="13">
        <f>WBS!L37</f>
        <v/>
      </c>
      <c r="G11" s="165">
        <f>IF(AND(ISNUMBER($D11),ISNUMBER($E11),G$4&gt;=$D11,G$4&lt;=$E11,WEEKDAY(G$4,2)&lt;=5,COUNTIF('Sources &amp; Change Log'!$J$2:$J$5,G$4)=0,COUNTIFS('Team Calendar'!$A$5:$A$12,$F11,'Team Calendar'!$C$5:$C$12,G$4)=0),1,"")</f>
        <v/>
      </c>
      <c r="H11" s="165">
        <f>IF(AND(ISNUMBER($D11),ISNUMBER($E11),H$4&gt;=$D11,H$4&lt;=$E11,WEEKDAY(H$4,2)&lt;=5,COUNTIF('Sources &amp; Change Log'!$J$2:$J$5,H$4)=0,COUNTIFS('Team Calendar'!$A$5:$A$12,$F11,'Team Calendar'!$C$5:$C$12,H$4)=0),1,"")</f>
        <v/>
      </c>
      <c r="I11" s="165">
        <f>IF(AND(ISNUMBER($D11),ISNUMBER($E11),I$4&gt;=$D11,I$4&lt;=$E11,WEEKDAY(I$4,2)&lt;=5,COUNTIF('Sources &amp; Change Log'!$J$2:$J$5,I$4)=0,COUNTIFS('Team Calendar'!$A$5:$A$12,$F11,'Team Calendar'!$C$5:$C$12,I$4)=0),1,"")</f>
        <v/>
      </c>
      <c r="J11" s="165">
        <f>IF(AND(ISNUMBER($D11),ISNUMBER($E11),J$4&gt;=$D11,J$4&lt;=$E11,WEEKDAY(J$4,2)&lt;=5,COUNTIF('Sources &amp; Change Log'!$J$2:$J$5,J$4)=0,COUNTIFS('Team Calendar'!$A$5:$A$12,$F11,'Team Calendar'!$C$5:$C$12,J$4)=0),1,"")</f>
        <v/>
      </c>
      <c r="K11" s="165">
        <f>IF(AND(ISNUMBER($D11),ISNUMBER($E11),K$4&gt;=$D11,K$4&lt;=$E11,WEEKDAY(K$4,2)&lt;=5,COUNTIF('Sources &amp; Change Log'!$J$2:$J$5,K$4)=0,COUNTIFS('Team Calendar'!$A$5:$A$12,$F11,'Team Calendar'!$C$5:$C$12,K$4)=0),1,"")</f>
        <v/>
      </c>
      <c r="L11" s="166">
        <f>IF(AND(ISNUMBER($D11),ISNUMBER($E11),L$4&gt;=$D11,L$4&lt;=$E11,WEEKDAY(L$4,2)&lt;=5,COUNTIF('Sources &amp; Change Log'!$J$2:$J$5,L$4)=0,COUNTIFS('Team Calendar'!$A$5:$A$12,$F11,'Team Calendar'!$C$5:$C$12,L$4)=0),1,"")</f>
        <v/>
      </c>
      <c r="M11" s="166">
        <f>IF(AND(ISNUMBER($D11),ISNUMBER($E11),M$4&gt;=$D11,M$4&lt;=$E11,WEEKDAY(M$4,2)&lt;=5,COUNTIF('Sources &amp; Change Log'!$J$2:$J$5,M$4)=0,COUNTIFS('Team Calendar'!$A$5:$A$12,$F11,'Team Calendar'!$C$5:$C$12,M$4)=0),1,"")</f>
        <v/>
      </c>
      <c r="N11" s="165">
        <f>IF(AND(ISNUMBER($D11),ISNUMBER($E11),N$4&gt;=$D11,N$4&lt;=$E11,WEEKDAY(N$4,2)&lt;=5,COUNTIF('Sources &amp; Change Log'!$J$2:$J$5,N$4)=0,COUNTIFS('Team Calendar'!$A$5:$A$12,$F11,'Team Calendar'!$C$5:$C$12,N$4)=0),1,"")</f>
        <v/>
      </c>
      <c r="O11" s="165">
        <f>IF(AND(ISNUMBER($D11),ISNUMBER($E11),O$4&gt;=$D11,O$4&lt;=$E11,WEEKDAY(O$4,2)&lt;=5,COUNTIF('Sources &amp; Change Log'!$J$2:$J$5,O$4)=0,COUNTIFS('Team Calendar'!$A$5:$A$12,$F11,'Team Calendar'!$C$5:$C$12,O$4)=0),1,"")</f>
        <v/>
      </c>
      <c r="P11" s="165">
        <f>IF(AND(ISNUMBER($D11),ISNUMBER($E11),P$4&gt;=$D11,P$4&lt;=$E11,WEEKDAY(P$4,2)&lt;=5,COUNTIF('Sources &amp; Change Log'!$J$2:$J$5,P$4)=0,COUNTIFS('Team Calendar'!$A$5:$A$12,$F11,'Team Calendar'!$C$5:$C$12,P$4)=0),1,"")</f>
        <v/>
      </c>
      <c r="Q11" s="165">
        <f>IF(AND(ISNUMBER($D11),ISNUMBER($E11),Q$4&gt;=$D11,Q$4&lt;=$E11,WEEKDAY(Q$4,2)&lt;=5,COUNTIF('Sources &amp; Change Log'!$J$2:$J$5,Q$4)=0,COUNTIFS('Team Calendar'!$A$5:$A$12,$F11,'Team Calendar'!$C$5:$C$12,Q$4)=0),1,"")</f>
        <v/>
      </c>
      <c r="R11" s="165">
        <f>IF(AND(ISNUMBER($D11),ISNUMBER($E11),R$4&gt;=$D11,R$4&lt;=$E11,WEEKDAY(R$4,2)&lt;=5,COUNTIF('Sources &amp; Change Log'!$J$2:$J$5,R$4)=0,COUNTIFS('Team Calendar'!$A$5:$A$12,$F11,'Team Calendar'!$C$5:$C$12,R$4)=0),1,"")</f>
        <v/>
      </c>
      <c r="S11" s="166">
        <f>IF(AND(ISNUMBER($D11),ISNUMBER($E11),S$4&gt;=$D11,S$4&lt;=$E11,WEEKDAY(S$4,2)&lt;=5,COUNTIF('Sources &amp; Change Log'!$J$2:$J$5,S$4)=0,COUNTIFS('Team Calendar'!$A$5:$A$12,$F11,'Team Calendar'!$C$5:$C$12,S$4)=0),1,"")</f>
        <v/>
      </c>
      <c r="T11" s="166">
        <f>IF(AND(ISNUMBER($D11),ISNUMBER($E11),T$4&gt;=$D11,T$4&lt;=$E11,WEEKDAY(T$4,2)&lt;=5,COUNTIF('Sources &amp; Change Log'!$J$2:$J$5,T$4)=0,COUNTIFS('Team Calendar'!$A$5:$A$12,$F11,'Team Calendar'!$C$5:$C$12,T$4)=0),1,"")</f>
        <v/>
      </c>
      <c r="U11" s="165">
        <f>IF(AND(ISNUMBER($D11),ISNUMBER($E11),U$4&gt;=$D11,U$4&lt;=$E11,WEEKDAY(U$4,2)&lt;=5,COUNTIF('Sources &amp; Change Log'!$J$2:$J$5,U$4)=0,COUNTIFS('Team Calendar'!$A$5:$A$12,$F11,'Team Calendar'!$C$5:$C$12,U$4)=0),1,"")</f>
        <v/>
      </c>
      <c r="V11" s="165">
        <f>IF(AND(ISNUMBER($D11),ISNUMBER($E11),V$4&gt;=$D11,V$4&lt;=$E11,WEEKDAY(V$4,2)&lt;=5,COUNTIF('Sources &amp; Change Log'!$J$2:$J$5,V$4)=0,COUNTIFS('Team Calendar'!$A$5:$A$12,$F11,'Team Calendar'!$C$5:$C$12,V$4)=0),1,"")</f>
        <v/>
      </c>
      <c r="W11" s="165">
        <f>IF(AND(ISNUMBER($D11),ISNUMBER($E11),W$4&gt;=$D11,W$4&lt;=$E11,WEEKDAY(W$4,2)&lt;=5,COUNTIF('Sources &amp; Change Log'!$J$2:$J$5,W$4)=0,COUNTIFS('Team Calendar'!$A$5:$A$12,$F11,'Team Calendar'!$C$5:$C$12,W$4)=0),1,"")</f>
        <v/>
      </c>
      <c r="X11" s="165">
        <f>IF(AND(ISNUMBER($D11),ISNUMBER($E11),X$4&gt;=$D11,X$4&lt;=$E11,WEEKDAY(X$4,2)&lt;=5,COUNTIF('Sources &amp; Change Log'!$J$2:$J$5,X$4)=0,COUNTIFS('Team Calendar'!$A$5:$A$12,$F11,'Team Calendar'!$C$5:$C$12,X$4)=0),1,"")</f>
        <v/>
      </c>
      <c r="Y11" s="165">
        <f>IF(AND(ISNUMBER($D11),ISNUMBER($E11),Y$4&gt;=$D11,Y$4&lt;=$E11,WEEKDAY(Y$4,2)&lt;=5,COUNTIF('Sources &amp; Change Log'!$J$2:$J$5,Y$4)=0,COUNTIFS('Team Calendar'!$A$5:$A$12,$F11,'Team Calendar'!$C$5:$C$12,Y$4)=0),1,"")</f>
        <v/>
      </c>
      <c r="Z11" s="166">
        <f>IF(AND(ISNUMBER($D11),ISNUMBER($E11),Z$4&gt;=$D11,Z$4&lt;=$E11,WEEKDAY(Z$4,2)&lt;=5,COUNTIF('Sources &amp; Change Log'!$J$2:$J$5,Z$4)=0,COUNTIFS('Team Calendar'!$A$5:$A$12,$F11,'Team Calendar'!$C$5:$C$12,Z$4)=0),1,"")</f>
        <v/>
      </c>
      <c r="AA11" s="166">
        <f>IF(AND(ISNUMBER($D11),ISNUMBER($E11),AA$4&gt;=$D11,AA$4&lt;=$E11,WEEKDAY(AA$4,2)&lt;=5,COUNTIF('Sources &amp; Change Log'!$J$2:$J$5,AA$4)=0,COUNTIFS('Team Calendar'!$A$5:$A$12,$F11,'Team Calendar'!$C$5:$C$12,AA$4)=0),1,"")</f>
        <v/>
      </c>
      <c r="AB11" s="165">
        <f>IF(AND(ISNUMBER($D11),ISNUMBER($E11),AB$4&gt;=$D11,AB$4&lt;=$E11,WEEKDAY(AB$4,2)&lt;=5,COUNTIF('Sources &amp; Change Log'!$J$2:$J$5,AB$4)=0,COUNTIFS('Team Calendar'!$A$5:$A$12,$F11,'Team Calendar'!$C$5:$C$12,AB$4)=0),1,"")</f>
        <v/>
      </c>
      <c r="AC11" s="165">
        <f>IF(AND(ISNUMBER($D11),ISNUMBER($E11),AC$4&gt;=$D11,AC$4&lt;=$E11,WEEKDAY(AC$4,2)&lt;=5,COUNTIF('Sources &amp; Change Log'!$J$2:$J$5,AC$4)=0,COUNTIFS('Team Calendar'!$A$5:$A$12,$F11,'Team Calendar'!$C$5:$C$12,AC$4)=0),1,"")</f>
        <v/>
      </c>
      <c r="AD11" s="165">
        <f>IF(AND(ISNUMBER($D11),ISNUMBER($E11),AD$4&gt;=$D11,AD$4&lt;=$E11,WEEKDAY(AD$4,2)&lt;=5,COUNTIF('Sources &amp; Change Log'!$J$2:$J$5,AD$4)=0,COUNTIFS('Team Calendar'!$A$5:$A$12,$F11,'Team Calendar'!$C$5:$C$12,AD$4)=0),1,"")</f>
        <v/>
      </c>
      <c r="AE11" s="165">
        <f>IF(AND(ISNUMBER($D11),ISNUMBER($E11),AE$4&gt;=$D11,AE$4&lt;=$E11,WEEKDAY(AE$4,2)&lt;=5,COUNTIF('Sources &amp; Change Log'!$J$2:$J$5,AE$4)=0,COUNTIFS('Team Calendar'!$A$5:$A$12,$F11,'Team Calendar'!$C$5:$C$12,AE$4)=0),1,"")</f>
        <v/>
      </c>
      <c r="AF11" s="165">
        <f>IF(AND(ISNUMBER($D11),ISNUMBER($E11),AF$4&gt;=$D11,AF$4&lt;=$E11,WEEKDAY(AF$4,2)&lt;=5,COUNTIF('Sources &amp; Change Log'!$J$2:$J$5,AF$4)=0,COUNTIFS('Team Calendar'!$A$5:$A$12,$F11,'Team Calendar'!$C$5:$C$12,AF$4)=0),1,"")</f>
        <v/>
      </c>
      <c r="AG11" s="166">
        <f>IF(AND(ISNUMBER($D11),ISNUMBER($E11),AG$4&gt;=$D11,AG$4&lt;=$E11,WEEKDAY(AG$4,2)&lt;=5,COUNTIF('Sources &amp; Change Log'!$J$2:$J$5,AG$4)=0,COUNTIFS('Team Calendar'!$A$5:$A$12,$F11,'Team Calendar'!$C$5:$C$12,AG$4)=0),1,"")</f>
        <v/>
      </c>
      <c r="AH11" s="166">
        <f>IF(AND(ISNUMBER($D11),ISNUMBER($E11),AH$4&gt;=$D11,AH$4&lt;=$E11,WEEKDAY(AH$4,2)&lt;=5,COUNTIF('Sources &amp; Change Log'!$J$2:$J$5,AH$4)=0,COUNTIFS('Team Calendar'!$A$5:$A$12,$F11,'Team Calendar'!$C$5:$C$12,AH$4)=0),1,"")</f>
        <v/>
      </c>
      <c r="AI11" s="165">
        <f>IF(AND(ISNUMBER($D11),ISNUMBER($E11),AI$4&gt;=$D11,AI$4&lt;=$E11,WEEKDAY(AI$4,2)&lt;=5,COUNTIF('Sources &amp; Change Log'!$J$2:$J$5,AI$4)=0,COUNTIFS('Team Calendar'!$A$5:$A$12,$F11,'Team Calendar'!$C$5:$C$12,AI$4)=0),1,"")</f>
        <v/>
      </c>
    </row>
    <row r="12" ht="24" customHeight="1">
      <c r="A12" s="13">
        <f>WBS!A38</f>
        <v/>
      </c>
      <c r="B12" s="13">
        <f>WBS!B38</f>
        <v/>
      </c>
      <c r="C12" s="13">
        <f>WBS!G38</f>
        <v/>
      </c>
      <c r="D12" s="164">
        <f>IF(WBS!H38="","",WBS!H38)</f>
        <v/>
      </c>
      <c r="E12" s="164">
        <f>IF(WBS!I38="","",WBS!I38)</f>
        <v/>
      </c>
      <c r="F12" s="13">
        <f>WBS!L38</f>
        <v/>
      </c>
      <c r="G12" s="165">
        <f>IF(AND(ISNUMBER($D12),ISNUMBER($E12),G$4&gt;=$D12,G$4&lt;=$E12,WEEKDAY(G$4,2)&lt;=5,COUNTIF('Sources &amp; Change Log'!$J$2:$J$5,G$4)=0,COUNTIFS('Team Calendar'!$A$5:$A$12,$F12,'Team Calendar'!$C$5:$C$12,G$4)=0),1,"")</f>
        <v/>
      </c>
      <c r="H12" s="165">
        <f>IF(AND(ISNUMBER($D12),ISNUMBER($E12),H$4&gt;=$D12,H$4&lt;=$E12,WEEKDAY(H$4,2)&lt;=5,COUNTIF('Sources &amp; Change Log'!$J$2:$J$5,H$4)=0,COUNTIFS('Team Calendar'!$A$5:$A$12,$F12,'Team Calendar'!$C$5:$C$12,H$4)=0),1,"")</f>
        <v/>
      </c>
      <c r="I12" s="165">
        <f>IF(AND(ISNUMBER($D12),ISNUMBER($E12),I$4&gt;=$D12,I$4&lt;=$E12,WEEKDAY(I$4,2)&lt;=5,COUNTIF('Sources &amp; Change Log'!$J$2:$J$5,I$4)=0,COUNTIFS('Team Calendar'!$A$5:$A$12,$F12,'Team Calendar'!$C$5:$C$12,I$4)=0),1,"")</f>
        <v/>
      </c>
      <c r="J12" s="165">
        <f>IF(AND(ISNUMBER($D12),ISNUMBER($E12),J$4&gt;=$D12,J$4&lt;=$E12,WEEKDAY(J$4,2)&lt;=5,COUNTIF('Sources &amp; Change Log'!$J$2:$J$5,J$4)=0,COUNTIFS('Team Calendar'!$A$5:$A$12,$F12,'Team Calendar'!$C$5:$C$12,J$4)=0),1,"")</f>
        <v/>
      </c>
      <c r="K12" s="165">
        <f>IF(AND(ISNUMBER($D12),ISNUMBER($E12),K$4&gt;=$D12,K$4&lt;=$E12,WEEKDAY(K$4,2)&lt;=5,COUNTIF('Sources &amp; Change Log'!$J$2:$J$5,K$4)=0,COUNTIFS('Team Calendar'!$A$5:$A$12,$F12,'Team Calendar'!$C$5:$C$12,K$4)=0),1,"")</f>
        <v/>
      </c>
      <c r="L12" s="166">
        <f>IF(AND(ISNUMBER($D12),ISNUMBER($E12),L$4&gt;=$D12,L$4&lt;=$E12,WEEKDAY(L$4,2)&lt;=5,COUNTIF('Sources &amp; Change Log'!$J$2:$J$5,L$4)=0,COUNTIFS('Team Calendar'!$A$5:$A$12,$F12,'Team Calendar'!$C$5:$C$12,L$4)=0),1,"")</f>
        <v/>
      </c>
      <c r="M12" s="166">
        <f>IF(AND(ISNUMBER($D12),ISNUMBER($E12),M$4&gt;=$D12,M$4&lt;=$E12,WEEKDAY(M$4,2)&lt;=5,COUNTIF('Sources &amp; Change Log'!$J$2:$J$5,M$4)=0,COUNTIFS('Team Calendar'!$A$5:$A$12,$F12,'Team Calendar'!$C$5:$C$12,M$4)=0),1,"")</f>
        <v/>
      </c>
      <c r="N12" s="165">
        <f>IF(AND(ISNUMBER($D12),ISNUMBER($E12),N$4&gt;=$D12,N$4&lt;=$E12,WEEKDAY(N$4,2)&lt;=5,COUNTIF('Sources &amp; Change Log'!$J$2:$J$5,N$4)=0,COUNTIFS('Team Calendar'!$A$5:$A$12,$F12,'Team Calendar'!$C$5:$C$12,N$4)=0),1,"")</f>
        <v/>
      </c>
      <c r="O12" s="165">
        <f>IF(AND(ISNUMBER($D12),ISNUMBER($E12),O$4&gt;=$D12,O$4&lt;=$E12,WEEKDAY(O$4,2)&lt;=5,COUNTIF('Sources &amp; Change Log'!$J$2:$J$5,O$4)=0,COUNTIFS('Team Calendar'!$A$5:$A$12,$F12,'Team Calendar'!$C$5:$C$12,O$4)=0),1,"")</f>
        <v/>
      </c>
      <c r="P12" s="165">
        <f>IF(AND(ISNUMBER($D12),ISNUMBER($E12),P$4&gt;=$D12,P$4&lt;=$E12,WEEKDAY(P$4,2)&lt;=5,COUNTIF('Sources &amp; Change Log'!$J$2:$J$5,P$4)=0,COUNTIFS('Team Calendar'!$A$5:$A$12,$F12,'Team Calendar'!$C$5:$C$12,P$4)=0),1,"")</f>
        <v/>
      </c>
      <c r="Q12" s="165">
        <f>IF(AND(ISNUMBER($D12),ISNUMBER($E12),Q$4&gt;=$D12,Q$4&lt;=$E12,WEEKDAY(Q$4,2)&lt;=5,COUNTIF('Sources &amp; Change Log'!$J$2:$J$5,Q$4)=0,COUNTIFS('Team Calendar'!$A$5:$A$12,$F12,'Team Calendar'!$C$5:$C$12,Q$4)=0),1,"")</f>
        <v/>
      </c>
      <c r="R12" s="165">
        <f>IF(AND(ISNUMBER($D12),ISNUMBER($E12),R$4&gt;=$D12,R$4&lt;=$E12,WEEKDAY(R$4,2)&lt;=5,COUNTIF('Sources &amp; Change Log'!$J$2:$J$5,R$4)=0,COUNTIFS('Team Calendar'!$A$5:$A$12,$F12,'Team Calendar'!$C$5:$C$12,R$4)=0),1,"")</f>
        <v/>
      </c>
      <c r="S12" s="166">
        <f>IF(AND(ISNUMBER($D12),ISNUMBER($E12),S$4&gt;=$D12,S$4&lt;=$E12,WEEKDAY(S$4,2)&lt;=5,COUNTIF('Sources &amp; Change Log'!$J$2:$J$5,S$4)=0,COUNTIFS('Team Calendar'!$A$5:$A$12,$F12,'Team Calendar'!$C$5:$C$12,S$4)=0),1,"")</f>
        <v/>
      </c>
      <c r="T12" s="166">
        <f>IF(AND(ISNUMBER($D12),ISNUMBER($E12),T$4&gt;=$D12,T$4&lt;=$E12,WEEKDAY(T$4,2)&lt;=5,COUNTIF('Sources &amp; Change Log'!$J$2:$J$5,T$4)=0,COUNTIFS('Team Calendar'!$A$5:$A$12,$F12,'Team Calendar'!$C$5:$C$12,T$4)=0),1,"")</f>
        <v/>
      </c>
      <c r="U12" s="165">
        <f>IF(AND(ISNUMBER($D12),ISNUMBER($E12),U$4&gt;=$D12,U$4&lt;=$E12,WEEKDAY(U$4,2)&lt;=5,COUNTIF('Sources &amp; Change Log'!$J$2:$J$5,U$4)=0,COUNTIFS('Team Calendar'!$A$5:$A$12,$F12,'Team Calendar'!$C$5:$C$12,U$4)=0),1,"")</f>
        <v/>
      </c>
      <c r="V12" s="165">
        <f>IF(AND(ISNUMBER($D12),ISNUMBER($E12),V$4&gt;=$D12,V$4&lt;=$E12,WEEKDAY(V$4,2)&lt;=5,COUNTIF('Sources &amp; Change Log'!$J$2:$J$5,V$4)=0,COUNTIFS('Team Calendar'!$A$5:$A$12,$F12,'Team Calendar'!$C$5:$C$12,V$4)=0),1,"")</f>
        <v/>
      </c>
      <c r="W12" s="165">
        <f>IF(AND(ISNUMBER($D12),ISNUMBER($E12),W$4&gt;=$D12,W$4&lt;=$E12,WEEKDAY(W$4,2)&lt;=5,COUNTIF('Sources &amp; Change Log'!$J$2:$J$5,W$4)=0,COUNTIFS('Team Calendar'!$A$5:$A$12,$F12,'Team Calendar'!$C$5:$C$12,W$4)=0),1,"")</f>
        <v/>
      </c>
      <c r="X12" s="165">
        <f>IF(AND(ISNUMBER($D12),ISNUMBER($E12),X$4&gt;=$D12,X$4&lt;=$E12,WEEKDAY(X$4,2)&lt;=5,COUNTIF('Sources &amp; Change Log'!$J$2:$J$5,X$4)=0,COUNTIFS('Team Calendar'!$A$5:$A$12,$F12,'Team Calendar'!$C$5:$C$12,X$4)=0),1,"")</f>
        <v/>
      </c>
      <c r="Y12" s="165">
        <f>IF(AND(ISNUMBER($D12),ISNUMBER($E12),Y$4&gt;=$D12,Y$4&lt;=$E12,WEEKDAY(Y$4,2)&lt;=5,COUNTIF('Sources &amp; Change Log'!$J$2:$J$5,Y$4)=0,COUNTIFS('Team Calendar'!$A$5:$A$12,$F12,'Team Calendar'!$C$5:$C$12,Y$4)=0),1,"")</f>
        <v/>
      </c>
      <c r="Z12" s="166">
        <f>IF(AND(ISNUMBER($D12),ISNUMBER($E12),Z$4&gt;=$D12,Z$4&lt;=$E12,WEEKDAY(Z$4,2)&lt;=5,COUNTIF('Sources &amp; Change Log'!$J$2:$J$5,Z$4)=0,COUNTIFS('Team Calendar'!$A$5:$A$12,$F12,'Team Calendar'!$C$5:$C$12,Z$4)=0),1,"")</f>
        <v/>
      </c>
      <c r="AA12" s="166">
        <f>IF(AND(ISNUMBER($D12),ISNUMBER($E12),AA$4&gt;=$D12,AA$4&lt;=$E12,WEEKDAY(AA$4,2)&lt;=5,COUNTIF('Sources &amp; Change Log'!$J$2:$J$5,AA$4)=0,COUNTIFS('Team Calendar'!$A$5:$A$12,$F12,'Team Calendar'!$C$5:$C$12,AA$4)=0),1,"")</f>
        <v/>
      </c>
      <c r="AB12" s="165">
        <f>IF(AND(ISNUMBER($D12),ISNUMBER($E12),AB$4&gt;=$D12,AB$4&lt;=$E12,WEEKDAY(AB$4,2)&lt;=5,COUNTIF('Sources &amp; Change Log'!$J$2:$J$5,AB$4)=0,COUNTIFS('Team Calendar'!$A$5:$A$12,$F12,'Team Calendar'!$C$5:$C$12,AB$4)=0),1,"")</f>
        <v/>
      </c>
      <c r="AC12" s="165">
        <f>IF(AND(ISNUMBER($D12),ISNUMBER($E12),AC$4&gt;=$D12,AC$4&lt;=$E12,WEEKDAY(AC$4,2)&lt;=5,COUNTIF('Sources &amp; Change Log'!$J$2:$J$5,AC$4)=0,COUNTIFS('Team Calendar'!$A$5:$A$12,$F12,'Team Calendar'!$C$5:$C$12,AC$4)=0),1,"")</f>
        <v/>
      </c>
      <c r="AD12" s="165">
        <f>IF(AND(ISNUMBER($D12),ISNUMBER($E12),AD$4&gt;=$D12,AD$4&lt;=$E12,WEEKDAY(AD$4,2)&lt;=5,COUNTIF('Sources &amp; Change Log'!$J$2:$J$5,AD$4)=0,COUNTIFS('Team Calendar'!$A$5:$A$12,$F12,'Team Calendar'!$C$5:$C$12,AD$4)=0),1,"")</f>
        <v/>
      </c>
      <c r="AE12" s="165">
        <f>IF(AND(ISNUMBER($D12),ISNUMBER($E12),AE$4&gt;=$D12,AE$4&lt;=$E12,WEEKDAY(AE$4,2)&lt;=5,COUNTIF('Sources &amp; Change Log'!$J$2:$J$5,AE$4)=0,COUNTIFS('Team Calendar'!$A$5:$A$12,$F12,'Team Calendar'!$C$5:$C$12,AE$4)=0),1,"")</f>
        <v/>
      </c>
      <c r="AF12" s="165">
        <f>IF(AND(ISNUMBER($D12),ISNUMBER($E12),AF$4&gt;=$D12,AF$4&lt;=$E12,WEEKDAY(AF$4,2)&lt;=5,COUNTIF('Sources &amp; Change Log'!$J$2:$J$5,AF$4)=0,COUNTIFS('Team Calendar'!$A$5:$A$12,$F12,'Team Calendar'!$C$5:$C$12,AF$4)=0),1,"")</f>
        <v/>
      </c>
      <c r="AG12" s="166">
        <f>IF(AND(ISNUMBER($D12),ISNUMBER($E12),AG$4&gt;=$D12,AG$4&lt;=$E12,WEEKDAY(AG$4,2)&lt;=5,COUNTIF('Sources &amp; Change Log'!$J$2:$J$5,AG$4)=0,COUNTIFS('Team Calendar'!$A$5:$A$12,$F12,'Team Calendar'!$C$5:$C$12,AG$4)=0),1,"")</f>
        <v/>
      </c>
      <c r="AH12" s="166">
        <f>IF(AND(ISNUMBER($D12),ISNUMBER($E12),AH$4&gt;=$D12,AH$4&lt;=$E12,WEEKDAY(AH$4,2)&lt;=5,COUNTIF('Sources &amp; Change Log'!$J$2:$J$5,AH$4)=0,COUNTIFS('Team Calendar'!$A$5:$A$12,$F12,'Team Calendar'!$C$5:$C$12,AH$4)=0),1,"")</f>
        <v/>
      </c>
      <c r="AI12" s="165">
        <f>IF(AND(ISNUMBER($D12),ISNUMBER($E12),AI$4&gt;=$D12,AI$4&lt;=$E12,WEEKDAY(AI$4,2)&lt;=5,COUNTIF('Sources &amp; Change Log'!$J$2:$J$5,AI$4)=0,COUNTIFS('Team Calendar'!$A$5:$A$12,$F12,'Team Calendar'!$C$5:$C$12,AI$4)=0),1,"")</f>
        <v/>
      </c>
    </row>
    <row r="13" ht="24" customHeight="1">
      <c r="A13" s="13">
        <f>WBS!A39</f>
        <v/>
      </c>
      <c r="B13" s="13">
        <f>WBS!B39</f>
        <v/>
      </c>
      <c r="C13" s="13">
        <f>WBS!G39</f>
        <v/>
      </c>
      <c r="D13" s="164">
        <f>IF(WBS!H39="","",WBS!H39)</f>
        <v/>
      </c>
      <c r="E13" s="164">
        <f>IF(WBS!I39="","",WBS!I39)</f>
        <v/>
      </c>
      <c r="F13" s="13">
        <f>WBS!L39</f>
        <v/>
      </c>
      <c r="G13" s="165">
        <f>IF(AND(ISNUMBER($D13),ISNUMBER($E13),G$4&gt;=$D13,G$4&lt;=$E13,WEEKDAY(G$4,2)&lt;=5,COUNTIF('Sources &amp; Change Log'!$J$2:$J$5,G$4)=0,COUNTIFS('Team Calendar'!$A$5:$A$12,$F13,'Team Calendar'!$C$5:$C$12,G$4)=0),1,"")</f>
        <v/>
      </c>
      <c r="H13" s="165">
        <f>IF(AND(ISNUMBER($D13),ISNUMBER($E13),H$4&gt;=$D13,H$4&lt;=$E13,WEEKDAY(H$4,2)&lt;=5,COUNTIF('Sources &amp; Change Log'!$J$2:$J$5,H$4)=0,COUNTIFS('Team Calendar'!$A$5:$A$12,$F13,'Team Calendar'!$C$5:$C$12,H$4)=0),1,"")</f>
        <v/>
      </c>
      <c r="I13" s="165">
        <f>IF(AND(ISNUMBER($D13),ISNUMBER($E13),I$4&gt;=$D13,I$4&lt;=$E13,WEEKDAY(I$4,2)&lt;=5,COUNTIF('Sources &amp; Change Log'!$J$2:$J$5,I$4)=0,COUNTIFS('Team Calendar'!$A$5:$A$12,$F13,'Team Calendar'!$C$5:$C$12,I$4)=0),1,"")</f>
        <v/>
      </c>
      <c r="J13" s="165">
        <f>IF(AND(ISNUMBER($D13),ISNUMBER($E13),J$4&gt;=$D13,J$4&lt;=$E13,WEEKDAY(J$4,2)&lt;=5,COUNTIF('Sources &amp; Change Log'!$J$2:$J$5,J$4)=0,COUNTIFS('Team Calendar'!$A$5:$A$12,$F13,'Team Calendar'!$C$5:$C$12,J$4)=0),1,"")</f>
        <v/>
      </c>
      <c r="K13" s="165">
        <f>IF(AND(ISNUMBER($D13),ISNUMBER($E13),K$4&gt;=$D13,K$4&lt;=$E13,WEEKDAY(K$4,2)&lt;=5,COUNTIF('Sources &amp; Change Log'!$J$2:$J$5,K$4)=0,COUNTIFS('Team Calendar'!$A$5:$A$12,$F13,'Team Calendar'!$C$5:$C$12,K$4)=0),1,"")</f>
        <v/>
      </c>
      <c r="L13" s="166">
        <f>IF(AND(ISNUMBER($D13),ISNUMBER($E13),L$4&gt;=$D13,L$4&lt;=$E13,WEEKDAY(L$4,2)&lt;=5,COUNTIF('Sources &amp; Change Log'!$J$2:$J$5,L$4)=0,COUNTIFS('Team Calendar'!$A$5:$A$12,$F13,'Team Calendar'!$C$5:$C$12,L$4)=0),1,"")</f>
        <v/>
      </c>
      <c r="M13" s="166">
        <f>IF(AND(ISNUMBER($D13),ISNUMBER($E13),M$4&gt;=$D13,M$4&lt;=$E13,WEEKDAY(M$4,2)&lt;=5,COUNTIF('Sources &amp; Change Log'!$J$2:$J$5,M$4)=0,COUNTIFS('Team Calendar'!$A$5:$A$12,$F13,'Team Calendar'!$C$5:$C$12,M$4)=0),1,"")</f>
        <v/>
      </c>
      <c r="N13" s="165">
        <f>IF(AND(ISNUMBER($D13),ISNUMBER($E13),N$4&gt;=$D13,N$4&lt;=$E13,WEEKDAY(N$4,2)&lt;=5,COUNTIF('Sources &amp; Change Log'!$J$2:$J$5,N$4)=0,COUNTIFS('Team Calendar'!$A$5:$A$12,$F13,'Team Calendar'!$C$5:$C$12,N$4)=0),1,"")</f>
        <v/>
      </c>
      <c r="O13" s="165">
        <f>IF(AND(ISNUMBER($D13),ISNUMBER($E13),O$4&gt;=$D13,O$4&lt;=$E13,WEEKDAY(O$4,2)&lt;=5,COUNTIF('Sources &amp; Change Log'!$J$2:$J$5,O$4)=0,COUNTIFS('Team Calendar'!$A$5:$A$12,$F13,'Team Calendar'!$C$5:$C$12,O$4)=0),1,"")</f>
        <v/>
      </c>
      <c r="P13" s="165">
        <f>IF(AND(ISNUMBER($D13),ISNUMBER($E13),P$4&gt;=$D13,P$4&lt;=$E13,WEEKDAY(P$4,2)&lt;=5,COUNTIF('Sources &amp; Change Log'!$J$2:$J$5,P$4)=0,COUNTIFS('Team Calendar'!$A$5:$A$12,$F13,'Team Calendar'!$C$5:$C$12,P$4)=0),1,"")</f>
        <v/>
      </c>
      <c r="Q13" s="165">
        <f>IF(AND(ISNUMBER($D13),ISNUMBER($E13),Q$4&gt;=$D13,Q$4&lt;=$E13,WEEKDAY(Q$4,2)&lt;=5,COUNTIF('Sources &amp; Change Log'!$J$2:$J$5,Q$4)=0,COUNTIFS('Team Calendar'!$A$5:$A$12,$F13,'Team Calendar'!$C$5:$C$12,Q$4)=0),1,"")</f>
        <v/>
      </c>
      <c r="R13" s="165">
        <f>IF(AND(ISNUMBER($D13),ISNUMBER($E13),R$4&gt;=$D13,R$4&lt;=$E13,WEEKDAY(R$4,2)&lt;=5,COUNTIF('Sources &amp; Change Log'!$J$2:$J$5,R$4)=0,COUNTIFS('Team Calendar'!$A$5:$A$12,$F13,'Team Calendar'!$C$5:$C$12,R$4)=0),1,"")</f>
        <v/>
      </c>
      <c r="S13" s="166">
        <f>IF(AND(ISNUMBER($D13),ISNUMBER($E13),S$4&gt;=$D13,S$4&lt;=$E13,WEEKDAY(S$4,2)&lt;=5,COUNTIF('Sources &amp; Change Log'!$J$2:$J$5,S$4)=0,COUNTIFS('Team Calendar'!$A$5:$A$12,$F13,'Team Calendar'!$C$5:$C$12,S$4)=0),1,"")</f>
        <v/>
      </c>
      <c r="T13" s="166">
        <f>IF(AND(ISNUMBER($D13),ISNUMBER($E13),T$4&gt;=$D13,T$4&lt;=$E13,WEEKDAY(T$4,2)&lt;=5,COUNTIF('Sources &amp; Change Log'!$J$2:$J$5,T$4)=0,COUNTIFS('Team Calendar'!$A$5:$A$12,$F13,'Team Calendar'!$C$5:$C$12,T$4)=0),1,"")</f>
        <v/>
      </c>
      <c r="U13" s="165">
        <f>IF(AND(ISNUMBER($D13),ISNUMBER($E13),U$4&gt;=$D13,U$4&lt;=$E13,WEEKDAY(U$4,2)&lt;=5,COUNTIF('Sources &amp; Change Log'!$J$2:$J$5,U$4)=0,COUNTIFS('Team Calendar'!$A$5:$A$12,$F13,'Team Calendar'!$C$5:$C$12,U$4)=0),1,"")</f>
        <v/>
      </c>
      <c r="V13" s="165">
        <f>IF(AND(ISNUMBER($D13),ISNUMBER($E13),V$4&gt;=$D13,V$4&lt;=$E13,WEEKDAY(V$4,2)&lt;=5,COUNTIF('Sources &amp; Change Log'!$J$2:$J$5,V$4)=0,COUNTIFS('Team Calendar'!$A$5:$A$12,$F13,'Team Calendar'!$C$5:$C$12,V$4)=0),1,"")</f>
        <v/>
      </c>
      <c r="W13" s="165">
        <f>IF(AND(ISNUMBER($D13),ISNUMBER($E13),W$4&gt;=$D13,W$4&lt;=$E13,WEEKDAY(W$4,2)&lt;=5,COUNTIF('Sources &amp; Change Log'!$J$2:$J$5,W$4)=0,COUNTIFS('Team Calendar'!$A$5:$A$12,$F13,'Team Calendar'!$C$5:$C$12,W$4)=0),1,"")</f>
        <v/>
      </c>
      <c r="X13" s="165">
        <f>IF(AND(ISNUMBER($D13),ISNUMBER($E13),X$4&gt;=$D13,X$4&lt;=$E13,WEEKDAY(X$4,2)&lt;=5,COUNTIF('Sources &amp; Change Log'!$J$2:$J$5,X$4)=0,COUNTIFS('Team Calendar'!$A$5:$A$12,$F13,'Team Calendar'!$C$5:$C$12,X$4)=0),1,"")</f>
        <v/>
      </c>
      <c r="Y13" s="165">
        <f>IF(AND(ISNUMBER($D13),ISNUMBER($E13),Y$4&gt;=$D13,Y$4&lt;=$E13,WEEKDAY(Y$4,2)&lt;=5,COUNTIF('Sources &amp; Change Log'!$J$2:$J$5,Y$4)=0,COUNTIFS('Team Calendar'!$A$5:$A$12,$F13,'Team Calendar'!$C$5:$C$12,Y$4)=0),1,"")</f>
        <v/>
      </c>
      <c r="Z13" s="166">
        <f>IF(AND(ISNUMBER($D13),ISNUMBER($E13),Z$4&gt;=$D13,Z$4&lt;=$E13,WEEKDAY(Z$4,2)&lt;=5,COUNTIF('Sources &amp; Change Log'!$J$2:$J$5,Z$4)=0,COUNTIFS('Team Calendar'!$A$5:$A$12,$F13,'Team Calendar'!$C$5:$C$12,Z$4)=0),1,"")</f>
        <v/>
      </c>
      <c r="AA13" s="166">
        <f>IF(AND(ISNUMBER($D13),ISNUMBER($E13),AA$4&gt;=$D13,AA$4&lt;=$E13,WEEKDAY(AA$4,2)&lt;=5,COUNTIF('Sources &amp; Change Log'!$J$2:$J$5,AA$4)=0,COUNTIFS('Team Calendar'!$A$5:$A$12,$F13,'Team Calendar'!$C$5:$C$12,AA$4)=0),1,"")</f>
        <v/>
      </c>
      <c r="AB13" s="165">
        <f>IF(AND(ISNUMBER($D13),ISNUMBER($E13),AB$4&gt;=$D13,AB$4&lt;=$E13,WEEKDAY(AB$4,2)&lt;=5,COUNTIF('Sources &amp; Change Log'!$J$2:$J$5,AB$4)=0,COUNTIFS('Team Calendar'!$A$5:$A$12,$F13,'Team Calendar'!$C$5:$C$12,AB$4)=0),1,"")</f>
        <v/>
      </c>
      <c r="AC13" s="165">
        <f>IF(AND(ISNUMBER($D13),ISNUMBER($E13),AC$4&gt;=$D13,AC$4&lt;=$E13,WEEKDAY(AC$4,2)&lt;=5,COUNTIF('Sources &amp; Change Log'!$J$2:$J$5,AC$4)=0,COUNTIFS('Team Calendar'!$A$5:$A$12,$F13,'Team Calendar'!$C$5:$C$12,AC$4)=0),1,"")</f>
        <v/>
      </c>
      <c r="AD13" s="165">
        <f>IF(AND(ISNUMBER($D13),ISNUMBER($E13),AD$4&gt;=$D13,AD$4&lt;=$E13,WEEKDAY(AD$4,2)&lt;=5,COUNTIF('Sources &amp; Change Log'!$J$2:$J$5,AD$4)=0,COUNTIFS('Team Calendar'!$A$5:$A$12,$F13,'Team Calendar'!$C$5:$C$12,AD$4)=0),1,"")</f>
        <v/>
      </c>
      <c r="AE13" s="165">
        <f>IF(AND(ISNUMBER($D13),ISNUMBER($E13),AE$4&gt;=$D13,AE$4&lt;=$E13,WEEKDAY(AE$4,2)&lt;=5,COUNTIF('Sources &amp; Change Log'!$J$2:$J$5,AE$4)=0,COUNTIFS('Team Calendar'!$A$5:$A$12,$F13,'Team Calendar'!$C$5:$C$12,AE$4)=0),1,"")</f>
        <v/>
      </c>
      <c r="AF13" s="165">
        <f>IF(AND(ISNUMBER($D13),ISNUMBER($E13),AF$4&gt;=$D13,AF$4&lt;=$E13,WEEKDAY(AF$4,2)&lt;=5,COUNTIF('Sources &amp; Change Log'!$J$2:$J$5,AF$4)=0,COUNTIFS('Team Calendar'!$A$5:$A$12,$F13,'Team Calendar'!$C$5:$C$12,AF$4)=0),1,"")</f>
        <v/>
      </c>
      <c r="AG13" s="166">
        <f>IF(AND(ISNUMBER($D13),ISNUMBER($E13),AG$4&gt;=$D13,AG$4&lt;=$E13,WEEKDAY(AG$4,2)&lt;=5,COUNTIF('Sources &amp; Change Log'!$J$2:$J$5,AG$4)=0,COUNTIFS('Team Calendar'!$A$5:$A$12,$F13,'Team Calendar'!$C$5:$C$12,AG$4)=0),1,"")</f>
        <v/>
      </c>
      <c r="AH13" s="166">
        <f>IF(AND(ISNUMBER($D13),ISNUMBER($E13),AH$4&gt;=$D13,AH$4&lt;=$E13,WEEKDAY(AH$4,2)&lt;=5,COUNTIF('Sources &amp; Change Log'!$J$2:$J$5,AH$4)=0,COUNTIFS('Team Calendar'!$A$5:$A$12,$F13,'Team Calendar'!$C$5:$C$12,AH$4)=0),1,"")</f>
        <v/>
      </c>
      <c r="AI13" s="165">
        <f>IF(AND(ISNUMBER($D13),ISNUMBER($E13),AI$4&gt;=$D13,AI$4&lt;=$E13,WEEKDAY(AI$4,2)&lt;=5,COUNTIF('Sources &amp; Change Log'!$J$2:$J$5,AI$4)=0,COUNTIFS('Team Calendar'!$A$5:$A$12,$F13,'Team Calendar'!$C$5:$C$12,AI$4)=0),1,"")</f>
        <v/>
      </c>
    </row>
    <row r="14" ht="24" customHeight="1">
      <c r="A14" s="13">
        <f>WBS!A40</f>
        <v/>
      </c>
      <c r="B14" s="13">
        <f>WBS!B40</f>
        <v/>
      </c>
      <c r="C14" s="13">
        <f>WBS!G40</f>
        <v/>
      </c>
      <c r="D14" s="164">
        <f>IF(WBS!H40="","",WBS!H40)</f>
        <v/>
      </c>
      <c r="E14" s="164">
        <f>IF(WBS!I40="","",WBS!I40)</f>
        <v/>
      </c>
      <c r="F14" s="13">
        <f>WBS!L40</f>
        <v/>
      </c>
      <c r="G14" s="165">
        <f>IF(AND(ISNUMBER($D14),ISNUMBER($E14),G$4&gt;=$D14,G$4&lt;=$E14,WEEKDAY(G$4,2)&lt;=5,COUNTIF('Sources &amp; Change Log'!$J$2:$J$5,G$4)=0,COUNTIFS('Team Calendar'!$A$5:$A$12,$F14,'Team Calendar'!$C$5:$C$12,G$4)=0),1,"")</f>
        <v/>
      </c>
      <c r="H14" s="165">
        <f>IF(AND(ISNUMBER($D14),ISNUMBER($E14),H$4&gt;=$D14,H$4&lt;=$E14,WEEKDAY(H$4,2)&lt;=5,COUNTIF('Sources &amp; Change Log'!$J$2:$J$5,H$4)=0,COUNTIFS('Team Calendar'!$A$5:$A$12,$F14,'Team Calendar'!$C$5:$C$12,H$4)=0),1,"")</f>
        <v/>
      </c>
      <c r="I14" s="165">
        <f>IF(AND(ISNUMBER($D14),ISNUMBER($E14),I$4&gt;=$D14,I$4&lt;=$E14,WEEKDAY(I$4,2)&lt;=5,COUNTIF('Sources &amp; Change Log'!$J$2:$J$5,I$4)=0,COUNTIFS('Team Calendar'!$A$5:$A$12,$F14,'Team Calendar'!$C$5:$C$12,I$4)=0),1,"")</f>
        <v/>
      </c>
      <c r="J14" s="165">
        <f>IF(AND(ISNUMBER($D14),ISNUMBER($E14),J$4&gt;=$D14,J$4&lt;=$E14,WEEKDAY(J$4,2)&lt;=5,COUNTIF('Sources &amp; Change Log'!$J$2:$J$5,J$4)=0,COUNTIFS('Team Calendar'!$A$5:$A$12,$F14,'Team Calendar'!$C$5:$C$12,J$4)=0),1,"")</f>
        <v/>
      </c>
      <c r="K14" s="165">
        <f>IF(AND(ISNUMBER($D14),ISNUMBER($E14),K$4&gt;=$D14,K$4&lt;=$E14,WEEKDAY(K$4,2)&lt;=5,COUNTIF('Sources &amp; Change Log'!$J$2:$J$5,K$4)=0,COUNTIFS('Team Calendar'!$A$5:$A$12,$F14,'Team Calendar'!$C$5:$C$12,K$4)=0),1,"")</f>
        <v/>
      </c>
      <c r="L14" s="166">
        <f>IF(AND(ISNUMBER($D14),ISNUMBER($E14),L$4&gt;=$D14,L$4&lt;=$E14,WEEKDAY(L$4,2)&lt;=5,COUNTIF('Sources &amp; Change Log'!$J$2:$J$5,L$4)=0,COUNTIFS('Team Calendar'!$A$5:$A$12,$F14,'Team Calendar'!$C$5:$C$12,L$4)=0),1,"")</f>
        <v/>
      </c>
      <c r="M14" s="166">
        <f>IF(AND(ISNUMBER($D14),ISNUMBER($E14),M$4&gt;=$D14,M$4&lt;=$E14,WEEKDAY(M$4,2)&lt;=5,COUNTIF('Sources &amp; Change Log'!$J$2:$J$5,M$4)=0,COUNTIFS('Team Calendar'!$A$5:$A$12,$F14,'Team Calendar'!$C$5:$C$12,M$4)=0),1,"")</f>
        <v/>
      </c>
      <c r="N14" s="165">
        <f>IF(AND(ISNUMBER($D14),ISNUMBER($E14),N$4&gt;=$D14,N$4&lt;=$E14,WEEKDAY(N$4,2)&lt;=5,COUNTIF('Sources &amp; Change Log'!$J$2:$J$5,N$4)=0,COUNTIFS('Team Calendar'!$A$5:$A$12,$F14,'Team Calendar'!$C$5:$C$12,N$4)=0),1,"")</f>
        <v/>
      </c>
      <c r="O14" s="165">
        <f>IF(AND(ISNUMBER($D14),ISNUMBER($E14),O$4&gt;=$D14,O$4&lt;=$E14,WEEKDAY(O$4,2)&lt;=5,COUNTIF('Sources &amp; Change Log'!$J$2:$J$5,O$4)=0,COUNTIFS('Team Calendar'!$A$5:$A$12,$F14,'Team Calendar'!$C$5:$C$12,O$4)=0),1,"")</f>
        <v/>
      </c>
      <c r="P14" s="165">
        <f>IF(AND(ISNUMBER($D14),ISNUMBER($E14),P$4&gt;=$D14,P$4&lt;=$E14,WEEKDAY(P$4,2)&lt;=5,COUNTIF('Sources &amp; Change Log'!$J$2:$J$5,P$4)=0,COUNTIFS('Team Calendar'!$A$5:$A$12,$F14,'Team Calendar'!$C$5:$C$12,P$4)=0),1,"")</f>
        <v/>
      </c>
      <c r="Q14" s="165">
        <f>IF(AND(ISNUMBER($D14),ISNUMBER($E14),Q$4&gt;=$D14,Q$4&lt;=$E14,WEEKDAY(Q$4,2)&lt;=5,COUNTIF('Sources &amp; Change Log'!$J$2:$J$5,Q$4)=0,COUNTIFS('Team Calendar'!$A$5:$A$12,$F14,'Team Calendar'!$C$5:$C$12,Q$4)=0),1,"")</f>
        <v/>
      </c>
      <c r="R14" s="165">
        <f>IF(AND(ISNUMBER($D14),ISNUMBER($E14),R$4&gt;=$D14,R$4&lt;=$E14,WEEKDAY(R$4,2)&lt;=5,COUNTIF('Sources &amp; Change Log'!$J$2:$J$5,R$4)=0,COUNTIFS('Team Calendar'!$A$5:$A$12,$F14,'Team Calendar'!$C$5:$C$12,R$4)=0),1,"")</f>
        <v/>
      </c>
      <c r="S14" s="166">
        <f>IF(AND(ISNUMBER($D14),ISNUMBER($E14),S$4&gt;=$D14,S$4&lt;=$E14,WEEKDAY(S$4,2)&lt;=5,COUNTIF('Sources &amp; Change Log'!$J$2:$J$5,S$4)=0,COUNTIFS('Team Calendar'!$A$5:$A$12,$F14,'Team Calendar'!$C$5:$C$12,S$4)=0),1,"")</f>
        <v/>
      </c>
      <c r="T14" s="166">
        <f>IF(AND(ISNUMBER($D14),ISNUMBER($E14),T$4&gt;=$D14,T$4&lt;=$E14,WEEKDAY(T$4,2)&lt;=5,COUNTIF('Sources &amp; Change Log'!$J$2:$J$5,T$4)=0,COUNTIFS('Team Calendar'!$A$5:$A$12,$F14,'Team Calendar'!$C$5:$C$12,T$4)=0),1,"")</f>
        <v/>
      </c>
      <c r="U14" s="165">
        <f>IF(AND(ISNUMBER($D14),ISNUMBER($E14),U$4&gt;=$D14,U$4&lt;=$E14,WEEKDAY(U$4,2)&lt;=5,COUNTIF('Sources &amp; Change Log'!$J$2:$J$5,U$4)=0,COUNTIFS('Team Calendar'!$A$5:$A$12,$F14,'Team Calendar'!$C$5:$C$12,U$4)=0),1,"")</f>
        <v/>
      </c>
      <c r="V14" s="165">
        <f>IF(AND(ISNUMBER($D14),ISNUMBER($E14),V$4&gt;=$D14,V$4&lt;=$E14,WEEKDAY(V$4,2)&lt;=5,COUNTIF('Sources &amp; Change Log'!$J$2:$J$5,V$4)=0,COUNTIFS('Team Calendar'!$A$5:$A$12,$F14,'Team Calendar'!$C$5:$C$12,V$4)=0),1,"")</f>
        <v/>
      </c>
      <c r="W14" s="165">
        <f>IF(AND(ISNUMBER($D14),ISNUMBER($E14),W$4&gt;=$D14,W$4&lt;=$E14,WEEKDAY(W$4,2)&lt;=5,COUNTIF('Sources &amp; Change Log'!$J$2:$J$5,W$4)=0,COUNTIFS('Team Calendar'!$A$5:$A$12,$F14,'Team Calendar'!$C$5:$C$12,W$4)=0),1,"")</f>
        <v/>
      </c>
      <c r="X14" s="165">
        <f>IF(AND(ISNUMBER($D14),ISNUMBER($E14),X$4&gt;=$D14,X$4&lt;=$E14,WEEKDAY(X$4,2)&lt;=5,COUNTIF('Sources &amp; Change Log'!$J$2:$J$5,X$4)=0,COUNTIFS('Team Calendar'!$A$5:$A$12,$F14,'Team Calendar'!$C$5:$C$12,X$4)=0),1,"")</f>
        <v/>
      </c>
      <c r="Y14" s="165">
        <f>IF(AND(ISNUMBER($D14),ISNUMBER($E14),Y$4&gt;=$D14,Y$4&lt;=$E14,WEEKDAY(Y$4,2)&lt;=5,COUNTIF('Sources &amp; Change Log'!$J$2:$J$5,Y$4)=0,COUNTIFS('Team Calendar'!$A$5:$A$12,$F14,'Team Calendar'!$C$5:$C$12,Y$4)=0),1,"")</f>
        <v/>
      </c>
      <c r="Z14" s="166">
        <f>IF(AND(ISNUMBER($D14),ISNUMBER($E14),Z$4&gt;=$D14,Z$4&lt;=$E14,WEEKDAY(Z$4,2)&lt;=5,COUNTIF('Sources &amp; Change Log'!$J$2:$J$5,Z$4)=0,COUNTIFS('Team Calendar'!$A$5:$A$12,$F14,'Team Calendar'!$C$5:$C$12,Z$4)=0),1,"")</f>
        <v/>
      </c>
      <c r="AA14" s="166">
        <f>IF(AND(ISNUMBER($D14),ISNUMBER($E14),AA$4&gt;=$D14,AA$4&lt;=$E14,WEEKDAY(AA$4,2)&lt;=5,COUNTIF('Sources &amp; Change Log'!$J$2:$J$5,AA$4)=0,COUNTIFS('Team Calendar'!$A$5:$A$12,$F14,'Team Calendar'!$C$5:$C$12,AA$4)=0),1,"")</f>
        <v/>
      </c>
      <c r="AB14" s="165">
        <f>IF(AND(ISNUMBER($D14),ISNUMBER($E14),AB$4&gt;=$D14,AB$4&lt;=$E14,WEEKDAY(AB$4,2)&lt;=5,COUNTIF('Sources &amp; Change Log'!$J$2:$J$5,AB$4)=0,COUNTIFS('Team Calendar'!$A$5:$A$12,$F14,'Team Calendar'!$C$5:$C$12,AB$4)=0),1,"")</f>
        <v/>
      </c>
      <c r="AC14" s="165">
        <f>IF(AND(ISNUMBER($D14),ISNUMBER($E14),AC$4&gt;=$D14,AC$4&lt;=$E14,WEEKDAY(AC$4,2)&lt;=5,COUNTIF('Sources &amp; Change Log'!$J$2:$J$5,AC$4)=0,COUNTIFS('Team Calendar'!$A$5:$A$12,$F14,'Team Calendar'!$C$5:$C$12,AC$4)=0),1,"")</f>
        <v/>
      </c>
      <c r="AD14" s="165">
        <f>IF(AND(ISNUMBER($D14),ISNUMBER($E14),AD$4&gt;=$D14,AD$4&lt;=$E14,WEEKDAY(AD$4,2)&lt;=5,COUNTIF('Sources &amp; Change Log'!$J$2:$J$5,AD$4)=0,COUNTIFS('Team Calendar'!$A$5:$A$12,$F14,'Team Calendar'!$C$5:$C$12,AD$4)=0),1,"")</f>
        <v/>
      </c>
      <c r="AE14" s="165">
        <f>IF(AND(ISNUMBER($D14),ISNUMBER($E14),AE$4&gt;=$D14,AE$4&lt;=$E14,WEEKDAY(AE$4,2)&lt;=5,COUNTIF('Sources &amp; Change Log'!$J$2:$J$5,AE$4)=0,COUNTIFS('Team Calendar'!$A$5:$A$12,$F14,'Team Calendar'!$C$5:$C$12,AE$4)=0),1,"")</f>
        <v/>
      </c>
      <c r="AF14" s="165">
        <f>IF(AND(ISNUMBER($D14),ISNUMBER($E14),AF$4&gt;=$D14,AF$4&lt;=$E14,WEEKDAY(AF$4,2)&lt;=5,COUNTIF('Sources &amp; Change Log'!$J$2:$J$5,AF$4)=0,COUNTIFS('Team Calendar'!$A$5:$A$12,$F14,'Team Calendar'!$C$5:$C$12,AF$4)=0),1,"")</f>
        <v/>
      </c>
      <c r="AG14" s="166">
        <f>IF(AND(ISNUMBER($D14),ISNUMBER($E14),AG$4&gt;=$D14,AG$4&lt;=$E14,WEEKDAY(AG$4,2)&lt;=5,COUNTIF('Sources &amp; Change Log'!$J$2:$J$5,AG$4)=0,COUNTIFS('Team Calendar'!$A$5:$A$12,$F14,'Team Calendar'!$C$5:$C$12,AG$4)=0),1,"")</f>
        <v/>
      </c>
      <c r="AH14" s="166">
        <f>IF(AND(ISNUMBER($D14),ISNUMBER($E14),AH$4&gt;=$D14,AH$4&lt;=$E14,WEEKDAY(AH$4,2)&lt;=5,COUNTIF('Sources &amp; Change Log'!$J$2:$J$5,AH$4)=0,COUNTIFS('Team Calendar'!$A$5:$A$12,$F14,'Team Calendar'!$C$5:$C$12,AH$4)=0),1,"")</f>
        <v/>
      </c>
      <c r="AI14" s="165">
        <f>IF(AND(ISNUMBER($D14),ISNUMBER($E14),AI$4&gt;=$D14,AI$4&lt;=$E14,WEEKDAY(AI$4,2)&lt;=5,COUNTIF('Sources &amp; Change Log'!$J$2:$J$5,AI$4)=0,COUNTIFS('Team Calendar'!$A$5:$A$12,$F14,'Team Calendar'!$C$5:$C$12,AI$4)=0),1,"")</f>
        <v/>
      </c>
    </row>
    <row r="15" ht="24" customHeight="1">
      <c r="A15" s="13">
        <f>WBS!A41</f>
        <v/>
      </c>
      <c r="B15" s="13">
        <f>WBS!B41</f>
        <v/>
      </c>
      <c r="C15" s="13">
        <f>WBS!G41</f>
        <v/>
      </c>
      <c r="D15" s="164">
        <f>IF(WBS!H41="","",WBS!H41)</f>
        <v/>
      </c>
      <c r="E15" s="164">
        <f>IF(WBS!I41="","",WBS!I41)</f>
        <v/>
      </c>
      <c r="F15" s="13">
        <f>WBS!L41</f>
        <v/>
      </c>
      <c r="G15" s="165">
        <f>IF(AND(ISNUMBER($D15),ISNUMBER($E15),G$4&gt;=$D15,G$4&lt;=$E15,WEEKDAY(G$4,2)&lt;=5,COUNTIF('Sources &amp; Change Log'!$J$2:$J$5,G$4)=0,COUNTIFS('Team Calendar'!$A$5:$A$12,$F15,'Team Calendar'!$C$5:$C$12,G$4)=0),1,"")</f>
        <v/>
      </c>
      <c r="H15" s="165">
        <f>IF(AND(ISNUMBER($D15),ISNUMBER($E15),H$4&gt;=$D15,H$4&lt;=$E15,WEEKDAY(H$4,2)&lt;=5,COUNTIF('Sources &amp; Change Log'!$J$2:$J$5,H$4)=0,COUNTIFS('Team Calendar'!$A$5:$A$12,$F15,'Team Calendar'!$C$5:$C$12,H$4)=0),1,"")</f>
        <v/>
      </c>
      <c r="I15" s="165">
        <f>IF(AND(ISNUMBER($D15),ISNUMBER($E15),I$4&gt;=$D15,I$4&lt;=$E15,WEEKDAY(I$4,2)&lt;=5,COUNTIF('Sources &amp; Change Log'!$J$2:$J$5,I$4)=0,COUNTIFS('Team Calendar'!$A$5:$A$12,$F15,'Team Calendar'!$C$5:$C$12,I$4)=0),1,"")</f>
        <v/>
      </c>
      <c r="J15" s="165">
        <f>IF(AND(ISNUMBER($D15),ISNUMBER($E15),J$4&gt;=$D15,J$4&lt;=$E15,WEEKDAY(J$4,2)&lt;=5,COUNTIF('Sources &amp; Change Log'!$J$2:$J$5,J$4)=0,COUNTIFS('Team Calendar'!$A$5:$A$12,$F15,'Team Calendar'!$C$5:$C$12,J$4)=0),1,"")</f>
        <v/>
      </c>
      <c r="K15" s="165">
        <f>IF(AND(ISNUMBER($D15),ISNUMBER($E15),K$4&gt;=$D15,K$4&lt;=$E15,WEEKDAY(K$4,2)&lt;=5,COUNTIF('Sources &amp; Change Log'!$J$2:$J$5,K$4)=0,COUNTIFS('Team Calendar'!$A$5:$A$12,$F15,'Team Calendar'!$C$5:$C$12,K$4)=0),1,"")</f>
        <v/>
      </c>
      <c r="L15" s="166">
        <f>IF(AND(ISNUMBER($D15),ISNUMBER($E15),L$4&gt;=$D15,L$4&lt;=$E15,WEEKDAY(L$4,2)&lt;=5,COUNTIF('Sources &amp; Change Log'!$J$2:$J$5,L$4)=0,COUNTIFS('Team Calendar'!$A$5:$A$12,$F15,'Team Calendar'!$C$5:$C$12,L$4)=0),1,"")</f>
        <v/>
      </c>
      <c r="M15" s="166">
        <f>IF(AND(ISNUMBER($D15),ISNUMBER($E15),M$4&gt;=$D15,M$4&lt;=$E15,WEEKDAY(M$4,2)&lt;=5,COUNTIF('Sources &amp; Change Log'!$J$2:$J$5,M$4)=0,COUNTIFS('Team Calendar'!$A$5:$A$12,$F15,'Team Calendar'!$C$5:$C$12,M$4)=0),1,"")</f>
        <v/>
      </c>
      <c r="N15" s="165">
        <f>IF(AND(ISNUMBER($D15),ISNUMBER($E15),N$4&gt;=$D15,N$4&lt;=$E15,WEEKDAY(N$4,2)&lt;=5,COUNTIF('Sources &amp; Change Log'!$J$2:$J$5,N$4)=0,COUNTIFS('Team Calendar'!$A$5:$A$12,$F15,'Team Calendar'!$C$5:$C$12,N$4)=0),1,"")</f>
        <v/>
      </c>
      <c r="O15" s="165">
        <f>IF(AND(ISNUMBER($D15),ISNUMBER($E15),O$4&gt;=$D15,O$4&lt;=$E15,WEEKDAY(O$4,2)&lt;=5,COUNTIF('Sources &amp; Change Log'!$J$2:$J$5,O$4)=0,COUNTIFS('Team Calendar'!$A$5:$A$12,$F15,'Team Calendar'!$C$5:$C$12,O$4)=0),1,"")</f>
        <v/>
      </c>
      <c r="P15" s="165">
        <f>IF(AND(ISNUMBER($D15),ISNUMBER($E15),P$4&gt;=$D15,P$4&lt;=$E15,WEEKDAY(P$4,2)&lt;=5,COUNTIF('Sources &amp; Change Log'!$J$2:$J$5,P$4)=0,COUNTIFS('Team Calendar'!$A$5:$A$12,$F15,'Team Calendar'!$C$5:$C$12,P$4)=0),1,"")</f>
        <v/>
      </c>
      <c r="Q15" s="165">
        <f>IF(AND(ISNUMBER($D15),ISNUMBER($E15),Q$4&gt;=$D15,Q$4&lt;=$E15,WEEKDAY(Q$4,2)&lt;=5,COUNTIF('Sources &amp; Change Log'!$J$2:$J$5,Q$4)=0,COUNTIFS('Team Calendar'!$A$5:$A$12,$F15,'Team Calendar'!$C$5:$C$12,Q$4)=0),1,"")</f>
        <v/>
      </c>
      <c r="R15" s="165">
        <f>IF(AND(ISNUMBER($D15),ISNUMBER($E15),R$4&gt;=$D15,R$4&lt;=$E15,WEEKDAY(R$4,2)&lt;=5,COUNTIF('Sources &amp; Change Log'!$J$2:$J$5,R$4)=0,COUNTIFS('Team Calendar'!$A$5:$A$12,$F15,'Team Calendar'!$C$5:$C$12,R$4)=0),1,"")</f>
        <v/>
      </c>
      <c r="S15" s="166">
        <f>IF(AND(ISNUMBER($D15),ISNUMBER($E15),S$4&gt;=$D15,S$4&lt;=$E15,WEEKDAY(S$4,2)&lt;=5,COUNTIF('Sources &amp; Change Log'!$J$2:$J$5,S$4)=0,COUNTIFS('Team Calendar'!$A$5:$A$12,$F15,'Team Calendar'!$C$5:$C$12,S$4)=0),1,"")</f>
        <v/>
      </c>
      <c r="T15" s="166">
        <f>IF(AND(ISNUMBER($D15),ISNUMBER($E15),T$4&gt;=$D15,T$4&lt;=$E15,WEEKDAY(T$4,2)&lt;=5,COUNTIF('Sources &amp; Change Log'!$J$2:$J$5,T$4)=0,COUNTIFS('Team Calendar'!$A$5:$A$12,$F15,'Team Calendar'!$C$5:$C$12,T$4)=0),1,"")</f>
        <v/>
      </c>
      <c r="U15" s="165">
        <f>IF(AND(ISNUMBER($D15),ISNUMBER($E15),U$4&gt;=$D15,U$4&lt;=$E15,WEEKDAY(U$4,2)&lt;=5,COUNTIF('Sources &amp; Change Log'!$J$2:$J$5,U$4)=0,COUNTIFS('Team Calendar'!$A$5:$A$12,$F15,'Team Calendar'!$C$5:$C$12,U$4)=0),1,"")</f>
        <v/>
      </c>
      <c r="V15" s="165">
        <f>IF(AND(ISNUMBER($D15),ISNUMBER($E15),V$4&gt;=$D15,V$4&lt;=$E15,WEEKDAY(V$4,2)&lt;=5,COUNTIF('Sources &amp; Change Log'!$J$2:$J$5,V$4)=0,COUNTIFS('Team Calendar'!$A$5:$A$12,$F15,'Team Calendar'!$C$5:$C$12,V$4)=0),1,"")</f>
        <v/>
      </c>
      <c r="W15" s="165">
        <f>IF(AND(ISNUMBER($D15),ISNUMBER($E15),W$4&gt;=$D15,W$4&lt;=$E15,WEEKDAY(W$4,2)&lt;=5,COUNTIF('Sources &amp; Change Log'!$J$2:$J$5,W$4)=0,COUNTIFS('Team Calendar'!$A$5:$A$12,$F15,'Team Calendar'!$C$5:$C$12,W$4)=0),1,"")</f>
        <v/>
      </c>
      <c r="X15" s="165">
        <f>IF(AND(ISNUMBER($D15),ISNUMBER($E15),X$4&gt;=$D15,X$4&lt;=$E15,WEEKDAY(X$4,2)&lt;=5,COUNTIF('Sources &amp; Change Log'!$J$2:$J$5,X$4)=0,COUNTIFS('Team Calendar'!$A$5:$A$12,$F15,'Team Calendar'!$C$5:$C$12,X$4)=0),1,"")</f>
        <v/>
      </c>
      <c r="Y15" s="165">
        <f>IF(AND(ISNUMBER($D15),ISNUMBER($E15),Y$4&gt;=$D15,Y$4&lt;=$E15,WEEKDAY(Y$4,2)&lt;=5,COUNTIF('Sources &amp; Change Log'!$J$2:$J$5,Y$4)=0,COUNTIFS('Team Calendar'!$A$5:$A$12,$F15,'Team Calendar'!$C$5:$C$12,Y$4)=0),1,"")</f>
        <v/>
      </c>
      <c r="Z15" s="166">
        <f>IF(AND(ISNUMBER($D15),ISNUMBER($E15),Z$4&gt;=$D15,Z$4&lt;=$E15,WEEKDAY(Z$4,2)&lt;=5,COUNTIF('Sources &amp; Change Log'!$J$2:$J$5,Z$4)=0,COUNTIFS('Team Calendar'!$A$5:$A$12,$F15,'Team Calendar'!$C$5:$C$12,Z$4)=0),1,"")</f>
        <v/>
      </c>
      <c r="AA15" s="166">
        <f>IF(AND(ISNUMBER($D15),ISNUMBER($E15),AA$4&gt;=$D15,AA$4&lt;=$E15,WEEKDAY(AA$4,2)&lt;=5,COUNTIF('Sources &amp; Change Log'!$J$2:$J$5,AA$4)=0,COUNTIFS('Team Calendar'!$A$5:$A$12,$F15,'Team Calendar'!$C$5:$C$12,AA$4)=0),1,"")</f>
        <v/>
      </c>
      <c r="AB15" s="165">
        <f>IF(AND(ISNUMBER($D15),ISNUMBER($E15),AB$4&gt;=$D15,AB$4&lt;=$E15,WEEKDAY(AB$4,2)&lt;=5,COUNTIF('Sources &amp; Change Log'!$J$2:$J$5,AB$4)=0,COUNTIFS('Team Calendar'!$A$5:$A$12,$F15,'Team Calendar'!$C$5:$C$12,AB$4)=0),1,"")</f>
        <v/>
      </c>
      <c r="AC15" s="165">
        <f>IF(AND(ISNUMBER($D15),ISNUMBER($E15),AC$4&gt;=$D15,AC$4&lt;=$E15,WEEKDAY(AC$4,2)&lt;=5,COUNTIF('Sources &amp; Change Log'!$J$2:$J$5,AC$4)=0,COUNTIFS('Team Calendar'!$A$5:$A$12,$F15,'Team Calendar'!$C$5:$C$12,AC$4)=0),1,"")</f>
        <v/>
      </c>
      <c r="AD15" s="165">
        <f>IF(AND(ISNUMBER($D15),ISNUMBER($E15),AD$4&gt;=$D15,AD$4&lt;=$E15,WEEKDAY(AD$4,2)&lt;=5,COUNTIF('Sources &amp; Change Log'!$J$2:$J$5,AD$4)=0,COUNTIFS('Team Calendar'!$A$5:$A$12,$F15,'Team Calendar'!$C$5:$C$12,AD$4)=0),1,"")</f>
        <v/>
      </c>
      <c r="AE15" s="165">
        <f>IF(AND(ISNUMBER($D15),ISNUMBER($E15),AE$4&gt;=$D15,AE$4&lt;=$E15,WEEKDAY(AE$4,2)&lt;=5,COUNTIF('Sources &amp; Change Log'!$J$2:$J$5,AE$4)=0,COUNTIFS('Team Calendar'!$A$5:$A$12,$F15,'Team Calendar'!$C$5:$C$12,AE$4)=0),1,"")</f>
        <v/>
      </c>
      <c r="AF15" s="165">
        <f>IF(AND(ISNUMBER($D15),ISNUMBER($E15),AF$4&gt;=$D15,AF$4&lt;=$E15,WEEKDAY(AF$4,2)&lt;=5,COUNTIF('Sources &amp; Change Log'!$J$2:$J$5,AF$4)=0,COUNTIFS('Team Calendar'!$A$5:$A$12,$F15,'Team Calendar'!$C$5:$C$12,AF$4)=0),1,"")</f>
        <v/>
      </c>
      <c r="AG15" s="166">
        <f>IF(AND(ISNUMBER($D15),ISNUMBER($E15),AG$4&gt;=$D15,AG$4&lt;=$E15,WEEKDAY(AG$4,2)&lt;=5,COUNTIF('Sources &amp; Change Log'!$J$2:$J$5,AG$4)=0,COUNTIFS('Team Calendar'!$A$5:$A$12,$F15,'Team Calendar'!$C$5:$C$12,AG$4)=0),1,"")</f>
        <v/>
      </c>
      <c r="AH15" s="166">
        <f>IF(AND(ISNUMBER($D15),ISNUMBER($E15),AH$4&gt;=$D15,AH$4&lt;=$E15,WEEKDAY(AH$4,2)&lt;=5,COUNTIF('Sources &amp; Change Log'!$J$2:$J$5,AH$4)=0,COUNTIFS('Team Calendar'!$A$5:$A$12,$F15,'Team Calendar'!$C$5:$C$12,AH$4)=0),1,"")</f>
        <v/>
      </c>
      <c r="AI15" s="165">
        <f>IF(AND(ISNUMBER($D15),ISNUMBER($E15),AI$4&gt;=$D15,AI$4&lt;=$E15,WEEKDAY(AI$4,2)&lt;=5,COUNTIF('Sources &amp; Change Log'!$J$2:$J$5,AI$4)=0,COUNTIFS('Team Calendar'!$A$5:$A$12,$F15,'Team Calendar'!$C$5:$C$12,AI$4)=0),1,"")</f>
        <v/>
      </c>
    </row>
    <row r="16" ht="24" customHeight="1">
      <c r="A16" s="13">
        <f>WBS!A42</f>
        <v/>
      </c>
      <c r="B16" s="13">
        <f>WBS!B42</f>
        <v/>
      </c>
      <c r="C16" s="13">
        <f>WBS!G42</f>
        <v/>
      </c>
      <c r="D16" s="164">
        <f>IF(WBS!H42="","",WBS!H42)</f>
        <v/>
      </c>
      <c r="E16" s="164">
        <f>IF(WBS!I42="","",WBS!I42)</f>
        <v/>
      </c>
      <c r="F16" s="13">
        <f>WBS!L42</f>
        <v/>
      </c>
      <c r="G16" s="165">
        <f>IF(AND(ISNUMBER($D16),ISNUMBER($E16),G$4&gt;=$D16,G$4&lt;=$E16,WEEKDAY(G$4,2)&lt;=5,COUNTIF('Sources &amp; Change Log'!$J$2:$J$5,G$4)=0,COUNTIFS('Team Calendar'!$A$5:$A$12,$F16,'Team Calendar'!$C$5:$C$12,G$4)=0),1,"")</f>
        <v/>
      </c>
      <c r="H16" s="165">
        <f>IF(AND(ISNUMBER($D16),ISNUMBER($E16),H$4&gt;=$D16,H$4&lt;=$E16,WEEKDAY(H$4,2)&lt;=5,COUNTIF('Sources &amp; Change Log'!$J$2:$J$5,H$4)=0,COUNTIFS('Team Calendar'!$A$5:$A$12,$F16,'Team Calendar'!$C$5:$C$12,H$4)=0),1,"")</f>
        <v/>
      </c>
      <c r="I16" s="165">
        <f>IF(AND(ISNUMBER($D16),ISNUMBER($E16),I$4&gt;=$D16,I$4&lt;=$E16,WEEKDAY(I$4,2)&lt;=5,COUNTIF('Sources &amp; Change Log'!$J$2:$J$5,I$4)=0,COUNTIFS('Team Calendar'!$A$5:$A$12,$F16,'Team Calendar'!$C$5:$C$12,I$4)=0),1,"")</f>
        <v/>
      </c>
      <c r="J16" s="165">
        <f>IF(AND(ISNUMBER($D16),ISNUMBER($E16),J$4&gt;=$D16,J$4&lt;=$E16,WEEKDAY(J$4,2)&lt;=5,COUNTIF('Sources &amp; Change Log'!$J$2:$J$5,J$4)=0,COUNTIFS('Team Calendar'!$A$5:$A$12,$F16,'Team Calendar'!$C$5:$C$12,J$4)=0),1,"")</f>
        <v/>
      </c>
      <c r="K16" s="165">
        <f>IF(AND(ISNUMBER($D16),ISNUMBER($E16),K$4&gt;=$D16,K$4&lt;=$E16,WEEKDAY(K$4,2)&lt;=5,COUNTIF('Sources &amp; Change Log'!$J$2:$J$5,K$4)=0,COUNTIFS('Team Calendar'!$A$5:$A$12,$F16,'Team Calendar'!$C$5:$C$12,K$4)=0),1,"")</f>
        <v/>
      </c>
      <c r="L16" s="166">
        <f>IF(AND(ISNUMBER($D16),ISNUMBER($E16),L$4&gt;=$D16,L$4&lt;=$E16,WEEKDAY(L$4,2)&lt;=5,COUNTIF('Sources &amp; Change Log'!$J$2:$J$5,L$4)=0,COUNTIFS('Team Calendar'!$A$5:$A$12,$F16,'Team Calendar'!$C$5:$C$12,L$4)=0),1,"")</f>
        <v/>
      </c>
      <c r="M16" s="166">
        <f>IF(AND(ISNUMBER($D16),ISNUMBER($E16),M$4&gt;=$D16,M$4&lt;=$E16,WEEKDAY(M$4,2)&lt;=5,COUNTIF('Sources &amp; Change Log'!$J$2:$J$5,M$4)=0,COUNTIFS('Team Calendar'!$A$5:$A$12,$F16,'Team Calendar'!$C$5:$C$12,M$4)=0),1,"")</f>
        <v/>
      </c>
      <c r="N16" s="165">
        <f>IF(AND(ISNUMBER($D16),ISNUMBER($E16),N$4&gt;=$D16,N$4&lt;=$E16,WEEKDAY(N$4,2)&lt;=5,COUNTIF('Sources &amp; Change Log'!$J$2:$J$5,N$4)=0,COUNTIFS('Team Calendar'!$A$5:$A$12,$F16,'Team Calendar'!$C$5:$C$12,N$4)=0),1,"")</f>
        <v/>
      </c>
      <c r="O16" s="165">
        <f>IF(AND(ISNUMBER($D16),ISNUMBER($E16),O$4&gt;=$D16,O$4&lt;=$E16,WEEKDAY(O$4,2)&lt;=5,COUNTIF('Sources &amp; Change Log'!$J$2:$J$5,O$4)=0,COUNTIFS('Team Calendar'!$A$5:$A$12,$F16,'Team Calendar'!$C$5:$C$12,O$4)=0),1,"")</f>
        <v/>
      </c>
      <c r="P16" s="165">
        <f>IF(AND(ISNUMBER($D16),ISNUMBER($E16),P$4&gt;=$D16,P$4&lt;=$E16,WEEKDAY(P$4,2)&lt;=5,COUNTIF('Sources &amp; Change Log'!$J$2:$J$5,P$4)=0,COUNTIFS('Team Calendar'!$A$5:$A$12,$F16,'Team Calendar'!$C$5:$C$12,P$4)=0),1,"")</f>
        <v/>
      </c>
      <c r="Q16" s="165">
        <f>IF(AND(ISNUMBER($D16),ISNUMBER($E16),Q$4&gt;=$D16,Q$4&lt;=$E16,WEEKDAY(Q$4,2)&lt;=5,COUNTIF('Sources &amp; Change Log'!$J$2:$J$5,Q$4)=0,COUNTIFS('Team Calendar'!$A$5:$A$12,$F16,'Team Calendar'!$C$5:$C$12,Q$4)=0),1,"")</f>
        <v/>
      </c>
      <c r="R16" s="165">
        <f>IF(AND(ISNUMBER($D16),ISNUMBER($E16),R$4&gt;=$D16,R$4&lt;=$E16,WEEKDAY(R$4,2)&lt;=5,COUNTIF('Sources &amp; Change Log'!$J$2:$J$5,R$4)=0,COUNTIFS('Team Calendar'!$A$5:$A$12,$F16,'Team Calendar'!$C$5:$C$12,R$4)=0),1,"")</f>
        <v/>
      </c>
      <c r="S16" s="166">
        <f>IF(AND(ISNUMBER($D16),ISNUMBER($E16),S$4&gt;=$D16,S$4&lt;=$E16,WEEKDAY(S$4,2)&lt;=5,COUNTIF('Sources &amp; Change Log'!$J$2:$J$5,S$4)=0,COUNTIFS('Team Calendar'!$A$5:$A$12,$F16,'Team Calendar'!$C$5:$C$12,S$4)=0),1,"")</f>
        <v/>
      </c>
      <c r="T16" s="166">
        <f>IF(AND(ISNUMBER($D16),ISNUMBER($E16),T$4&gt;=$D16,T$4&lt;=$E16,WEEKDAY(T$4,2)&lt;=5,COUNTIF('Sources &amp; Change Log'!$J$2:$J$5,T$4)=0,COUNTIFS('Team Calendar'!$A$5:$A$12,$F16,'Team Calendar'!$C$5:$C$12,T$4)=0),1,"")</f>
        <v/>
      </c>
      <c r="U16" s="165">
        <f>IF(AND(ISNUMBER($D16),ISNUMBER($E16),U$4&gt;=$D16,U$4&lt;=$E16,WEEKDAY(U$4,2)&lt;=5,COUNTIF('Sources &amp; Change Log'!$J$2:$J$5,U$4)=0,COUNTIFS('Team Calendar'!$A$5:$A$12,$F16,'Team Calendar'!$C$5:$C$12,U$4)=0),1,"")</f>
        <v/>
      </c>
      <c r="V16" s="165">
        <f>IF(AND(ISNUMBER($D16),ISNUMBER($E16),V$4&gt;=$D16,V$4&lt;=$E16,WEEKDAY(V$4,2)&lt;=5,COUNTIF('Sources &amp; Change Log'!$J$2:$J$5,V$4)=0,COUNTIFS('Team Calendar'!$A$5:$A$12,$F16,'Team Calendar'!$C$5:$C$12,V$4)=0),1,"")</f>
        <v/>
      </c>
      <c r="W16" s="165">
        <f>IF(AND(ISNUMBER($D16),ISNUMBER($E16),W$4&gt;=$D16,W$4&lt;=$E16,WEEKDAY(W$4,2)&lt;=5,COUNTIF('Sources &amp; Change Log'!$J$2:$J$5,W$4)=0,COUNTIFS('Team Calendar'!$A$5:$A$12,$F16,'Team Calendar'!$C$5:$C$12,W$4)=0),1,"")</f>
        <v/>
      </c>
      <c r="X16" s="165">
        <f>IF(AND(ISNUMBER($D16),ISNUMBER($E16),X$4&gt;=$D16,X$4&lt;=$E16,WEEKDAY(X$4,2)&lt;=5,COUNTIF('Sources &amp; Change Log'!$J$2:$J$5,X$4)=0,COUNTIFS('Team Calendar'!$A$5:$A$12,$F16,'Team Calendar'!$C$5:$C$12,X$4)=0),1,"")</f>
        <v/>
      </c>
      <c r="Y16" s="165">
        <f>IF(AND(ISNUMBER($D16),ISNUMBER($E16),Y$4&gt;=$D16,Y$4&lt;=$E16,WEEKDAY(Y$4,2)&lt;=5,COUNTIF('Sources &amp; Change Log'!$J$2:$J$5,Y$4)=0,COUNTIFS('Team Calendar'!$A$5:$A$12,$F16,'Team Calendar'!$C$5:$C$12,Y$4)=0),1,"")</f>
        <v/>
      </c>
      <c r="Z16" s="166">
        <f>IF(AND(ISNUMBER($D16),ISNUMBER($E16),Z$4&gt;=$D16,Z$4&lt;=$E16,WEEKDAY(Z$4,2)&lt;=5,COUNTIF('Sources &amp; Change Log'!$J$2:$J$5,Z$4)=0,COUNTIFS('Team Calendar'!$A$5:$A$12,$F16,'Team Calendar'!$C$5:$C$12,Z$4)=0),1,"")</f>
        <v/>
      </c>
      <c r="AA16" s="166">
        <f>IF(AND(ISNUMBER($D16),ISNUMBER($E16),AA$4&gt;=$D16,AA$4&lt;=$E16,WEEKDAY(AA$4,2)&lt;=5,COUNTIF('Sources &amp; Change Log'!$J$2:$J$5,AA$4)=0,COUNTIFS('Team Calendar'!$A$5:$A$12,$F16,'Team Calendar'!$C$5:$C$12,AA$4)=0),1,"")</f>
        <v/>
      </c>
      <c r="AB16" s="165">
        <f>IF(AND(ISNUMBER($D16),ISNUMBER($E16),AB$4&gt;=$D16,AB$4&lt;=$E16,WEEKDAY(AB$4,2)&lt;=5,COUNTIF('Sources &amp; Change Log'!$J$2:$J$5,AB$4)=0,COUNTIFS('Team Calendar'!$A$5:$A$12,$F16,'Team Calendar'!$C$5:$C$12,AB$4)=0),1,"")</f>
        <v/>
      </c>
      <c r="AC16" s="165">
        <f>IF(AND(ISNUMBER($D16),ISNUMBER($E16),AC$4&gt;=$D16,AC$4&lt;=$E16,WEEKDAY(AC$4,2)&lt;=5,COUNTIF('Sources &amp; Change Log'!$J$2:$J$5,AC$4)=0,COUNTIFS('Team Calendar'!$A$5:$A$12,$F16,'Team Calendar'!$C$5:$C$12,AC$4)=0),1,"")</f>
        <v/>
      </c>
      <c r="AD16" s="165">
        <f>IF(AND(ISNUMBER($D16),ISNUMBER($E16),AD$4&gt;=$D16,AD$4&lt;=$E16,WEEKDAY(AD$4,2)&lt;=5,COUNTIF('Sources &amp; Change Log'!$J$2:$J$5,AD$4)=0,COUNTIFS('Team Calendar'!$A$5:$A$12,$F16,'Team Calendar'!$C$5:$C$12,AD$4)=0),1,"")</f>
        <v/>
      </c>
      <c r="AE16" s="165">
        <f>IF(AND(ISNUMBER($D16),ISNUMBER($E16),AE$4&gt;=$D16,AE$4&lt;=$E16,WEEKDAY(AE$4,2)&lt;=5,COUNTIF('Sources &amp; Change Log'!$J$2:$J$5,AE$4)=0,COUNTIFS('Team Calendar'!$A$5:$A$12,$F16,'Team Calendar'!$C$5:$C$12,AE$4)=0),1,"")</f>
        <v/>
      </c>
      <c r="AF16" s="165">
        <f>IF(AND(ISNUMBER($D16),ISNUMBER($E16),AF$4&gt;=$D16,AF$4&lt;=$E16,WEEKDAY(AF$4,2)&lt;=5,COUNTIF('Sources &amp; Change Log'!$J$2:$J$5,AF$4)=0,COUNTIFS('Team Calendar'!$A$5:$A$12,$F16,'Team Calendar'!$C$5:$C$12,AF$4)=0),1,"")</f>
        <v/>
      </c>
      <c r="AG16" s="166">
        <f>IF(AND(ISNUMBER($D16),ISNUMBER($E16),AG$4&gt;=$D16,AG$4&lt;=$E16,WEEKDAY(AG$4,2)&lt;=5,COUNTIF('Sources &amp; Change Log'!$J$2:$J$5,AG$4)=0,COUNTIFS('Team Calendar'!$A$5:$A$12,$F16,'Team Calendar'!$C$5:$C$12,AG$4)=0),1,"")</f>
        <v/>
      </c>
      <c r="AH16" s="166">
        <f>IF(AND(ISNUMBER($D16),ISNUMBER($E16),AH$4&gt;=$D16,AH$4&lt;=$E16,WEEKDAY(AH$4,2)&lt;=5,COUNTIF('Sources &amp; Change Log'!$J$2:$J$5,AH$4)=0,COUNTIFS('Team Calendar'!$A$5:$A$12,$F16,'Team Calendar'!$C$5:$C$12,AH$4)=0),1,"")</f>
        <v/>
      </c>
      <c r="AI16" s="165">
        <f>IF(AND(ISNUMBER($D16),ISNUMBER($E16),AI$4&gt;=$D16,AI$4&lt;=$E16,WEEKDAY(AI$4,2)&lt;=5,COUNTIF('Sources &amp; Change Log'!$J$2:$J$5,AI$4)=0,COUNTIFS('Team Calendar'!$A$5:$A$12,$F16,'Team Calendar'!$C$5:$C$12,AI$4)=0),1,"")</f>
        <v/>
      </c>
    </row>
    <row r="17" ht="24" customHeight="1">
      <c r="A17" s="13">
        <f>WBS!A43</f>
        <v/>
      </c>
      <c r="B17" s="13">
        <f>WBS!B43</f>
        <v/>
      </c>
      <c r="C17" s="13">
        <f>WBS!G43</f>
        <v/>
      </c>
      <c r="D17" s="164">
        <f>IF(WBS!H43="","",WBS!H43)</f>
        <v/>
      </c>
      <c r="E17" s="164">
        <f>IF(WBS!I43="","",WBS!I43)</f>
        <v/>
      </c>
      <c r="F17" s="13">
        <f>WBS!L43</f>
        <v/>
      </c>
      <c r="G17" s="165">
        <f>IF(AND(ISNUMBER($D17),ISNUMBER($E17),G$4&gt;=$D17,G$4&lt;=$E17,WEEKDAY(G$4,2)&lt;=5,COUNTIF('Sources &amp; Change Log'!$J$2:$J$5,G$4)=0,COUNTIFS('Team Calendar'!$A$5:$A$12,$F17,'Team Calendar'!$C$5:$C$12,G$4)=0),1,"")</f>
        <v/>
      </c>
      <c r="H17" s="165">
        <f>IF(AND(ISNUMBER($D17),ISNUMBER($E17),H$4&gt;=$D17,H$4&lt;=$E17,WEEKDAY(H$4,2)&lt;=5,COUNTIF('Sources &amp; Change Log'!$J$2:$J$5,H$4)=0,COUNTIFS('Team Calendar'!$A$5:$A$12,$F17,'Team Calendar'!$C$5:$C$12,H$4)=0),1,"")</f>
        <v/>
      </c>
      <c r="I17" s="165">
        <f>IF(AND(ISNUMBER($D17),ISNUMBER($E17),I$4&gt;=$D17,I$4&lt;=$E17,WEEKDAY(I$4,2)&lt;=5,COUNTIF('Sources &amp; Change Log'!$J$2:$J$5,I$4)=0,COUNTIFS('Team Calendar'!$A$5:$A$12,$F17,'Team Calendar'!$C$5:$C$12,I$4)=0),1,"")</f>
        <v/>
      </c>
      <c r="J17" s="165">
        <f>IF(AND(ISNUMBER($D17),ISNUMBER($E17),J$4&gt;=$D17,J$4&lt;=$E17,WEEKDAY(J$4,2)&lt;=5,COUNTIF('Sources &amp; Change Log'!$J$2:$J$5,J$4)=0,COUNTIFS('Team Calendar'!$A$5:$A$12,$F17,'Team Calendar'!$C$5:$C$12,J$4)=0),1,"")</f>
        <v/>
      </c>
      <c r="K17" s="165">
        <f>IF(AND(ISNUMBER($D17),ISNUMBER($E17),K$4&gt;=$D17,K$4&lt;=$E17,WEEKDAY(K$4,2)&lt;=5,COUNTIF('Sources &amp; Change Log'!$J$2:$J$5,K$4)=0,COUNTIFS('Team Calendar'!$A$5:$A$12,$F17,'Team Calendar'!$C$5:$C$12,K$4)=0),1,"")</f>
        <v/>
      </c>
      <c r="L17" s="166">
        <f>IF(AND(ISNUMBER($D17),ISNUMBER($E17),L$4&gt;=$D17,L$4&lt;=$E17,WEEKDAY(L$4,2)&lt;=5,COUNTIF('Sources &amp; Change Log'!$J$2:$J$5,L$4)=0,COUNTIFS('Team Calendar'!$A$5:$A$12,$F17,'Team Calendar'!$C$5:$C$12,L$4)=0),1,"")</f>
        <v/>
      </c>
      <c r="M17" s="166">
        <f>IF(AND(ISNUMBER($D17),ISNUMBER($E17),M$4&gt;=$D17,M$4&lt;=$E17,WEEKDAY(M$4,2)&lt;=5,COUNTIF('Sources &amp; Change Log'!$J$2:$J$5,M$4)=0,COUNTIFS('Team Calendar'!$A$5:$A$12,$F17,'Team Calendar'!$C$5:$C$12,M$4)=0),1,"")</f>
        <v/>
      </c>
      <c r="N17" s="165">
        <f>IF(AND(ISNUMBER($D17),ISNUMBER($E17),N$4&gt;=$D17,N$4&lt;=$E17,WEEKDAY(N$4,2)&lt;=5,COUNTIF('Sources &amp; Change Log'!$J$2:$J$5,N$4)=0,COUNTIFS('Team Calendar'!$A$5:$A$12,$F17,'Team Calendar'!$C$5:$C$12,N$4)=0),1,"")</f>
        <v/>
      </c>
      <c r="O17" s="165">
        <f>IF(AND(ISNUMBER($D17),ISNUMBER($E17),O$4&gt;=$D17,O$4&lt;=$E17,WEEKDAY(O$4,2)&lt;=5,COUNTIF('Sources &amp; Change Log'!$J$2:$J$5,O$4)=0,COUNTIFS('Team Calendar'!$A$5:$A$12,$F17,'Team Calendar'!$C$5:$C$12,O$4)=0),1,"")</f>
        <v/>
      </c>
      <c r="P17" s="165">
        <f>IF(AND(ISNUMBER($D17),ISNUMBER($E17),P$4&gt;=$D17,P$4&lt;=$E17,WEEKDAY(P$4,2)&lt;=5,COUNTIF('Sources &amp; Change Log'!$J$2:$J$5,P$4)=0,COUNTIFS('Team Calendar'!$A$5:$A$12,$F17,'Team Calendar'!$C$5:$C$12,P$4)=0),1,"")</f>
        <v/>
      </c>
      <c r="Q17" s="165">
        <f>IF(AND(ISNUMBER($D17),ISNUMBER($E17),Q$4&gt;=$D17,Q$4&lt;=$E17,WEEKDAY(Q$4,2)&lt;=5,COUNTIF('Sources &amp; Change Log'!$J$2:$J$5,Q$4)=0,COUNTIFS('Team Calendar'!$A$5:$A$12,$F17,'Team Calendar'!$C$5:$C$12,Q$4)=0),1,"")</f>
        <v/>
      </c>
      <c r="R17" s="165">
        <f>IF(AND(ISNUMBER($D17),ISNUMBER($E17),R$4&gt;=$D17,R$4&lt;=$E17,WEEKDAY(R$4,2)&lt;=5,COUNTIF('Sources &amp; Change Log'!$J$2:$J$5,R$4)=0,COUNTIFS('Team Calendar'!$A$5:$A$12,$F17,'Team Calendar'!$C$5:$C$12,R$4)=0),1,"")</f>
        <v/>
      </c>
      <c r="S17" s="166">
        <f>IF(AND(ISNUMBER($D17),ISNUMBER($E17),S$4&gt;=$D17,S$4&lt;=$E17,WEEKDAY(S$4,2)&lt;=5,COUNTIF('Sources &amp; Change Log'!$J$2:$J$5,S$4)=0,COUNTIFS('Team Calendar'!$A$5:$A$12,$F17,'Team Calendar'!$C$5:$C$12,S$4)=0),1,"")</f>
        <v/>
      </c>
      <c r="T17" s="166">
        <f>IF(AND(ISNUMBER($D17),ISNUMBER($E17),T$4&gt;=$D17,T$4&lt;=$E17,WEEKDAY(T$4,2)&lt;=5,COUNTIF('Sources &amp; Change Log'!$J$2:$J$5,T$4)=0,COUNTIFS('Team Calendar'!$A$5:$A$12,$F17,'Team Calendar'!$C$5:$C$12,T$4)=0),1,"")</f>
        <v/>
      </c>
      <c r="U17" s="165">
        <f>IF(AND(ISNUMBER($D17),ISNUMBER($E17),U$4&gt;=$D17,U$4&lt;=$E17,WEEKDAY(U$4,2)&lt;=5,COUNTIF('Sources &amp; Change Log'!$J$2:$J$5,U$4)=0,COUNTIFS('Team Calendar'!$A$5:$A$12,$F17,'Team Calendar'!$C$5:$C$12,U$4)=0),1,"")</f>
        <v/>
      </c>
      <c r="V17" s="165">
        <f>IF(AND(ISNUMBER($D17),ISNUMBER($E17),V$4&gt;=$D17,V$4&lt;=$E17,WEEKDAY(V$4,2)&lt;=5,COUNTIF('Sources &amp; Change Log'!$J$2:$J$5,V$4)=0,COUNTIFS('Team Calendar'!$A$5:$A$12,$F17,'Team Calendar'!$C$5:$C$12,V$4)=0),1,"")</f>
        <v/>
      </c>
      <c r="W17" s="165">
        <f>IF(AND(ISNUMBER($D17),ISNUMBER($E17),W$4&gt;=$D17,W$4&lt;=$E17,WEEKDAY(W$4,2)&lt;=5,COUNTIF('Sources &amp; Change Log'!$J$2:$J$5,W$4)=0,COUNTIFS('Team Calendar'!$A$5:$A$12,$F17,'Team Calendar'!$C$5:$C$12,W$4)=0),1,"")</f>
        <v/>
      </c>
      <c r="X17" s="165">
        <f>IF(AND(ISNUMBER($D17),ISNUMBER($E17),X$4&gt;=$D17,X$4&lt;=$E17,WEEKDAY(X$4,2)&lt;=5,COUNTIF('Sources &amp; Change Log'!$J$2:$J$5,X$4)=0,COUNTIFS('Team Calendar'!$A$5:$A$12,$F17,'Team Calendar'!$C$5:$C$12,X$4)=0),1,"")</f>
        <v/>
      </c>
      <c r="Y17" s="165">
        <f>IF(AND(ISNUMBER($D17),ISNUMBER($E17),Y$4&gt;=$D17,Y$4&lt;=$E17,WEEKDAY(Y$4,2)&lt;=5,COUNTIF('Sources &amp; Change Log'!$J$2:$J$5,Y$4)=0,COUNTIFS('Team Calendar'!$A$5:$A$12,$F17,'Team Calendar'!$C$5:$C$12,Y$4)=0),1,"")</f>
        <v/>
      </c>
      <c r="Z17" s="166">
        <f>IF(AND(ISNUMBER($D17),ISNUMBER($E17),Z$4&gt;=$D17,Z$4&lt;=$E17,WEEKDAY(Z$4,2)&lt;=5,COUNTIF('Sources &amp; Change Log'!$J$2:$J$5,Z$4)=0,COUNTIFS('Team Calendar'!$A$5:$A$12,$F17,'Team Calendar'!$C$5:$C$12,Z$4)=0),1,"")</f>
        <v/>
      </c>
      <c r="AA17" s="166">
        <f>IF(AND(ISNUMBER($D17),ISNUMBER($E17),AA$4&gt;=$D17,AA$4&lt;=$E17,WEEKDAY(AA$4,2)&lt;=5,COUNTIF('Sources &amp; Change Log'!$J$2:$J$5,AA$4)=0,COUNTIFS('Team Calendar'!$A$5:$A$12,$F17,'Team Calendar'!$C$5:$C$12,AA$4)=0),1,"")</f>
        <v/>
      </c>
      <c r="AB17" s="165">
        <f>IF(AND(ISNUMBER($D17),ISNUMBER($E17),AB$4&gt;=$D17,AB$4&lt;=$E17,WEEKDAY(AB$4,2)&lt;=5,COUNTIF('Sources &amp; Change Log'!$J$2:$J$5,AB$4)=0,COUNTIFS('Team Calendar'!$A$5:$A$12,$F17,'Team Calendar'!$C$5:$C$12,AB$4)=0),1,"")</f>
        <v/>
      </c>
      <c r="AC17" s="165">
        <f>IF(AND(ISNUMBER($D17),ISNUMBER($E17),AC$4&gt;=$D17,AC$4&lt;=$E17,WEEKDAY(AC$4,2)&lt;=5,COUNTIF('Sources &amp; Change Log'!$J$2:$J$5,AC$4)=0,COUNTIFS('Team Calendar'!$A$5:$A$12,$F17,'Team Calendar'!$C$5:$C$12,AC$4)=0),1,"")</f>
        <v/>
      </c>
      <c r="AD17" s="165">
        <f>IF(AND(ISNUMBER($D17),ISNUMBER($E17),AD$4&gt;=$D17,AD$4&lt;=$E17,WEEKDAY(AD$4,2)&lt;=5,COUNTIF('Sources &amp; Change Log'!$J$2:$J$5,AD$4)=0,COUNTIFS('Team Calendar'!$A$5:$A$12,$F17,'Team Calendar'!$C$5:$C$12,AD$4)=0),1,"")</f>
        <v/>
      </c>
      <c r="AE17" s="165">
        <f>IF(AND(ISNUMBER($D17),ISNUMBER($E17),AE$4&gt;=$D17,AE$4&lt;=$E17,WEEKDAY(AE$4,2)&lt;=5,COUNTIF('Sources &amp; Change Log'!$J$2:$J$5,AE$4)=0,COUNTIFS('Team Calendar'!$A$5:$A$12,$F17,'Team Calendar'!$C$5:$C$12,AE$4)=0),1,"")</f>
        <v/>
      </c>
      <c r="AF17" s="165">
        <f>IF(AND(ISNUMBER($D17),ISNUMBER($E17),AF$4&gt;=$D17,AF$4&lt;=$E17,WEEKDAY(AF$4,2)&lt;=5,COUNTIF('Sources &amp; Change Log'!$J$2:$J$5,AF$4)=0,COUNTIFS('Team Calendar'!$A$5:$A$12,$F17,'Team Calendar'!$C$5:$C$12,AF$4)=0),1,"")</f>
        <v/>
      </c>
      <c r="AG17" s="166">
        <f>IF(AND(ISNUMBER($D17),ISNUMBER($E17),AG$4&gt;=$D17,AG$4&lt;=$E17,WEEKDAY(AG$4,2)&lt;=5,COUNTIF('Sources &amp; Change Log'!$J$2:$J$5,AG$4)=0,COUNTIFS('Team Calendar'!$A$5:$A$12,$F17,'Team Calendar'!$C$5:$C$12,AG$4)=0),1,"")</f>
        <v/>
      </c>
      <c r="AH17" s="166">
        <f>IF(AND(ISNUMBER($D17),ISNUMBER($E17),AH$4&gt;=$D17,AH$4&lt;=$E17,WEEKDAY(AH$4,2)&lt;=5,COUNTIF('Sources &amp; Change Log'!$J$2:$J$5,AH$4)=0,COUNTIFS('Team Calendar'!$A$5:$A$12,$F17,'Team Calendar'!$C$5:$C$12,AH$4)=0),1,"")</f>
        <v/>
      </c>
      <c r="AI17" s="165">
        <f>IF(AND(ISNUMBER($D17),ISNUMBER($E17),AI$4&gt;=$D17,AI$4&lt;=$E17,WEEKDAY(AI$4,2)&lt;=5,COUNTIF('Sources &amp; Change Log'!$J$2:$J$5,AI$4)=0,COUNTIFS('Team Calendar'!$A$5:$A$12,$F17,'Team Calendar'!$C$5:$C$12,AI$4)=0),1,"")</f>
        <v/>
      </c>
    </row>
    <row r="18" ht="24" customHeight="1">
      <c r="A18" s="13">
        <f>WBS!A44</f>
        <v/>
      </c>
      <c r="B18" s="13">
        <f>WBS!B44</f>
        <v/>
      </c>
      <c r="C18" s="13">
        <f>WBS!G44</f>
        <v/>
      </c>
      <c r="D18" s="164">
        <f>IF(WBS!H44="","",WBS!H44)</f>
        <v/>
      </c>
      <c r="E18" s="164">
        <f>IF(WBS!I44="","",WBS!I44)</f>
        <v/>
      </c>
      <c r="F18" s="13">
        <f>WBS!L44</f>
        <v/>
      </c>
      <c r="G18" s="165">
        <f>IF(AND(ISNUMBER($D18),ISNUMBER($E18),G$4&gt;=$D18,G$4&lt;=$E18,WEEKDAY(G$4,2)&lt;=5,COUNTIF('Sources &amp; Change Log'!$J$2:$J$5,G$4)=0,COUNTIFS('Team Calendar'!$A$5:$A$12,$F18,'Team Calendar'!$C$5:$C$12,G$4)=0),1,"")</f>
        <v/>
      </c>
      <c r="H18" s="165">
        <f>IF(AND(ISNUMBER($D18),ISNUMBER($E18),H$4&gt;=$D18,H$4&lt;=$E18,WEEKDAY(H$4,2)&lt;=5,COUNTIF('Sources &amp; Change Log'!$J$2:$J$5,H$4)=0,COUNTIFS('Team Calendar'!$A$5:$A$12,$F18,'Team Calendar'!$C$5:$C$12,H$4)=0),1,"")</f>
        <v/>
      </c>
      <c r="I18" s="165">
        <f>IF(AND(ISNUMBER($D18),ISNUMBER($E18),I$4&gt;=$D18,I$4&lt;=$E18,WEEKDAY(I$4,2)&lt;=5,COUNTIF('Sources &amp; Change Log'!$J$2:$J$5,I$4)=0,COUNTIFS('Team Calendar'!$A$5:$A$12,$F18,'Team Calendar'!$C$5:$C$12,I$4)=0),1,"")</f>
        <v/>
      </c>
      <c r="J18" s="165">
        <f>IF(AND(ISNUMBER($D18),ISNUMBER($E18),J$4&gt;=$D18,J$4&lt;=$E18,WEEKDAY(J$4,2)&lt;=5,COUNTIF('Sources &amp; Change Log'!$J$2:$J$5,J$4)=0,COUNTIFS('Team Calendar'!$A$5:$A$12,$F18,'Team Calendar'!$C$5:$C$12,J$4)=0),1,"")</f>
        <v/>
      </c>
      <c r="K18" s="165">
        <f>IF(AND(ISNUMBER($D18),ISNUMBER($E18),K$4&gt;=$D18,K$4&lt;=$E18,WEEKDAY(K$4,2)&lt;=5,COUNTIF('Sources &amp; Change Log'!$J$2:$J$5,K$4)=0,COUNTIFS('Team Calendar'!$A$5:$A$12,$F18,'Team Calendar'!$C$5:$C$12,K$4)=0),1,"")</f>
        <v/>
      </c>
      <c r="L18" s="166">
        <f>IF(AND(ISNUMBER($D18),ISNUMBER($E18),L$4&gt;=$D18,L$4&lt;=$E18,WEEKDAY(L$4,2)&lt;=5,COUNTIF('Sources &amp; Change Log'!$J$2:$J$5,L$4)=0,COUNTIFS('Team Calendar'!$A$5:$A$12,$F18,'Team Calendar'!$C$5:$C$12,L$4)=0),1,"")</f>
        <v/>
      </c>
      <c r="M18" s="166">
        <f>IF(AND(ISNUMBER($D18),ISNUMBER($E18),M$4&gt;=$D18,M$4&lt;=$E18,WEEKDAY(M$4,2)&lt;=5,COUNTIF('Sources &amp; Change Log'!$J$2:$J$5,M$4)=0,COUNTIFS('Team Calendar'!$A$5:$A$12,$F18,'Team Calendar'!$C$5:$C$12,M$4)=0),1,"")</f>
        <v/>
      </c>
      <c r="N18" s="165">
        <f>IF(AND(ISNUMBER($D18),ISNUMBER($E18),N$4&gt;=$D18,N$4&lt;=$E18,WEEKDAY(N$4,2)&lt;=5,COUNTIF('Sources &amp; Change Log'!$J$2:$J$5,N$4)=0,COUNTIFS('Team Calendar'!$A$5:$A$12,$F18,'Team Calendar'!$C$5:$C$12,N$4)=0),1,"")</f>
        <v/>
      </c>
      <c r="O18" s="165">
        <f>IF(AND(ISNUMBER($D18),ISNUMBER($E18),O$4&gt;=$D18,O$4&lt;=$E18,WEEKDAY(O$4,2)&lt;=5,COUNTIF('Sources &amp; Change Log'!$J$2:$J$5,O$4)=0,COUNTIFS('Team Calendar'!$A$5:$A$12,$F18,'Team Calendar'!$C$5:$C$12,O$4)=0),1,"")</f>
        <v/>
      </c>
      <c r="P18" s="165">
        <f>IF(AND(ISNUMBER($D18),ISNUMBER($E18),P$4&gt;=$D18,P$4&lt;=$E18,WEEKDAY(P$4,2)&lt;=5,COUNTIF('Sources &amp; Change Log'!$J$2:$J$5,P$4)=0,COUNTIFS('Team Calendar'!$A$5:$A$12,$F18,'Team Calendar'!$C$5:$C$12,P$4)=0),1,"")</f>
        <v/>
      </c>
      <c r="Q18" s="165">
        <f>IF(AND(ISNUMBER($D18),ISNUMBER($E18),Q$4&gt;=$D18,Q$4&lt;=$E18,WEEKDAY(Q$4,2)&lt;=5,COUNTIF('Sources &amp; Change Log'!$J$2:$J$5,Q$4)=0,COUNTIFS('Team Calendar'!$A$5:$A$12,$F18,'Team Calendar'!$C$5:$C$12,Q$4)=0),1,"")</f>
        <v/>
      </c>
      <c r="R18" s="165">
        <f>IF(AND(ISNUMBER($D18),ISNUMBER($E18),R$4&gt;=$D18,R$4&lt;=$E18,WEEKDAY(R$4,2)&lt;=5,COUNTIF('Sources &amp; Change Log'!$J$2:$J$5,R$4)=0,COUNTIFS('Team Calendar'!$A$5:$A$12,$F18,'Team Calendar'!$C$5:$C$12,R$4)=0),1,"")</f>
        <v/>
      </c>
      <c r="S18" s="166">
        <f>IF(AND(ISNUMBER($D18),ISNUMBER($E18),S$4&gt;=$D18,S$4&lt;=$E18,WEEKDAY(S$4,2)&lt;=5,COUNTIF('Sources &amp; Change Log'!$J$2:$J$5,S$4)=0,COUNTIFS('Team Calendar'!$A$5:$A$12,$F18,'Team Calendar'!$C$5:$C$12,S$4)=0),1,"")</f>
        <v/>
      </c>
      <c r="T18" s="166">
        <f>IF(AND(ISNUMBER($D18),ISNUMBER($E18),T$4&gt;=$D18,T$4&lt;=$E18,WEEKDAY(T$4,2)&lt;=5,COUNTIF('Sources &amp; Change Log'!$J$2:$J$5,T$4)=0,COUNTIFS('Team Calendar'!$A$5:$A$12,$F18,'Team Calendar'!$C$5:$C$12,T$4)=0),1,"")</f>
        <v/>
      </c>
      <c r="U18" s="165">
        <f>IF(AND(ISNUMBER($D18),ISNUMBER($E18),U$4&gt;=$D18,U$4&lt;=$E18,WEEKDAY(U$4,2)&lt;=5,COUNTIF('Sources &amp; Change Log'!$J$2:$J$5,U$4)=0,COUNTIFS('Team Calendar'!$A$5:$A$12,$F18,'Team Calendar'!$C$5:$C$12,U$4)=0),1,"")</f>
        <v/>
      </c>
      <c r="V18" s="165">
        <f>IF(AND(ISNUMBER($D18),ISNUMBER($E18),V$4&gt;=$D18,V$4&lt;=$E18,WEEKDAY(V$4,2)&lt;=5,COUNTIF('Sources &amp; Change Log'!$J$2:$J$5,V$4)=0,COUNTIFS('Team Calendar'!$A$5:$A$12,$F18,'Team Calendar'!$C$5:$C$12,V$4)=0),1,"")</f>
        <v/>
      </c>
      <c r="W18" s="165">
        <f>IF(AND(ISNUMBER($D18),ISNUMBER($E18),W$4&gt;=$D18,W$4&lt;=$E18,WEEKDAY(W$4,2)&lt;=5,COUNTIF('Sources &amp; Change Log'!$J$2:$J$5,W$4)=0,COUNTIFS('Team Calendar'!$A$5:$A$12,$F18,'Team Calendar'!$C$5:$C$12,W$4)=0),1,"")</f>
        <v/>
      </c>
      <c r="X18" s="165">
        <f>IF(AND(ISNUMBER($D18),ISNUMBER($E18),X$4&gt;=$D18,X$4&lt;=$E18,WEEKDAY(X$4,2)&lt;=5,COUNTIF('Sources &amp; Change Log'!$J$2:$J$5,X$4)=0,COUNTIFS('Team Calendar'!$A$5:$A$12,$F18,'Team Calendar'!$C$5:$C$12,X$4)=0),1,"")</f>
        <v/>
      </c>
      <c r="Y18" s="165">
        <f>IF(AND(ISNUMBER($D18),ISNUMBER($E18),Y$4&gt;=$D18,Y$4&lt;=$E18,WEEKDAY(Y$4,2)&lt;=5,COUNTIF('Sources &amp; Change Log'!$J$2:$J$5,Y$4)=0,COUNTIFS('Team Calendar'!$A$5:$A$12,$F18,'Team Calendar'!$C$5:$C$12,Y$4)=0),1,"")</f>
        <v/>
      </c>
      <c r="Z18" s="166">
        <f>IF(AND(ISNUMBER($D18),ISNUMBER($E18),Z$4&gt;=$D18,Z$4&lt;=$E18,WEEKDAY(Z$4,2)&lt;=5,COUNTIF('Sources &amp; Change Log'!$J$2:$J$5,Z$4)=0,COUNTIFS('Team Calendar'!$A$5:$A$12,$F18,'Team Calendar'!$C$5:$C$12,Z$4)=0),1,"")</f>
        <v/>
      </c>
      <c r="AA18" s="166">
        <f>IF(AND(ISNUMBER($D18),ISNUMBER($E18),AA$4&gt;=$D18,AA$4&lt;=$E18,WEEKDAY(AA$4,2)&lt;=5,COUNTIF('Sources &amp; Change Log'!$J$2:$J$5,AA$4)=0,COUNTIFS('Team Calendar'!$A$5:$A$12,$F18,'Team Calendar'!$C$5:$C$12,AA$4)=0),1,"")</f>
        <v/>
      </c>
      <c r="AB18" s="165">
        <f>IF(AND(ISNUMBER($D18),ISNUMBER($E18),AB$4&gt;=$D18,AB$4&lt;=$E18,WEEKDAY(AB$4,2)&lt;=5,COUNTIF('Sources &amp; Change Log'!$J$2:$J$5,AB$4)=0,COUNTIFS('Team Calendar'!$A$5:$A$12,$F18,'Team Calendar'!$C$5:$C$12,AB$4)=0),1,"")</f>
        <v/>
      </c>
      <c r="AC18" s="165">
        <f>IF(AND(ISNUMBER($D18),ISNUMBER($E18),AC$4&gt;=$D18,AC$4&lt;=$E18,WEEKDAY(AC$4,2)&lt;=5,COUNTIF('Sources &amp; Change Log'!$J$2:$J$5,AC$4)=0,COUNTIFS('Team Calendar'!$A$5:$A$12,$F18,'Team Calendar'!$C$5:$C$12,AC$4)=0),1,"")</f>
        <v/>
      </c>
      <c r="AD18" s="165">
        <f>IF(AND(ISNUMBER($D18),ISNUMBER($E18),AD$4&gt;=$D18,AD$4&lt;=$E18,WEEKDAY(AD$4,2)&lt;=5,COUNTIF('Sources &amp; Change Log'!$J$2:$J$5,AD$4)=0,COUNTIFS('Team Calendar'!$A$5:$A$12,$F18,'Team Calendar'!$C$5:$C$12,AD$4)=0),1,"")</f>
        <v/>
      </c>
      <c r="AE18" s="165">
        <f>IF(AND(ISNUMBER($D18),ISNUMBER($E18),AE$4&gt;=$D18,AE$4&lt;=$E18,WEEKDAY(AE$4,2)&lt;=5,COUNTIF('Sources &amp; Change Log'!$J$2:$J$5,AE$4)=0,COUNTIFS('Team Calendar'!$A$5:$A$12,$F18,'Team Calendar'!$C$5:$C$12,AE$4)=0),1,"")</f>
        <v/>
      </c>
      <c r="AF18" s="165">
        <f>IF(AND(ISNUMBER($D18),ISNUMBER($E18),AF$4&gt;=$D18,AF$4&lt;=$E18,WEEKDAY(AF$4,2)&lt;=5,COUNTIF('Sources &amp; Change Log'!$J$2:$J$5,AF$4)=0,COUNTIFS('Team Calendar'!$A$5:$A$12,$F18,'Team Calendar'!$C$5:$C$12,AF$4)=0),1,"")</f>
        <v/>
      </c>
      <c r="AG18" s="166">
        <f>IF(AND(ISNUMBER($D18),ISNUMBER($E18),AG$4&gt;=$D18,AG$4&lt;=$E18,WEEKDAY(AG$4,2)&lt;=5,COUNTIF('Sources &amp; Change Log'!$J$2:$J$5,AG$4)=0,COUNTIFS('Team Calendar'!$A$5:$A$12,$F18,'Team Calendar'!$C$5:$C$12,AG$4)=0),1,"")</f>
        <v/>
      </c>
      <c r="AH18" s="166">
        <f>IF(AND(ISNUMBER($D18),ISNUMBER($E18),AH$4&gt;=$D18,AH$4&lt;=$E18,WEEKDAY(AH$4,2)&lt;=5,COUNTIF('Sources &amp; Change Log'!$J$2:$J$5,AH$4)=0,COUNTIFS('Team Calendar'!$A$5:$A$12,$F18,'Team Calendar'!$C$5:$C$12,AH$4)=0),1,"")</f>
        <v/>
      </c>
      <c r="AI18" s="165">
        <f>IF(AND(ISNUMBER($D18),ISNUMBER($E18),AI$4&gt;=$D18,AI$4&lt;=$E18,WEEKDAY(AI$4,2)&lt;=5,COUNTIF('Sources &amp; Change Log'!$J$2:$J$5,AI$4)=0,COUNTIFS('Team Calendar'!$A$5:$A$12,$F18,'Team Calendar'!$C$5:$C$12,AI$4)=0),1,"")</f>
        <v/>
      </c>
    </row>
    <row r="19" ht="24" customHeight="1">
      <c r="A19" s="13">
        <f>WBS!A45</f>
        <v/>
      </c>
      <c r="B19" s="13">
        <f>WBS!B45</f>
        <v/>
      </c>
      <c r="C19" s="13">
        <f>WBS!G45</f>
        <v/>
      </c>
      <c r="D19" s="164">
        <f>IF(WBS!H45="","",WBS!H45)</f>
        <v/>
      </c>
      <c r="E19" s="164">
        <f>IF(WBS!I45="","",WBS!I45)</f>
        <v/>
      </c>
      <c r="F19" s="13">
        <f>WBS!L45</f>
        <v/>
      </c>
      <c r="G19" s="165">
        <f>IF(AND(ISNUMBER($D19),ISNUMBER($E19),G$4&gt;=$D19,G$4&lt;=$E19,WEEKDAY(G$4,2)&lt;=5,COUNTIF('Sources &amp; Change Log'!$J$2:$J$5,G$4)=0,COUNTIFS('Team Calendar'!$A$5:$A$12,$F19,'Team Calendar'!$C$5:$C$12,G$4)=0),1,"")</f>
        <v/>
      </c>
      <c r="H19" s="165">
        <f>IF(AND(ISNUMBER($D19),ISNUMBER($E19),H$4&gt;=$D19,H$4&lt;=$E19,WEEKDAY(H$4,2)&lt;=5,COUNTIF('Sources &amp; Change Log'!$J$2:$J$5,H$4)=0,COUNTIFS('Team Calendar'!$A$5:$A$12,$F19,'Team Calendar'!$C$5:$C$12,H$4)=0),1,"")</f>
        <v/>
      </c>
      <c r="I19" s="165">
        <f>IF(AND(ISNUMBER($D19),ISNUMBER($E19),I$4&gt;=$D19,I$4&lt;=$E19,WEEKDAY(I$4,2)&lt;=5,COUNTIF('Sources &amp; Change Log'!$J$2:$J$5,I$4)=0,COUNTIFS('Team Calendar'!$A$5:$A$12,$F19,'Team Calendar'!$C$5:$C$12,I$4)=0),1,"")</f>
        <v/>
      </c>
      <c r="J19" s="165">
        <f>IF(AND(ISNUMBER($D19),ISNUMBER($E19),J$4&gt;=$D19,J$4&lt;=$E19,WEEKDAY(J$4,2)&lt;=5,COUNTIF('Sources &amp; Change Log'!$J$2:$J$5,J$4)=0,COUNTIFS('Team Calendar'!$A$5:$A$12,$F19,'Team Calendar'!$C$5:$C$12,J$4)=0),1,"")</f>
        <v/>
      </c>
      <c r="K19" s="165">
        <f>IF(AND(ISNUMBER($D19),ISNUMBER($E19),K$4&gt;=$D19,K$4&lt;=$E19,WEEKDAY(K$4,2)&lt;=5,COUNTIF('Sources &amp; Change Log'!$J$2:$J$5,K$4)=0,COUNTIFS('Team Calendar'!$A$5:$A$12,$F19,'Team Calendar'!$C$5:$C$12,K$4)=0),1,"")</f>
        <v/>
      </c>
      <c r="L19" s="166">
        <f>IF(AND(ISNUMBER($D19),ISNUMBER($E19),L$4&gt;=$D19,L$4&lt;=$E19,WEEKDAY(L$4,2)&lt;=5,COUNTIF('Sources &amp; Change Log'!$J$2:$J$5,L$4)=0,COUNTIFS('Team Calendar'!$A$5:$A$12,$F19,'Team Calendar'!$C$5:$C$12,L$4)=0),1,"")</f>
        <v/>
      </c>
      <c r="M19" s="166">
        <f>IF(AND(ISNUMBER($D19),ISNUMBER($E19),M$4&gt;=$D19,M$4&lt;=$E19,WEEKDAY(M$4,2)&lt;=5,COUNTIF('Sources &amp; Change Log'!$J$2:$J$5,M$4)=0,COUNTIFS('Team Calendar'!$A$5:$A$12,$F19,'Team Calendar'!$C$5:$C$12,M$4)=0),1,"")</f>
        <v/>
      </c>
      <c r="N19" s="165">
        <f>IF(AND(ISNUMBER($D19),ISNUMBER($E19),N$4&gt;=$D19,N$4&lt;=$E19,WEEKDAY(N$4,2)&lt;=5,COUNTIF('Sources &amp; Change Log'!$J$2:$J$5,N$4)=0,COUNTIFS('Team Calendar'!$A$5:$A$12,$F19,'Team Calendar'!$C$5:$C$12,N$4)=0),1,"")</f>
        <v/>
      </c>
      <c r="O19" s="165">
        <f>IF(AND(ISNUMBER($D19),ISNUMBER($E19),O$4&gt;=$D19,O$4&lt;=$E19,WEEKDAY(O$4,2)&lt;=5,COUNTIF('Sources &amp; Change Log'!$J$2:$J$5,O$4)=0,COUNTIFS('Team Calendar'!$A$5:$A$12,$F19,'Team Calendar'!$C$5:$C$12,O$4)=0),1,"")</f>
        <v/>
      </c>
      <c r="P19" s="165">
        <f>IF(AND(ISNUMBER($D19),ISNUMBER($E19),P$4&gt;=$D19,P$4&lt;=$E19,WEEKDAY(P$4,2)&lt;=5,COUNTIF('Sources &amp; Change Log'!$J$2:$J$5,P$4)=0,COUNTIFS('Team Calendar'!$A$5:$A$12,$F19,'Team Calendar'!$C$5:$C$12,P$4)=0),1,"")</f>
        <v/>
      </c>
      <c r="Q19" s="165">
        <f>IF(AND(ISNUMBER($D19),ISNUMBER($E19),Q$4&gt;=$D19,Q$4&lt;=$E19,WEEKDAY(Q$4,2)&lt;=5,COUNTIF('Sources &amp; Change Log'!$J$2:$J$5,Q$4)=0,COUNTIFS('Team Calendar'!$A$5:$A$12,$F19,'Team Calendar'!$C$5:$C$12,Q$4)=0),1,"")</f>
        <v/>
      </c>
      <c r="R19" s="165">
        <f>IF(AND(ISNUMBER($D19),ISNUMBER($E19),R$4&gt;=$D19,R$4&lt;=$E19,WEEKDAY(R$4,2)&lt;=5,COUNTIF('Sources &amp; Change Log'!$J$2:$J$5,R$4)=0,COUNTIFS('Team Calendar'!$A$5:$A$12,$F19,'Team Calendar'!$C$5:$C$12,R$4)=0),1,"")</f>
        <v/>
      </c>
      <c r="S19" s="166">
        <f>IF(AND(ISNUMBER($D19),ISNUMBER($E19),S$4&gt;=$D19,S$4&lt;=$E19,WEEKDAY(S$4,2)&lt;=5,COUNTIF('Sources &amp; Change Log'!$J$2:$J$5,S$4)=0,COUNTIFS('Team Calendar'!$A$5:$A$12,$F19,'Team Calendar'!$C$5:$C$12,S$4)=0),1,"")</f>
        <v/>
      </c>
      <c r="T19" s="166">
        <f>IF(AND(ISNUMBER($D19),ISNUMBER($E19),T$4&gt;=$D19,T$4&lt;=$E19,WEEKDAY(T$4,2)&lt;=5,COUNTIF('Sources &amp; Change Log'!$J$2:$J$5,T$4)=0,COUNTIFS('Team Calendar'!$A$5:$A$12,$F19,'Team Calendar'!$C$5:$C$12,T$4)=0),1,"")</f>
        <v/>
      </c>
      <c r="U19" s="165">
        <f>IF(AND(ISNUMBER($D19),ISNUMBER($E19),U$4&gt;=$D19,U$4&lt;=$E19,WEEKDAY(U$4,2)&lt;=5,COUNTIF('Sources &amp; Change Log'!$J$2:$J$5,U$4)=0,COUNTIFS('Team Calendar'!$A$5:$A$12,$F19,'Team Calendar'!$C$5:$C$12,U$4)=0),1,"")</f>
        <v/>
      </c>
      <c r="V19" s="165">
        <f>IF(AND(ISNUMBER($D19),ISNUMBER($E19),V$4&gt;=$D19,V$4&lt;=$E19,WEEKDAY(V$4,2)&lt;=5,COUNTIF('Sources &amp; Change Log'!$J$2:$J$5,V$4)=0,COUNTIFS('Team Calendar'!$A$5:$A$12,$F19,'Team Calendar'!$C$5:$C$12,V$4)=0),1,"")</f>
        <v/>
      </c>
      <c r="W19" s="165">
        <f>IF(AND(ISNUMBER($D19),ISNUMBER($E19),W$4&gt;=$D19,W$4&lt;=$E19,WEEKDAY(W$4,2)&lt;=5,COUNTIF('Sources &amp; Change Log'!$J$2:$J$5,W$4)=0,COUNTIFS('Team Calendar'!$A$5:$A$12,$F19,'Team Calendar'!$C$5:$C$12,W$4)=0),1,"")</f>
        <v/>
      </c>
      <c r="X19" s="165">
        <f>IF(AND(ISNUMBER($D19),ISNUMBER($E19),X$4&gt;=$D19,X$4&lt;=$E19,WEEKDAY(X$4,2)&lt;=5,COUNTIF('Sources &amp; Change Log'!$J$2:$J$5,X$4)=0,COUNTIFS('Team Calendar'!$A$5:$A$12,$F19,'Team Calendar'!$C$5:$C$12,X$4)=0),1,"")</f>
        <v/>
      </c>
      <c r="Y19" s="165">
        <f>IF(AND(ISNUMBER($D19),ISNUMBER($E19),Y$4&gt;=$D19,Y$4&lt;=$E19,WEEKDAY(Y$4,2)&lt;=5,COUNTIF('Sources &amp; Change Log'!$J$2:$J$5,Y$4)=0,COUNTIFS('Team Calendar'!$A$5:$A$12,$F19,'Team Calendar'!$C$5:$C$12,Y$4)=0),1,"")</f>
        <v/>
      </c>
      <c r="Z19" s="166">
        <f>IF(AND(ISNUMBER($D19),ISNUMBER($E19),Z$4&gt;=$D19,Z$4&lt;=$E19,WEEKDAY(Z$4,2)&lt;=5,COUNTIF('Sources &amp; Change Log'!$J$2:$J$5,Z$4)=0,COUNTIFS('Team Calendar'!$A$5:$A$12,$F19,'Team Calendar'!$C$5:$C$12,Z$4)=0),1,"")</f>
        <v/>
      </c>
      <c r="AA19" s="166">
        <f>IF(AND(ISNUMBER($D19),ISNUMBER($E19),AA$4&gt;=$D19,AA$4&lt;=$E19,WEEKDAY(AA$4,2)&lt;=5,COUNTIF('Sources &amp; Change Log'!$J$2:$J$5,AA$4)=0,COUNTIFS('Team Calendar'!$A$5:$A$12,$F19,'Team Calendar'!$C$5:$C$12,AA$4)=0),1,"")</f>
        <v/>
      </c>
      <c r="AB19" s="165">
        <f>IF(AND(ISNUMBER($D19),ISNUMBER($E19),AB$4&gt;=$D19,AB$4&lt;=$E19,WEEKDAY(AB$4,2)&lt;=5,COUNTIF('Sources &amp; Change Log'!$J$2:$J$5,AB$4)=0,COUNTIFS('Team Calendar'!$A$5:$A$12,$F19,'Team Calendar'!$C$5:$C$12,AB$4)=0),1,"")</f>
        <v/>
      </c>
      <c r="AC19" s="165">
        <f>IF(AND(ISNUMBER($D19),ISNUMBER($E19),AC$4&gt;=$D19,AC$4&lt;=$E19,WEEKDAY(AC$4,2)&lt;=5,COUNTIF('Sources &amp; Change Log'!$J$2:$J$5,AC$4)=0,COUNTIFS('Team Calendar'!$A$5:$A$12,$F19,'Team Calendar'!$C$5:$C$12,AC$4)=0),1,"")</f>
        <v/>
      </c>
      <c r="AD19" s="165">
        <f>IF(AND(ISNUMBER($D19),ISNUMBER($E19),AD$4&gt;=$D19,AD$4&lt;=$E19,WEEKDAY(AD$4,2)&lt;=5,COUNTIF('Sources &amp; Change Log'!$J$2:$J$5,AD$4)=0,COUNTIFS('Team Calendar'!$A$5:$A$12,$F19,'Team Calendar'!$C$5:$C$12,AD$4)=0),1,"")</f>
        <v/>
      </c>
      <c r="AE19" s="165">
        <f>IF(AND(ISNUMBER($D19),ISNUMBER($E19),AE$4&gt;=$D19,AE$4&lt;=$E19,WEEKDAY(AE$4,2)&lt;=5,COUNTIF('Sources &amp; Change Log'!$J$2:$J$5,AE$4)=0,COUNTIFS('Team Calendar'!$A$5:$A$12,$F19,'Team Calendar'!$C$5:$C$12,AE$4)=0),1,"")</f>
        <v/>
      </c>
      <c r="AF19" s="165">
        <f>IF(AND(ISNUMBER($D19),ISNUMBER($E19),AF$4&gt;=$D19,AF$4&lt;=$E19,WEEKDAY(AF$4,2)&lt;=5,COUNTIF('Sources &amp; Change Log'!$J$2:$J$5,AF$4)=0,COUNTIFS('Team Calendar'!$A$5:$A$12,$F19,'Team Calendar'!$C$5:$C$12,AF$4)=0),1,"")</f>
        <v/>
      </c>
      <c r="AG19" s="166">
        <f>IF(AND(ISNUMBER($D19),ISNUMBER($E19),AG$4&gt;=$D19,AG$4&lt;=$E19,WEEKDAY(AG$4,2)&lt;=5,COUNTIF('Sources &amp; Change Log'!$J$2:$J$5,AG$4)=0,COUNTIFS('Team Calendar'!$A$5:$A$12,$F19,'Team Calendar'!$C$5:$C$12,AG$4)=0),1,"")</f>
        <v/>
      </c>
      <c r="AH19" s="166">
        <f>IF(AND(ISNUMBER($D19),ISNUMBER($E19),AH$4&gt;=$D19,AH$4&lt;=$E19,WEEKDAY(AH$4,2)&lt;=5,COUNTIF('Sources &amp; Change Log'!$J$2:$J$5,AH$4)=0,COUNTIFS('Team Calendar'!$A$5:$A$12,$F19,'Team Calendar'!$C$5:$C$12,AH$4)=0),1,"")</f>
        <v/>
      </c>
      <c r="AI19" s="165">
        <f>IF(AND(ISNUMBER($D19),ISNUMBER($E19),AI$4&gt;=$D19,AI$4&lt;=$E19,WEEKDAY(AI$4,2)&lt;=5,COUNTIF('Sources &amp; Change Log'!$J$2:$J$5,AI$4)=0,COUNTIFS('Team Calendar'!$A$5:$A$12,$F19,'Team Calendar'!$C$5:$C$12,AI$4)=0),1,"")</f>
        <v/>
      </c>
    </row>
    <row r="20" ht="24" customHeight="1">
      <c r="A20" s="13">
        <f>WBS!A46</f>
        <v/>
      </c>
      <c r="B20" s="13">
        <f>WBS!B46</f>
        <v/>
      </c>
      <c r="C20" s="13">
        <f>WBS!G46</f>
        <v/>
      </c>
      <c r="D20" s="164">
        <f>IF(WBS!H46="","",WBS!H46)</f>
        <v/>
      </c>
      <c r="E20" s="164">
        <f>IF(WBS!I46="","",WBS!I46)</f>
        <v/>
      </c>
      <c r="F20" s="13">
        <f>WBS!L46</f>
        <v/>
      </c>
      <c r="G20" s="165">
        <f>IF(AND(ISNUMBER($D20),ISNUMBER($E20),G$4&gt;=$D20,G$4&lt;=$E20,WEEKDAY(G$4,2)&lt;=5,COUNTIF('Sources &amp; Change Log'!$J$2:$J$5,G$4)=0,COUNTIFS('Team Calendar'!$A$5:$A$12,$F20,'Team Calendar'!$C$5:$C$12,G$4)=0),1,"")</f>
        <v/>
      </c>
      <c r="H20" s="165">
        <f>IF(AND(ISNUMBER($D20),ISNUMBER($E20),H$4&gt;=$D20,H$4&lt;=$E20,WEEKDAY(H$4,2)&lt;=5,COUNTIF('Sources &amp; Change Log'!$J$2:$J$5,H$4)=0,COUNTIFS('Team Calendar'!$A$5:$A$12,$F20,'Team Calendar'!$C$5:$C$12,H$4)=0),1,"")</f>
        <v/>
      </c>
      <c r="I20" s="165">
        <f>IF(AND(ISNUMBER($D20),ISNUMBER($E20),I$4&gt;=$D20,I$4&lt;=$E20,WEEKDAY(I$4,2)&lt;=5,COUNTIF('Sources &amp; Change Log'!$J$2:$J$5,I$4)=0,COUNTIFS('Team Calendar'!$A$5:$A$12,$F20,'Team Calendar'!$C$5:$C$12,I$4)=0),1,"")</f>
        <v/>
      </c>
      <c r="J20" s="165">
        <f>IF(AND(ISNUMBER($D20),ISNUMBER($E20),J$4&gt;=$D20,J$4&lt;=$E20,WEEKDAY(J$4,2)&lt;=5,COUNTIF('Sources &amp; Change Log'!$J$2:$J$5,J$4)=0,COUNTIFS('Team Calendar'!$A$5:$A$12,$F20,'Team Calendar'!$C$5:$C$12,J$4)=0),1,"")</f>
        <v/>
      </c>
      <c r="K20" s="165">
        <f>IF(AND(ISNUMBER($D20),ISNUMBER($E20),K$4&gt;=$D20,K$4&lt;=$E20,WEEKDAY(K$4,2)&lt;=5,COUNTIF('Sources &amp; Change Log'!$J$2:$J$5,K$4)=0,COUNTIFS('Team Calendar'!$A$5:$A$12,$F20,'Team Calendar'!$C$5:$C$12,K$4)=0),1,"")</f>
        <v/>
      </c>
      <c r="L20" s="166">
        <f>IF(AND(ISNUMBER($D20),ISNUMBER($E20),L$4&gt;=$D20,L$4&lt;=$E20,WEEKDAY(L$4,2)&lt;=5,COUNTIF('Sources &amp; Change Log'!$J$2:$J$5,L$4)=0,COUNTIFS('Team Calendar'!$A$5:$A$12,$F20,'Team Calendar'!$C$5:$C$12,L$4)=0),1,"")</f>
        <v/>
      </c>
      <c r="M20" s="166">
        <f>IF(AND(ISNUMBER($D20),ISNUMBER($E20),M$4&gt;=$D20,M$4&lt;=$E20,WEEKDAY(M$4,2)&lt;=5,COUNTIF('Sources &amp; Change Log'!$J$2:$J$5,M$4)=0,COUNTIFS('Team Calendar'!$A$5:$A$12,$F20,'Team Calendar'!$C$5:$C$12,M$4)=0),1,"")</f>
        <v/>
      </c>
      <c r="N20" s="165">
        <f>IF(AND(ISNUMBER($D20),ISNUMBER($E20),N$4&gt;=$D20,N$4&lt;=$E20,WEEKDAY(N$4,2)&lt;=5,COUNTIF('Sources &amp; Change Log'!$J$2:$J$5,N$4)=0,COUNTIFS('Team Calendar'!$A$5:$A$12,$F20,'Team Calendar'!$C$5:$C$12,N$4)=0),1,"")</f>
        <v/>
      </c>
      <c r="O20" s="165">
        <f>IF(AND(ISNUMBER($D20),ISNUMBER($E20),O$4&gt;=$D20,O$4&lt;=$E20,WEEKDAY(O$4,2)&lt;=5,COUNTIF('Sources &amp; Change Log'!$J$2:$J$5,O$4)=0,COUNTIFS('Team Calendar'!$A$5:$A$12,$F20,'Team Calendar'!$C$5:$C$12,O$4)=0),1,"")</f>
        <v/>
      </c>
      <c r="P20" s="165">
        <f>IF(AND(ISNUMBER($D20),ISNUMBER($E20),P$4&gt;=$D20,P$4&lt;=$E20,WEEKDAY(P$4,2)&lt;=5,COUNTIF('Sources &amp; Change Log'!$J$2:$J$5,P$4)=0,COUNTIFS('Team Calendar'!$A$5:$A$12,$F20,'Team Calendar'!$C$5:$C$12,P$4)=0),1,"")</f>
        <v/>
      </c>
      <c r="Q20" s="165">
        <f>IF(AND(ISNUMBER($D20),ISNUMBER($E20),Q$4&gt;=$D20,Q$4&lt;=$E20,WEEKDAY(Q$4,2)&lt;=5,COUNTIF('Sources &amp; Change Log'!$J$2:$J$5,Q$4)=0,COUNTIFS('Team Calendar'!$A$5:$A$12,$F20,'Team Calendar'!$C$5:$C$12,Q$4)=0),1,"")</f>
        <v/>
      </c>
      <c r="R20" s="165">
        <f>IF(AND(ISNUMBER($D20),ISNUMBER($E20),R$4&gt;=$D20,R$4&lt;=$E20,WEEKDAY(R$4,2)&lt;=5,COUNTIF('Sources &amp; Change Log'!$J$2:$J$5,R$4)=0,COUNTIFS('Team Calendar'!$A$5:$A$12,$F20,'Team Calendar'!$C$5:$C$12,R$4)=0),1,"")</f>
        <v/>
      </c>
      <c r="S20" s="166">
        <f>IF(AND(ISNUMBER($D20),ISNUMBER($E20),S$4&gt;=$D20,S$4&lt;=$E20,WEEKDAY(S$4,2)&lt;=5,COUNTIF('Sources &amp; Change Log'!$J$2:$J$5,S$4)=0,COUNTIFS('Team Calendar'!$A$5:$A$12,$F20,'Team Calendar'!$C$5:$C$12,S$4)=0),1,"")</f>
        <v/>
      </c>
      <c r="T20" s="166">
        <f>IF(AND(ISNUMBER($D20),ISNUMBER($E20),T$4&gt;=$D20,T$4&lt;=$E20,WEEKDAY(T$4,2)&lt;=5,COUNTIF('Sources &amp; Change Log'!$J$2:$J$5,T$4)=0,COUNTIFS('Team Calendar'!$A$5:$A$12,$F20,'Team Calendar'!$C$5:$C$12,T$4)=0),1,"")</f>
        <v/>
      </c>
      <c r="U20" s="165">
        <f>IF(AND(ISNUMBER($D20),ISNUMBER($E20),U$4&gt;=$D20,U$4&lt;=$E20,WEEKDAY(U$4,2)&lt;=5,COUNTIF('Sources &amp; Change Log'!$J$2:$J$5,U$4)=0,COUNTIFS('Team Calendar'!$A$5:$A$12,$F20,'Team Calendar'!$C$5:$C$12,U$4)=0),1,"")</f>
        <v/>
      </c>
      <c r="V20" s="165">
        <f>IF(AND(ISNUMBER($D20),ISNUMBER($E20),V$4&gt;=$D20,V$4&lt;=$E20,WEEKDAY(V$4,2)&lt;=5,COUNTIF('Sources &amp; Change Log'!$J$2:$J$5,V$4)=0,COUNTIFS('Team Calendar'!$A$5:$A$12,$F20,'Team Calendar'!$C$5:$C$12,V$4)=0),1,"")</f>
        <v/>
      </c>
      <c r="W20" s="165">
        <f>IF(AND(ISNUMBER($D20),ISNUMBER($E20),W$4&gt;=$D20,W$4&lt;=$E20,WEEKDAY(W$4,2)&lt;=5,COUNTIF('Sources &amp; Change Log'!$J$2:$J$5,W$4)=0,COUNTIFS('Team Calendar'!$A$5:$A$12,$F20,'Team Calendar'!$C$5:$C$12,W$4)=0),1,"")</f>
        <v/>
      </c>
      <c r="X20" s="165">
        <f>IF(AND(ISNUMBER($D20),ISNUMBER($E20),X$4&gt;=$D20,X$4&lt;=$E20,WEEKDAY(X$4,2)&lt;=5,COUNTIF('Sources &amp; Change Log'!$J$2:$J$5,X$4)=0,COUNTIFS('Team Calendar'!$A$5:$A$12,$F20,'Team Calendar'!$C$5:$C$12,X$4)=0),1,"")</f>
        <v/>
      </c>
      <c r="Y20" s="165">
        <f>IF(AND(ISNUMBER($D20),ISNUMBER($E20),Y$4&gt;=$D20,Y$4&lt;=$E20,WEEKDAY(Y$4,2)&lt;=5,COUNTIF('Sources &amp; Change Log'!$J$2:$J$5,Y$4)=0,COUNTIFS('Team Calendar'!$A$5:$A$12,$F20,'Team Calendar'!$C$5:$C$12,Y$4)=0),1,"")</f>
        <v/>
      </c>
      <c r="Z20" s="166">
        <f>IF(AND(ISNUMBER($D20),ISNUMBER($E20),Z$4&gt;=$D20,Z$4&lt;=$E20,WEEKDAY(Z$4,2)&lt;=5,COUNTIF('Sources &amp; Change Log'!$J$2:$J$5,Z$4)=0,COUNTIFS('Team Calendar'!$A$5:$A$12,$F20,'Team Calendar'!$C$5:$C$12,Z$4)=0),1,"")</f>
        <v/>
      </c>
      <c r="AA20" s="166">
        <f>IF(AND(ISNUMBER($D20),ISNUMBER($E20),AA$4&gt;=$D20,AA$4&lt;=$E20,WEEKDAY(AA$4,2)&lt;=5,COUNTIF('Sources &amp; Change Log'!$J$2:$J$5,AA$4)=0,COUNTIFS('Team Calendar'!$A$5:$A$12,$F20,'Team Calendar'!$C$5:$C$12,AA$4)=0),1,"")</f>
        <v/>
      </c>
      <c r="AB20" s="165">
        <f>IF(AND(ISNUMBER($D20),ISNUMBER($E20),AB$4&gt;=$D20,AB$4&lt;=$E20,WEEKDAY(AB$4,2)&lt;=5,COUNTIF('Sources &amp; Change Log'!$J$2:$J$5,AB$4)=0,COUNTIFS('Team Calendar'!$A$5:$A$12,$F20,'Team Calendar'!$C$5:$C$12,AB$4)=0),1,"")</f>
        <v/>
      </c>
      <c r="AC20" s="165">
        <f>IF(AND(ISNUMBER($D20),ISNUMBER($E20),AC$4&gt;=$D20,AC$4&lt;=$E20,WEEKDAY(AC$4,2)&lt;=5,COUNTIF('Sources &amp; Change Log'!$J$2:$J$5,AC$4)=0,COUNTIFS('Team Calendar'!$A$5:$A$12,$F20,'Team Calendar'!$C$5:$C$12,AC$4)=0),1,"")</f>
        <v/>
      </c>
      <c r="AD20" s="165">
        <f>IF(AND(ISNUMBER($D20),ISNUMBER($E20),AD$4&gt;=$D20,AD$4&lt;=$E20,WEEKDAY(AD$4,2)&lt;=5,COUNTIF('Sources &amp; Change Log'!$J$2:$J$5,AD$4)=0,COUNTIFS('Team Calendar'!$A$5:$A$12,$F20,'Team Calendar'!$C$5:$C$12,AD$4)=0),1,"")</f>
        <v/>
      </c>
      <c r="AE20" s="165">
        <f>IF(AND(ISNUMBER($D20),ISNUMBER($E20),AE$4&gt;=$D20,AE$4&lt;=$E20,WEEKDAY(AE$4,2)&lt;=5,COUNTIF('Sources &amp; Change Log'!$J$2:$J$5,AE$4)=0,COUNTIFS('Team Calendar'!$A$5:$A$12,$F20,'Team Calendar'!$C$5:$C$12,AE$4)=0),1,"")</f>
        <v/>
      </c>
      <c r="AF20" s="165">
        <f>IF(AND(ISNUMBER($D20),ISNUMBER($E20),AF$4&gt;=$D20,AF$4&lt;=$E20,WEEKDAY(AF$4,2)&lt;=5,COUNTIF('Sources &amp; Change Log'!$J$2:$J$5,AF$4)=0,COUNTIFS('Team Calendar'!$A$5:$A$12,$F20,'Team Calendar'!$C$5:$C$12,AF$4)=0),1,"")</f>
        <v/>
      </c>
      <c r="AG20" s="166">
        <f>IF(AND(ISNUMBER($D20),ISNUMBER($E20),AG$4&gt;=$D20,AG$4&lt;=$E20,WEEKDAY(AG$4,2)&lt;=5,COUNTIF('Sources &amp; Change Log'!$J$2:$J$5,AG$4)=0,COUNTIFS('Team Calendar'!$A$5:$A$12,$F20,'Team Calendar'!$C$5:$C$12,AG$4)=0),1,"")</f>
        <v/>
      </c>
      <c r="AH20" s="166">
        <f>IF(AND(ISNUMBER($D20),ISNUMBER($E20),AH$4&gt;=$D20,AH$4&lt;=$E20,WEEKDAY(AH$4,2)&lt;=5,COUNTIF('Sources &amp; Change Log'!$J$2:$J$5,AH$4)=0,COUNTIFS('Team Calendar'!$A$5:$A$12,$F20,'Team Calendar'!$C$5:$C$12,AH$4)=0),1,"")</f>
        <v/>
      </c>
      <c r="AI20" s="165">
        <f>IF(AND(ISNUMBER($D20),ISNUMBER($E20),AI$4&gt;=$D20,AI$4&lt;=$E20,WEEKDAY(AI$4,2)&lt;=5,COUNTIF('Sources &amp; Change Log'!$J$2:$J$5,AI$4)=0,COUNTIFS('Team Calendar'!$A$5:$A$12,$F20,'Team Calendar'!$C$5:$C$12,AI$4)=0),1,"")</f>
        <v/>
      </c>
    </row>
    <row r="21" ht="24" customHeight="1">
      <c r="A21" s="13">
        <f>WBS!A47</f>
        <v/>
      </c>
      <c r="B21" s="13">
        <f>WBS!B47</f>
        <v/>
      </c>
      <c r="C21" s="13">
        <f>WBS!G47</f>
        <v/>
      </c>
      <c r="D21" s="164">
        <f>IF(WBS!H47="","",WBS!H47)</f>
        <v/>
      </c>
      <c r="E21" s="164">
        <f>IF(WBS!I47="","",WBS!I47)</f>
        <v/>
      </c>
      <c r="F21" s="13">
        <f>WBS!L47</f>
        <v/>
      </c>
      <c r="G21" s="165">
        <f>IF(AND(ISNUMBER($D21),ISNUMBER($E21),G$4&gt;=$D21,G$4&lt;=$E21,WEEKDAY(G$4,2)&lt;=5,COUNTIF('Sources &amp; Change Log'!$J$2:$J$5,G$4)=0,COUNTIFS('Team Calendar'!$A$5:$A$12,$F21,'Team Calendar'!$C$5:$C$12,G$4)=0),1,"")</f>
        <v/>
      </c>
      <c r="H21" s="165">
        <f>IF(AND(ISNUMBER($D21),ISNUMBER($E21),H$4&gt;=$D21,H$4&lt;=$E21,WEEKDAY(H$4,2)&lt;=5,COUNTIF('Sources &amp; Change Log'!$J$2:$J$5,H$4)=0,COUNTIFS('Team Calendar'!$A$5:$A$12,$F21,'Team Calendar'!$C$5:$C$12,H$4)=0),1,"")</f>
        <v/>
      </c>
      <c r="I21" s="165">
        <f>IF(AND(ISNUMBER($D21),ISNUMBER($E21),I$4&gt;=$D21,I$4&lt;=$E21,WEEKDAY(I$4,2)&lt;=5,COUNTIF('Sources &amp; Change Log'!$J$2:$J$5,I$4)=0,COUNTIFS('Team Calendar'!$A$5:$A$12,$F21,'Team Calendar'!$C$5:$C$12,I$4)=0),1,"")</f>
        <v/>
      </c>
      <c r="J21" s="165">
        <f>IF(AND(ISNUMBER($D21),ISNUMBER($E21),J$4&gt;=$D21,J$4&lt;=$E21,WEEKDAY(J$4,2)&lt;=5,COUNTIF('Sources &amp; Change Log'!$J$2:$J$5,J$4)=0,COUNTIFS('Team Calendar'!$A$5:$A$12,$F21,'Team Calendar'!$C$5:$C$12,J$4)=0),1,"")</f>
        <v/>
      </c>
      <c r="K21" s="165">
        <f>IF(AND(ISNUMBER($D21),ISNUMBER($E21),K$4&gt;=$D21,K$4&lt;=$E21,WEEKDAY(K$4,2)&lt;=5,COUNTIF('Sources &amp; Change Log'!$J$2:$J$5,K$4)=0,COUNTIFS('Team Calendar'!$A$5:$A$12,$F21,'Team Calendar'!$C$5:$C$12,K$4)=0),1,"")</f>
        <v/>
      </c>
      <c r="L21" s="166">
        <f>IF(AND(ISNUMBER($D21),ISNUMBER($E21),L$4&gt;=$D21,L$4&lt;=$E21,WEEKDAY(L$4,2)&lt;=5,COUNTIF('Sources &amp; Change Log'!$J$2:$J$5,L$4)=0,COUNTIFS('Team Calendar'!$A$5:$A$12,$F21,'Team Calendar'!$C$5:$C$12,L$4)=0),1,"")</f>
        <v/>
      </c>
      <c r="M21" s="166">
        <f>IF(AND(ISNUMBER($D21),ISNUMBER($E21),M$4&gt;=$D21,M$4&lt;=$E21,WEEKDAY(M$4,2)&lt;=5,COUNTIF('Sources &amp; Change Log'!$J$2:$J$5,M$4)=0,COUNTIFS('Team Calendar'!$A$5:$A$12,$F21,'Team Calendar'!$C$5:$C$12,M$4)=0),1,"")</f>
        <v/>
      </c>
      <c r="N21" s="165">
        <f>IF(AND(ISNUMBER($D21),ISNUMBER($E21),N$4&gt;=$D21,N$4&lt;=$E21,WEEKDAY(N$4,2)&lt;=5,COUNTIF('Sources &amp; Change Log'!$J$2:$J$5,N$4)=0,COUNTIFS('Team Calendar'!$A$5:$A$12,$F21,'Team Calendar'!$C$5:$C$12,N$4)=0),1,"")</f>
        <v/>
      </c>
      <c r="O21" s="165">
        <f>IF(AND(ISNUMBER($D21),ISNUMBER($E21),O$4&gt;=$D21,O$4&lt;=$E21,WEEKDAY(O$4,2)&lt;=5,COUNTIF('Sources &amp; Change Log'!$J$2:$J$5,O$4)=0,COUNTIFS('Team Calendar'!$A$5:$A$12,$F21,'Team Calendar'!$C$5:$C$12,O$4)=0),1,"")</f>
        <v/>
      </c>
      <c r="P21" s="165">
        <f>IF(AND(ISNUMBER($D21),ISNUMBER($E21),P$4&gt;=$D21,P$4&lt;=$E21,WEEKDAY(P$4,2)&lt;=5,COUNTIF('Sources &amp; Change Log'!$J$2:$J$5,P$4)=0,COUNTIFS('Team Calendar'!$A$5:$A$12,$F21,'Team Calendar'!$C$5:$C$12,P$4)=0),1,"")</f>
        <v/>
      </c>
      <c r="Q21" s="165">
        <f>IF(AND(ISNUMBER($D21),ISNUMBER($E21),Q$4&gt;=$D21,Q$4&lt;=$E21,WEEKDAY(Q$4,2)&lt;=5,COUNTIF('Sources &amp; Change Log'!$J$2:$J$5,Q$4)=0,COUNTIFS('Team Calendar'!$A$5:$A$12,$F21,'Team Calendar'!$C$5:$C$12,Q$4)=0),1,"")</f>
        <v/>
      </c>
      <c r="R21" s="165">
        <f>IF(AND(ISNUMBER($D21),ISNUMBER($E21),R$4&gt;=$D21,R$4&lt;=$E21,WEEKDAY(R$4,2)&lt;=5,COUNTIF('Sources &amp; Change Log'!$J$2:$J$5,R$4)=0,COUNTIFS('Team Calendar'!$A$5:$A$12,$F21,'Team Calendar'!$C$5:$C$12,R$4)=0),1,"")</f>
        <v/>
      </c>
      <c r="S21" s="166">
        <f>IF(AND(ISNUMBER($D21),ISNUMBER($E21),S$4&gt;=$D21,S$4&lt;=$E21,WEEKDAY(S$4,2)&lt;=5,COUNTIF('Sources &amp; Change Log'!$J$2:$J$5,S$4)=0,COUNTIFS('Team Calendar'!$A$5:$A$12,$F21,'Team Calendar'!$C$5:$C$12,S$4)=0),1,"")</f>
        <v/>
      </c>
      <c r="T21" s="166">
        <f>IF(AND(ISNUMBER($D21),ISNUMBER($E21),T$4&gt;=$D21,T$4&lt;=$E21,WEEKDAY(T$4,2)&lt;=5,COUNTIF('Sources &amp; Change Log'!$J$2:$J$5,T$4)=0,COUNTIFS('Team Calendar'!$A$5:$A$12,$F21,'Team Calendar'!$C$5:$C$12,T$4)=0),1,"")</f>
        <v/>
      </c>
      <c r="U21" s="165">
        <f>IF(AND(ISNUMBER($D21),ISNUMBER($E21),U$4&gt;=$D21,U$4&lt;=$E21,WEEKDAY(U$4,2)&lt;=5,COUNTIF('Sources &amp; Change Log'!$J$2:$J$5,U$4)=0,COUNTIFS('Team Calendar'!$A$5:$A$12,$F21,'Team Calendar'!$C$5:$C$12,U$4)=0),1,"")</f>
        <v/>
      </c>
      <c r="V21" s="165">
        <f>IF(AND(ISNUMBER($D21),ISNUMBER($E21),V$4&gt;=$D21,V$4&lt;=$E21,WEEKDAY(V$4,2)&lt;=5,COUNTIF('Sources &amp; Change Log'!$J$2:$J$5,V$4)=0,COUNTIFS('Team Calendar'!$A$5:$A$12,$F21,'Team Calendar'!$C$5:$C$12,V$4)=0),1,"")</f>
        <v/>
      </c>
      <c r="W21" s="165">
        <f>IF(AND(ISNUMBER($D21),ISNUMBER($E21),W$4&gt;=$D21,W$4&lt;=$E21,WEEKDAY(W$4,2)&lt;=5,COUNTIF('Sources &amp; Change Log'!$J$2:$J$5,W$4)=0,COUNTIFS('Team Calendar'!$A$5:$A$12,$F21,'Team Calendar'!$C$5:$C$12,W$4)=0),1,"")</f>
        <v/>
      </c>
      <c r="X21" s="165">
        <f>IF(AND(ISNUMBER($D21),ISNUMBER($E21),X$4&gt;=$D21,X$4&lt;=$E21,WEEKDAY(X$4,2)&lt;=5,COUNTIF('Sources &amp; Change Log'!$J$2:$J$5,X$4)=0,COUNTIFS('Team Calendar'!$A$5:$A$12,$F21,'Team Calendar'!$C$5:$C$12,X$4)=0),1,"")</f>
        <v/>
      </c>
      <c r="Y21" s="165">
        <f>IF(AND(ISNUMBER($D21),ISNUMBER($E21),Y$4&gt;=$D21,Y$4&lt;=$E21,WEEKDAY(Y$4,2)&lt;=5,COUNTIF('Sources &amp; Change Log'!$J$2:$J$5,Y$4)=0,COUNTIFS('Team Calendar'!$A$5:$A$12,$F21,'Team Calendar'!$C$5:$C$12,Y$4)=0),1,"")</f>
        <v/>
      </c>
      <c r="Z21" s="166">
        <f>IF(AND(ISNUMBER($D21),ISNUMBER($E21),Z$4&gt;=$D21,Z$4&lt;=$E21,WEEKDAY(Z$4,2)&lt;=5,COUNTIF('Sources &amp; Change Log'!$J$2:$J$5,Z$4)=0,COUNTIFS('Team Calendar'!$A$5:$A$12,$F21,'Team Calendar'!$C$5:$C$12,Z$4)=0),1,"")</f>
        <v/>
      </c>
      <c r="AA21" s="166">
        <f>IF(AND(ISNUMBER($D21),ISNUMBER($E21),AA$4&gt;=$D21,AA$4&lt;=$E21,WEEKDAY(AA$4,2)&lt;=5,COUNTIF('Sources &amp; Change Log'!$J$2:$J$5,AA$4)=0,COUNTIFS('Team Calendar'!$A$5:$A$12,$F21,'Team Calendar'!$C$5:$C$12,AA$4)=0),1,"")</f>
        <v/>
      </c>
      <c r="AB21" s="165">
        <f>IF(AND(ISNUMBER($D21),ISNUMBER($E21),AB$4&gt;=$D21,AB$4&lt;=$E21,WEEKDAY(AB$4,2)&lt;=5,COUNTIF('Sources &amp; Change Log'!$J$2:$J$5,AB$4)=0,COUNTIFS('Team Calendar'!$A$5:$A$12,$F21,'Team Calendar'!$C$5:$C$12,AB$4)=0),1,"")</f>
        <v/>
      </c>
      <c r="AC21" s="165">
        <f>IF(AND(ISNUMBER($D21),ISNUMBER($E21),AC$4&gt;=$D21,AC$4&lt;=$E21,WEEKDAY(AC$4,2)&lt;=5,COUNTIF('Sources &amp; Change Log'!$J$2:$J$5,AC$4)=0,COUNTIFS('Team Calendar'!$A$5:$A$12,$F21,'Team Calendar'!$C$5:$C$12,AC$4)=0),1,"")</f>
        <v/>
      </c>
      <c r="AD21" s="165">
        <f>IF(AND(ISNUMBER($D21),ISNUMBER($E21),AD$4&gt;=$D21,AD$4&lt;=$E21,WEEKDAY(AD$4,2)&lt;=5,COUNTIF('Sources &amp; Change Log'!$J$2:$J$5,AD$4)=0,COUNTIFS('Team Calendar'!$A$5:$A$12,$F21,'Team Calendar'!$C$5:$C$12,AD$4)=0),1,"")</f>
        <v/>
      </c>
      <c r="AE21" s="165">
        <f>IF(AND(ISNUMBER($D21),ISNUMBER($E21),AE$4&gt;=$D21,AE$4&lt;=$E21,WEEKDAY(AE$4,2)&lt;=5,COUNTIF('Sources &amp; Change Log'!$J$2:$J$5,AE$4)=0,COUNTIFS('Team Calendar'!$A$5:$A$12,$F21,'Team Calendar'!$C$5:$C$12,AE$4)=0),1,"")</f>
        <v/>
      </c>
      <c r="AF21" s="165">
        <f>IF(AND(ISNUMBER($D21),ISNUMBER($E21),AF$4&gt;=$D21,AF$4&lt;=$E21,WEEKDAY(AF$4,2)&lt;=5,COUNTIF('Sources &amp; Change Log'!$J$2:$J$5,AF$4)=0,COUNTIFS('Team Calendar'!$A$5:$A$12,$F21,'Team Calendar'!$C$5:$C$12,AF$4)=0),1,"")</f>
        <v/>
      </c>
      <c r="AG21" s="166">
        <f>IF(AND(ISNUMBER($D21),ISNUMBER($E21),AG$4&gt;=$D21,AG$4&lt;=$E21,WEEKDAY(AG$4,2)&lt;=5,COUNTIF('Sources &amp; Change Log'!$J$2:$J$5,AG$4)=0,COUNTIFS('Team Calendar'!$A$5:$A$12,$F21,'Team Calendar'!$C$5:$C$12,AG$4)=0),1,"")</f>
        <v/>
      </c>
      <c r="AH21" s="166">
        <f>IF(AND(ISNUMBER($D21),ISNUMBER($E21),AH$4&gt;=$D21,AH$4&lt;=$E21,WEEKDAY(AH$4,2)&lt;=5,COUNTIF('Sources &amp; Change Log'!$J$2:$J$5,AH$4)=0,COUNTIFS('Team Calendar'!$A$5:$A$12,$F21,'Team Calendar'!$C$5:$C$12,AH$4)=0),1,"")</f>
        <v/>
      </c>
      <c r="AI21" s="165">
        <f>IF(AND(ISNUMBER($D21),ISNUMBER($E21),AI$4&gt;=$D21,AI$4&lt;=$E21,WEEKDAY(AI$4,2)&lt;=5,COUNTIF('Sources &amp; Change Log'!$J$2:$J$5,AI$4)=0,COUNTIFS('Team Calendar'!$A$5:$A$12,$F21,'Team Calendar'!$C$5:$C$12,AI$4)=0),1,"")</f>
        <v/>
      </c>
    </row>
    <row r="22" ht="24" customHeight="1">
      <c r="A22" s="13">
        <f>WBS!A48</f>
        <v/>
      </c>
      <c r="B22" s="13">
        <f>WBS!B48</f>
        <v/>
      </c>
      <c r="C22" s="13">
        <f>WBS!G48</f>
        <v/>
      </c>
      <c r="D22" s="164">
        <f>IF(WBS!H48="","",WBS!H48)</f>
        <v/>
      </c>
      <c r="E22" s="164">
        <f>IF(WBS!I48="","",WBS!I48)</f>
        <v/>
      </c>
      <c r="F22" s="13">
        <f>WBS!L48</f>
        <v/>
      </c>
      <c r="G22" s="165">
        <f>IF(AND(ISNUMBER($D22),ISNUMBER($E22),G$4&gt;=$D22,G$4&lt;=$E22,WEEKDAY(G$4,2)&lt;=5,COUNTIF('Sources &amp; Change Log'!$J$2:$J$5,G$4)=0,COUNTIFS('Team Calendar'!$A$5:$A$12,$F22,'Team Calendar'!$C$5:$C$12,G$4)=0),1,"")</f>
        <v/>
      </c>
      <c r="H22" s="165">
        <f>IF(AND(ISNUMBER($D22),ISNUMBER($E22),H$4&gt;=$D22,H$4&lt;=$E22,WEEKDAY(H$4,2)&lt;=5,COUNTIF('Sources &amp; Change Log'!$J$2:$J$5,H$4)=0,COUNTIFS('Team Calendar'!$A$5:$A$12,$F22,'Team Calendar'!$C$5:$C$12,H$4)=0),1,"")</f>
        <v/>
      </c>
      <c r="I22" s="165">
        <f>IF(AND(ISNUMBER($D22),ISNUMBER($E22),I$4&gt;=$D22,I$4&lt;=$E22,WEEKDAY(I$4,2)&lt;=5,COUNTIF('Sources &amp; Change Log'!$J$2:$J$5,I$4)=0,COUNTIFS('Team Calendar'!$A$5:$A$12,$F22,'Team Calendar'!$C$5:$C$12,I$4)=0),1,"")</f>
        <v/>
      </c>
      <c r="J22" s="165">
        <f>IF(AND(ISNUMBER($D22),ISNUMBER($E22),J$4&gt;=$D22,J$4&lt;=$E22,WEEKDAY(J$4,2)&lt;=5,COUNTIF('Sources &amp; Change Log'!$J$2:$J$5,J$4)=0,COUNTIFS('Team Calendar'!$A$5:$A$12,$F22,'Team Calendar'!$C$5:$C$12,J$4)=0),1,"")</f>
        <v/>
      </c>
      <c r="K22" s="165">
        <f>IF(AND(ISNUMBER($D22),ISNUMBER($E22),K$4&gt;=$D22,K$4&lt;=$E22,WEEKDAY(K$4,2)&lt;=5,COUNTIF('Sources &amp; Change Log'!$J$2:$J$5,K$4)=0,COUNTIFS('Team Calendar'!$A$5:$A$12,$F22,'Team Calendar'!$C$5:$C$12,K$4)=0),1,"")</f>
        <v/>
      </c>
      <c r="L22" s="166">
        <f>IF(AND(ISNUMBER($D22),ISNUMBER($E22),L$4&gt;=$D22,L$4&lt;=$E22,WEEKDAY(L$4,2)&lt;=5,COUNTIF('Sources &amp; Change Log'!$J$2:$J$5,L$4)=0,COUNTIFS('Team Calendar'!$A$5:$A$12,$F22,'Team Calendar'!$C$5:$C$12,L$4)=0),1,"")</f>
        <v/>
      </c>
      <c r="M22" s="166">
        <f>IF(AND(ISNUMBER($D22),ISNUMBER($E22),M$4&gt;=$D22,M$4&lt;=$E22,WEEKDAY(M$4,2)&lt;=5,COUNTIF('Sources &amp; Change Log'!$J$2:$J$5,M$4)=0,COUNTIFS('Team Calendar'!$A$5:$A$12,$F22,'Team Calendar'!$C$5:$C$12,M$4)=0),1,"")</f>
        <v/>
      </c>
      <c r="N22" s="165">
        <f>IF(AND(ISNUMBER($D22),ISNUMBER($E22),N$4&gt;=$D22,N$4&lt;=$E22,WEEKDAY(N$4,2)&lt;=5,COUNTIF('Sources &amp; Change Log'!$J$2:$J$5,N$4)=0,COUNTIFS('Team Calendar'!$A$5:$A$12,$F22,'Team Calendar'!$C$5:$C$12,N$4)=0),1,"")</f>
        <v/>
      </c>
      <c r="O22" s="165">
        <f>IF(AND(ISNUMBER($D22),ISNUMBER($E22),O$4&gt;=$D22,O$4&lt;=$E22,WEEKDAY(O$4,2)&lt;=5,COUNTIF('Sources &amp; Change Log'!$J$2:$J$5,O$4)=0,COUNTIFS('Team Calendar'!$A$5:$A$12,$F22,'Team Calendar'!$C$5:$C$12,O$4)=0),1,"")</f>
        <v/>
      </c>
      <c r="P22" s="165">
        <f>IF(AND(ISNUMBER($D22),ISNUMBER($E22),P$4&gt;=$D22,P$4&lt;=$E22,WEEKDAY(P$4,2)&lt;=5,COUNTIF('Sources &amp; Change Log'!$J$2:$J$5,P$4)=0,COUNTIFS('Team Calendar'!$A$5:$A$12,$F22,'Team Calendar'!$C$5:$C$12,P$4)=0),1,"")</f>
        <v/>
      </c>
      <c r="Q22" s="165">
        <f>IF(AND(ISNUMBER($D22),ISNUMBER($E22),Q$4&gt;=$D22,Q$4&lt;=$E22,WEEKDAY(Q$4,2)&lt;=5,COUNTIF('Sources &amp; Change Log'!$J$2:$J$5,Q$4)=0,COUNTIFS('Team Calendar'!$A$5:$A$12,$F22,'Team Calendar'!$C$5:$C$12,Q$4)=0),1,"")</f>
        <v/>
      </c>
      <c r="R22" s="165">
        <f>IF(AND(ISNUMBER($D22),ISNUMBER($E22),R$4&gt;=$D22,R$4&lt;=$E22,WEEKDAY(R$4,2)&lt;=5,COUNTIF('Sources &amp; Change Log'!$J$2:$J$5,R$4)=0,COUNTIFS('Team Calendar'!$A$5:$A$12,$F22,'Team Calendar'!$C$5:$C$12,R$4)=0),1,"")</f>
        <v/>
      </c>
      <c r="S22" s="166">
        <f>IF(AND(ISNUMBER($D22),ISNUMBER($E22),S$4&gt;=$D22,S$4&lt;=$E22,WEEKDAY(S$4,2)&lt;=5,COUNTIF('Sources &amp; Change Log'!$J$2:$J$5,S$4)=0,COUNTIFS('Team Calendar'!$A$5:$A$12,$F22,'Team Calendar'!$C$5:$C$12,S$4)=0),1,"")</f>
        <v/>
      </c>
      <c r="T22" s="166">
        <f>IF(AND(ISNUMBER($D22),ISNUMBER($E22),T$4&gt;=$D22,T$4&lt;=$E22,WEEKDAY(T$4,2)&lt;=5,COUNTIF('Sources &amp; Change Log'!$J$2:$J$5,T$4)=0,COUNTIFS('Team Calendar'!$A$5:$A$12,$F22,'Team Calendar'!$C$5:$C$12,T$4)=0),1,"")</f>
        <v/>
      </c>
      <c r="U22" s="165">
        <f>IF(AND(ISNUMBER($D22),ISNUMBER($E22),U$4&gt;=$D22,U$4&lt;=$E22,WEEKDAY(U$4,2)&lt;=5,COUNTIF('Sources &amp; Change Log'!$J$2:$J$5,U$4)=0,COUNTIFS('Team Calendar'!$A$5:$A$12,$F22,'Team Calendar'!$C$5:$C$12,U$4)=0),1,"")</f>
        <v/>
      </c>
      <c r="V22" s="165">
        <f>IF(AND(ISNUMBER($D22),ISNUMBER($E22),V$4&gt;=$D22,V$4&lt;=$E22,WEEKDAY(V$4,2)&lt;=5,COUNTIF('Sources &amp; Change Log'!$J$2:$J$5,V$4)=0,COUNTIFS('Team Calendar'!$A$5:$A$12,$F22,'Team Calendar'!$C$5:$C$12,V$4)=0),1,"")</f>
        <v/>
      </c>
      <c r="W22" s="165">
        <f>IF(AND(ISNUMBER($D22),ISNUMBER($E22),W$4&gt;=$D22,W$4&lt;=$E22,WEEKDAY(W$4,2)&lt;=5,COUNTIF('Sources &amp; Change Log'!$J$2:$J$5,W$4)=0,COUNTIFS('Team Calendar'!$A$5:$A$12,$F22,'Team Calendar'!$C$5:$C$12,W$4)=0),1,"")</f>
        <v/>
      </c>
      <c r="X22" s="165">
        <f>IF(AND(ISNUMBER($D22),ISNUMBER($E22),X$4&gt;=$D22,X$4&lt;=$E22,WEEKDAY(X$4,2)&lt;=5,COUNTIF('Sources &amp; Change Log'!$J$2:$J$5,X$4)=0,COUNTIFS('Team Calendar'!$A$5:$A$12,$F22,'Team Calendar'!$C$5:$C$12,X$4)=0),1,"")</f>
        <v/>
      </c>
      <c r="Y22" s="165">
        <f>IF(AND(ISNUMBER($D22),ISNUMBER($E22),Y$4&gt;=$D22,Y$4&lt;=$E22,WEEKDAY(Y$4,2)&lt;=5,COUNTIF('Sources &amp; Change Log'!$J$2:$J$5,Y$4)=0,COUNTIFS('Team Calendar'!$A$5:$A$12,$F22,'Team Calendar'!$C$5:$C$12,Y$4)=0),1,"")</f>
        <v/>
      </c>
      <c r="Z22" s="166">
        <f>IF(AND(ISNUMBER($D22),ISNUMBER($E22),Z$4&gt;=$D22,Z$4&lt;=$E22,WEEKDAY(Z$4,2)&lt;=5,COUNTIF('Sources &amp; Change Log'!$J$2:$J$5,Z$4)=0,COUNTIFS('Team Calendar'!$A$5:$A$12,$F22,'Team Calendar'!$C$5:$C$12,Z$4)=0),1,"")</f>
        <v/>
      </c>
      <c r="AA22" s="166">
        <f>IF(AND(ISNUMBER($D22),ISNUMBER($E22),AA$4&gt;=$D22,AA$4&lt;=$E22,WEEKDAY(AA$4,2)&lt;=5,COUNTIF('Sources &amp; Change Log'!$J$2:$J$5,AA$4)=0,COUNTIFS('Team Calendar'!$A$5:$A$12,$F22,'Team Calendar'!$C$5:$C$12,AA$4)=0),1,"")</f>
        <v/>
      </c>
      <c r="AB22" s="165">
        <f>IF(AND(ISNUMBER($D22),ISNUMBER($E22),AB$4&gt;=$D22,AB$4&lt;=$E22,WEEKDAY(AB$4,2)&lt;=5,COUNTIF('Sources &amp; Change Log'!$J$2:$J$5,AB$4)=0,COUNTIFS('Team Calendar'!$A$5:$A$12,$F22,'Team Calendar'!$C$5:$C$12,AB$4)=0),1,"")</f>
        <v/>
      </c>
      <c r="AC22" s="165">
        <f>IF(AND(ISNUMBER($D22),ISNUMBER($E22),AC$4&gt;=$D22,AC$4&lt;=$E22,WEEKDAY(AC$4,2)&lt;=5,COUNTIF('Sources &amp; Change Log'!$J$2:$J$5,AC$4)=0,COUNTIFS('Team Calendar'!$A$5:$A$12,$F22,'Team Calendar'!$C$5:$C$12,AC$4)=0),1,"")</f>
        <v/>
      </c>
      <c r="AD22" s="165">
        <f>IF(AND(ISNUMBER($D22),ISNUMBER($E22),AD$4&gt;=$D22,AD$4&lt;=$E22,WEEKDAY(AD$4,2)&lt;=5,COUNTIF('Sources &amp; Change Log'!$J$2:$J$5,AD$4)=0,COUNTIFS('Team Calendar'!$A$5:$A$12,$F22,'Team Calendar'!$C$5:$C$12,AD$4)=0),1,"")</f>
        <v/>
      </c>
      <c r="AE22" s="165">
        <f>IF(AND(ISNUMBER($D22),ISNUMBER($E22),AE$4&gt;=$D22,AE$4&lt;=$E22,WEEKDAY(AE$4,2)&lt;=5,COUNTIF('Sources &amp; Change Log'!$J$2:$J$5,AE$4)=0,COUNTIFS('Team Calendar'!$A$5:$A$12,$F22,'Team Calendar'!$C$5:$C$12,AE$4)=0),1,"")</f>
        <v/>
      </c>
      <c r="AF22" s="165">
        <f>IF(AND(ISNUMBER($D22),ISNUMBER($E22),AF$4&gt;=$D22,AF$4&lt;=$E22,WEEKDAY(AF$4,2)&lt;=5,COUNTIF('Sources &amp; Change Log'!$J$2:$J$5,AF$4)=0,COUNTIFS('Team Calendar'!$A$5:$A$12,$F22,'Team Calendar'!$C$5:$C$12,AF$4)=0),1,"")</f>
        <v/>
      </c>
      <c r="AG22" s="166">
        <f>IF(AND(ISNUMBER($D22),ISNUMBER($E22),AG$4&gt;=$D22,AG$4&lt;=$E22,WEEKDAY(AG$4,2)&lt;=5,COUNTIF('Sources &amp; Change Log'!$J$2:$J$5,AG$4)=0,COUNTIFS('Team Calendar'!$A$5:$A$12,$F22,'Team Calendar'!$C$5:$C$12,AG$4)=0),1,"")</f>
        <v/>
      </c>
      <c r="AH22" s="166">
        <f>IF(AND(ISNUMBER($D22),ISNUMBER($E22),AH$4&gt;=$D22,AH$4&lt;=$E22,WEEKDAY(AH$4,2)&lt;=5,COUNTIF('Sources &amp; Change Log'!$J$2:$J$5,AH$4)=0,COUNTIFS('Team Calendar'!$A$5:$A$12,$F22,'Team Calendar'!$C$5:$C$12,AH$4)=0),1,"")</f>
        <v/>
      </c>
      <c r="AI22" s="165">
        <f>IF(AND(ISNUMBER($D22),ISNUMBER($E22),AI$4&gt;=$D22,AI$4&lt;=$E22,WEEKDAY(AI$4,2)&lt;=5,COUNTIF('Sources &amp; Change Log'!$J$2:$J$5,AI$4)=0,COUNTIFS('Team Calendar'!$A$5:$A$12,$F22,'Team Calendar'!$C$5:$C$12,AI$4)=0),1,"")</f>
        <v/>
      </c>
    </row>
    <row r="23" ht="24" customHeight="1">
      <c r="A23" s="13">
        <f>WBS!A49</f>
        <v/>
      </c>
      <c r="B23" s="13">
        <f>WBS!B49</f>
        <v/>
      </c>
      <c r="C23" s="13">
        <f>WBS!G49</f>
        <v/>
      </c>
      <c r="D23" s="164">
        <f>IF(WBS!H49="","",WBS!H49)</f>
        <v/>
      </c>
      <c r="E23" s="164">
        <f>IF(WBS!I49="","",WBS!I49)</f>
        <v/>
      </c>
      <c r="F23" s="13">
        <f>WBS!L49</f>
        <v/>
      </c>
      <c r="G23" s="165">
        <f>IF(AND(ISNUMBER($D23),ISNUMBER($E23),G$4&gt;=$D23,G$4&lt;=$E23,WEEKDAY(G$4,2)&lt;=5,COUNTIF('Sources &amp; Change Log'!$J$2:$J$5,G$4)=0,COUNTIFS('Team Calendar'!$A$5:$A$12,$F23,'Team Calendar'!$C$5:$C$12,G$4)=0),1,"")</f>
        <v/>
      </c>
      <c r="H23" s="165">
        <f>IF(AND(ISNUMBER($D23),ISNUMBER($E23),H$4&gt;=$D23,H$4&lt;=$E23,WEEKDAY(H$4,2)&lt;=5,COUNTIF('Sources &amp; Change Log'!$J$2:$J$5,H$4)=0,COUNTIFS('Team Calendar'!$A$5:$A$12,$F23,'Team Calendar'!$C$5:$C$12,H$4)=0),1,"")</f>
        <v/>
      </c>
      <c r="I23" s="165">
        <f>IF(AND(ISNUMBER($D23),ISNUMBER($E23),I$4&gt;=$D23,I$4&lt;=$E23,WEEKDAY(I$4,2)&lt;=5,COUNTIF('Sources &amp; Change Log'!$J$2:$J$5,I$4)=0,COUNTIFS('Team Calendar'!$A$5:$A$12,$F23,'Team Calendar'!$C$5:$C$12,I$4)=0),1,"")</f>
        <v/>
      </c>
      <c r="J23" s="165">
        <f>IF(AND(ISNUMBER($D23),ISNUMBER($E23),J$4&gt;=$D23,J$4&lt;=$E23,WEEKDAY(J$4,2)&lt;=5,COUNTIF('Sources &amp; Change Log'!$J$2:$J$5,J$4)=0,COUNTIFS('Team Calendar'!$A$5:$A$12,$F23,'Team Calendar'!$C$5:$C$12,J$4)=0),1,"")</f>
        <v/>
      </c>
      <c r="K23" s="165">
        <f>IF(AND(ISNUMBER($D23),ISNUMBER($E23),K$4&gt;=$D23,K$4&lt;=$E23,WEEKDAY(K$4,2)&lt;=5,COUNTIF('Sources &amp; Change Log'!$J$2:$J$5,K$4)=0,COUNTIFS('Team Calendar'!$A$5:$A$12,$F23,'Team Calendar'!$C$5:$C$12,K$4)=0),1,"")</f>
        <v/>
      </c>
      <c r="L23" s="166">
        <f>IF(AND(ISNUMBER($D23),ISNUMBER($E23),L$4&gt;=$D23,L$4&lt;=$E23,WEEKDAY(L$4,2)&lt;=5,COUNTIF('Sources &amp; Change Log'!$J$2:$J$5,L$4)=0,COUNTIFS('Team Calendar'!$A$5:$A$12,$F23,'Team Calendar'!$C$5:$C$12,L$4)=0),1,"")</f>
        <v/>
      </c>
      <c r="M23" s="166">
        <f>IF(AND(ISNUMBER($D23),ISNUMBER($E23),M$4&gt;=$D23,M$4&lt;=$E23,WEEKDAY(M$4,2)&lt;=5,COUNTIF('Sources &amp; Change Log'!$J$2:$J$5,M$4)=0,COUNTIFS('Team Calendar'!$A$5:$A$12,$F23,'Team Calendar'!$C$5:$C$12,M$4)=0),1,"")</f>
        <v/>
      </c>
      <c r="N23" s="165">
        <f>IF(AND(ISNUMBER($D23),ISNUMBER($E23),N$4&gt;=$D23,N$4&lt;=$E23,WEEKDAY(N$4,2)&lt;=5,COUNTIF('Sources &amp; Change Log'!$J$2:$J$5,N$4)=0,COUNTIFS('Team Calendar'!$A$5:$A$12,$F23,'Team Calendar'!$C$5:$C$12,N$4)=0),1,"")</f>
        <v/>
      </c>
      <c r="O23" s="165">
        <f>IF(AND(ISNUMBER($D23),ISNUMBER($E23),O$4&gt;=$D23,O$4&lt;=$E23,WEEKDAY(O$4,2)&lt;=5,COUNTIF('Sources &amp; Change Log'!$J$2:$J$5,O$4)=0,COUNTIFS('Team Calendar'!$A$5:$A$12,$F23,'Team Calendar'!$C$5:$C$12,O$4)=0),1,"")</f>
        <v/>
      </c>
      <c r="P23" s="165">
        <f>IF(AND(ISNUMBER($D23),ISNUMBER($E23),P$4&gt;=$D23,P$4&lt;=$E23,WEEKDAY(P$4,2)&lt;=5,COUNTIF('Sources &amp; Change Log'!$J$2:$J$5,P$4)=0,COUNTIFS('Team Calendar'!$A$5:$A$12,$F23,'Team Calendar'!$C$5:$C$12,P$4)=0),1,"")</f>
        <v/>
      </c>
      <c r="Q23" s="165">
        <f>IF(AND(ISNUMBER($D23),ISNUMBER($E23),Q$4&gt;=$D23,Q$4&lt;=$E23,WEEKDAY(Q$4,2)&lt;=5,COUNTIF('Sources &amp; Change Log'!$J$2:$J$5,Q$4)=0,COUNTIFS('Team Calendar'!$A$5:$A$12,$F23,'Team Calendar'!$C$5:$C$12,Q$4)=0),1,"")</f>
        <v/>
      </c>
      <c r="R23" s="165">
        <f>IF(AND(ISNUMBER($D23),ISNUMBER($E23),R$4&gt;=$D23,R$4&lt;=$E23,WEEKDAY(R$4,2)&lt;=5,COUNTIF('Sources &amp; Change Log'!$J$2:$J$5,R$4)=0,COUNTIFS('Team Calendar'!$A$5:$A$12,$F23,'Team Calendar'!$C$5:$C$12,R$4)=0),1,"")</f>
        <v/>
      </c>
      <c r="S23" s="166">
        <f>IF(AND(ISNUMBER($D23),ISNUMBER($E23),S$4&gt;=$D23,S$4&lt;=$E23,WEEKDAY(S$4,2)&lt;=5,COUNTIF('Sources &amp; Change Log'!$J$2:$J$5,S$4)=0,COUNTIFS('Team Calendar'!$A$5:$A$12,$F23,'Team Calendar'!$C$5:$C$12,S$4)=0),1,"")</f>
        <v/>
      </c>
      <c r="T23" s="166">
        <f>IF(AND(ISNUMBER($D23),ISNUMBER($E23),T$4&gt;=$D23,T$4&lt;=$E23,WEEKDAY(T$4,2)&lt;=5,COUNTIF('Sources &amp; Change Log'!$J$2:$J$5,T$4)=0,COUNTIFS('Team Calendar'!$A$5:$A$12,$F23,'Team Calendar'!$C$5:$C$12,T$4)=0),1,"")</f>
        <v/>
      </c>
      <c r="U23" s="165">
        <f>IF(AND(ISNUMBER($D23),ISNUMBER($E23),U$4&gt;=$D23,U$4&lt;=$E23,WEEKDAY(U$4,2)&lt;=5,COUNTIF('Sources &amp; Change Log'!$J$2:$J$5,U$4)=0,COUNTIFS('Team Calendar'!$A$5:$A$12,$F23,'Team Calendar'!$C$5:$C$12,U$4)=0),1,"")</f>
        <v/>
      </c>
      <c r="V23" s="165">
        <f>IF(AND(ISNUMBER($D23),ISNUMBER($E23),V$4&gt;=$D23,V$4&lt;=$E23,WEEKDAY(V$4,2)&lt;=5,COUNTIF('Sources &amp; Change Log'!$J$2:$J$5,V$4)=0,COUNTIFS('Team Calendar'!$A$5:$A$12,$F23,'Team Calendar'!$C$5:$C$12,V$4)=0),1,"")</f>
        <v/>
      </c>
      <c r="W23" s="165">
        <f>IF(AND(ISNUMBER($D23),ISNUMBER($E23),W$4&gt;=$D23,W$4&lt;=$E23,WEEKDAY(W$4,2)&lt;=5,COUNTIF('Sources &amp; Change Log'!$J$2:$J$5,W$4)=0,COUNTIFS('Team Calendar'!$A$5:$A$12,$F23,'Team Calendar'!$C$5:$C$12,W$4)=0),1,"")</f>
        <v/>
      </c>
      <c r="X23" s="165">
        <f>IF(AND(ISNUMBER($D23),ISNUMBER($E23),X$4&gt;=$D23,X$4&lt;=$E23,WEEKDAY(X$4,2)&lt;=5,COUNTIF('Sources &amp; Change Log'!$J$2:$J$5,X$4)=0,COUNTIFS('Team Calendar'!$A$5:$A$12,$F23,'Team Calendar'!$C$5:$C$12,X$4)=0),1,"")</f>
        <v/>
      </c>
      <c r="Y23" s="165">
        <f>IF(AND(ISNUMBER($D23),ISNUMBER($E23),Y$4&gt;=$D23,Y$4&lt;=$E23,WEEKDAY(Y$4,2)&lt;=5,COUNTIF('Sources &amp; Change Log'!$J$2:$J$5,Y$4)=0,COUNTIFS('Team Calendar'!$A$5:$A$12,$F23,'Team Calendar'!$C$5:$C$12,Y$4)=0),1,"")</f>
        <v/>
      </c>
      <c r="Z23" s="166">
        <f>IF(AND(ISNUMBER($D23),ISNUMBER($E23),Z$4&gt;=$D23,Z$4&lt;=$E23,WEEKDAY(Z$4,2)&lt;=5,COUNTIF('Sources &amp; Change Log'!$J$2:$J$5,Z$4)=0,COUNTIFS('Team Calendar'!$A$5:$A$12,$F23,'Team Calendar'!$C$5:$C$12,Z$4)=0),1,"")</f>
        <v/>
      </c>
      <c r="AA23" s="166">
        <f>IF(AND(ISNUMBER($D23),ISNUMBER($E23),AA$4&gt;=$D23,AA$4&lt;=$E23,WEEKDAY(AA$4,2)&lt;=5,COUNTIF('Sources &amp; Change Log'!$J$2:$J$5,AA$4)=0,COUNTIFS('Team Calendar'!$A$5:$A$12,$F23,'Team Calendar'!$C$5:$C$12,AA$4)=0),1,"")</f>
        <v/>
      </c>
      <c r="AB23" s="165">
        <f>IF(AND(ISNUMBER($D23),ISNUMBER($E23),AB$4&gt;=$D23,AB$4&lt;=$E23,WEEKDAY(AB$4,2)&lt;=5,COUNTIF('Sources &amp; Change Log'!$J$2:$J$5,AB$4)=0,COUNTIFS('Team Calendar'!$A$5:$A$12,$F23,'Team Calendar'!$C$5:$C$12,AB$4)=0),1,"")</f>
        <v/>
      </c>
      <c r="AC23" s="165">
        <f>IF(AND(ISNUMBER($D23),ISNUMBER($E23),AC$4&gt;=$D23,AC$4&lt;=$E23,WEEKDAY(AC$4,2)&lt;=5,COUNTIF('Sources &amp; Change Log'!$J$2:$J$5,AC$4)=0,COUNTIFS('Team Calendar'!$A$5:$A$12,$F23,'Team Calendar'!$C$5:$C$12,AC$4)=0),1,"")</f>
        <v/>
      </c>
      <c r="AD23" s="165">
        <f>IF(AND(ISNUMBER($D23),ISNUMBER($E23),AD$4&gt;=$D23,AD$4&lt;=$E23,WEEKDAY(AD$4,2)&lt;=5,COUNTIF('Sources &amp; Change Log'!$J$2:$J$5,AD$4)=0,COUNTIFS('Team Calendar'!$A$5:$A$12,$F23,'Team Calendar'!$C$5:$C$12,AD$4)=0),1,"")</f>
        <v/>
      </c>
      <c r="AE23" s="165">
        <f>IF(AND(ISNUMBER($D23),ISNUMBER($E23),AE$4&gt;=$D23,AE$4&lt;=$E23,WEEKDAY(AE$4,2)&lt;=5,COUNTIF('Sources &amp; Change Log'!$J$2:$J$5,AE$4)=0,COUNTIFS('Team Calendar'!$A$5:$A$12,$F23,'Team Calendar'!$C$5:$C$12,AE$4)=0),1,"")</f>
        <v/>
      </c>
      <c r="AF23" s="165">
        <f>IF(AND(ISNUMBER($D23),ISNUMBER($E23),AF$4&gt;=$D23,AF$4&lt;=$E23,WEEKDAY(AF$4,2)&lt;=5,COUNTIF('Sources &amp; Change Log'!$J$2:$J$5,AF$4)=0,COUNTIFS('Team Calendar'!$A$5:$A$12,$F23,'Team Calendar'!$C$5:$C$12,AF$4)=0),1,"")</f>
        <v/>
      </c>
      <c r="AG23" s="166">
        <f>IF(AND(ISNUMBER($D23),ISNUMBER($E23),AG$4&gt;=$D23,AG$4&lt;=$E23,WEEKDAY(AG$4,2)&lt;=5,COUNTIF('Sources &amp; Change Log'!$J$2:$J$5,AG$4)=0,COUNTIFS('Team Calendar'!$A$5:$A$12,$F23,'Team Calendar'!$C$5:$C$12,AG$4)=0),1,"")</f>
        <v/>
      </c>
      <c r="AH23" s="166">
        <f>IF(AND(ISNUMBER($D23),ISNUMBER($E23),AH$4&gt;=$D23,AH$4&lt;=$E23,WEEKDAY(AH$4,2)&lt;=5,COUNTIF('Sources &amp; Change Log'!$J$2:$J$5,AH$4)=0,COUNTIFS('Team Calendar'!$A$5:$A$12,$F23,'Team Calendar'!$C$5:$C$12,AH$4)=0),1,"")</f>
        <v/>
      </c>
      <c r="AI23" s="165">
        <f>IF(AND(ISNUMBER($D23),ISNUMBER($E23),AI$4&gt;=$D23,AI$4&lt;=$E23,WEEKDAY(AI$4,2)&lt;=5,COUNTIF('Sources &amp; Change Log'!$J$2:$J$5,AI$4)=0,COUNTIFS('Team Calendar'!$A$5:$A$12,$F23,'Team Calendar'!$C$5:$C$12,AI$4)=0),1,"")</f>
        <v/>
      </c>
    </row>
    <row r="24" ht="24" customHeight="1">
      <c r="A24" s="13">
        <f>WBS!A50</f>
        <v/>
      </c>
      <c r="B24" s="13">
        <f>WBS!B50</f>
        <v/>
      </c>
      <c r="C24" s="13">
        <f>WBS!G50</f>
        <v/>
      </c>
      <c r="D24" s="164">
        <f>IF(WBS!H50="","",WBS!H50)</f>
        <v/>
      </c>
      <c r="E24" s="164">
        <f>IF(WBS!I50="","",WBS!I50)</f>
        <v/>
      </c>
      <c r="F24" s="13">
        <f>WBS!L50</f>
        <v/>
      </c>
      <c r="G24" s="165">
        <f>IF(AND(ISNUMBER($D24),ISNUMBER($E24),G$4&gt;=$D24,G$4&lt;=$E24,WEEKDAY(G$4,2)&lt;=5,COUNTIF('Sources &amp; Change Log'!$J$2:$J$5,G$4)=0,COUNTIFS('Team Calendar'!$A$5:$A$12,$F24,'Team Calendar'!$C$5:$C$12,G$4)=0),1,"")</f>
        <v/>
      </c>
      <c r="H24" s="165">
        <f>IF(AND(ISNUMBER($D24),ISNUMBER($E24),H$4&gt;=$D24,H$4&lt;=$E24,WEEKDAY(H$4,2)&lt;=5,COUNTIF('Sources &amp; Change Log'!$J$2:$J$5,H$4)=0,COUNTIFS('Team Calendar'!$A$5:$A$12,$F24,'Team Calendar'!$C$5:$C$12,H$4)=0),1,"")</f>
        <v/>
      </c>
      <c r="I24" s="165">
        <f>IF(AND(ISNUMBER($D24),ISNUMBER($E24),I$4&gt;=$D24,I$4&lt;=$E24,WEEKDAY(I$4,2)&lt;=5,COUNTIF('Sources &amp; Change Log'!$J$2:$J$5,I$4)=0,COUNTIFS('Team Calendar'!$A$5:$A$12,$F24,'Team Calendar'!$C$5:$C$12,I$4)=0),1,"")</f>
        <v/>
      </c>
      <c r="J24" s="165">
        <f>IF(AND(ISNUMBER($D24),ISNUMBER($E24),J$4&gt;=$D24,J$4&lt;=$E24,WEEKDAY(J$4,2)&lt;=5,COUNTIF('Sources &amp; Change Log'!$J$2:$J$5,J$4)=0,COUNTIFS('Team Calendar'!$A$5:$A$12,$F24,'Team Calendar'!$C$5:$C$12,J$4)=0),1,"")</f>
        <v/>
      </c>
      <c r="K24" s="165">
        <f>IF(AND(ISNUMBER($D24),ISNUMBER($E24),K$4&gt;=$D24,K$4&lt;=$E24,WEEKDAY(K$4,2)&lt;=5,COUNTIF('Sources &amp; Change Log'!$J$2:$J$5,K$4)=0,COUNTIFS('Team Calendar'!$A$5:$A$12,$F24,'Team Calendar'!$C$5:$C$12,K$4)=0),1,"")</f>
        <v/>
      </c>
      <c r="L24" s="166">
        <f>IF(AND(ISNUMBER($D24),ISNUMBER($E24),L$4&gt;=$D24,L$4&lt;=$E24,WEEKDAY(L$4,2)&lt;=5,COUNTIF('Sources &amp; Change Log'!$J$2:$J$5,L$4)=0,COUNTIFS('Team Calendar'!$A$5:$A$12,$F24,'Team Calendar'!$C$5:$C$12,L$4)=0),1,"")</f>
        <v/>
      </c>
      <c r="M24" s="166">
        <f>IF(AND(ISNUMBER($D24),ISNUMBER($E24),M$4&gt;=$D24,M$4&lt;=$E24,WEEKDAY(M$4,2)&lt;=5,COUNTIF('Sources &amp; Change Log'!$J$2:$J$5,M$4)=0,COUNTIFS('Team Calendar'!$A$5:$A$12,$F24,'Team Calendar'!$C$5:$C$12,M$4)=0),1,"")</f>
        <v/>
      </c>
      <c r="N24" s="165">
        <f>IF(AND(ISNUMBER($D24),ISNUMBER($E24),N$4&gt;=$D24,N$4&lt;=$E24,WEEKDAY(N$4,2)&lt;=5,COUNTIF('Sources &amp; Change Log'!$J$2:$J$5,N$4)=0,COUNTIFS('Team Calendar'!$A$5:$A$12,$F24,'Team Calendar'!$C$5:$C$12,N$4)=0),1,"")</f>
        <v/>
      </c>
      <c r="O24" s="165">
        <f>IF(AND(ISNUMBER($D24),ISNUMBER($E24),O$4&gt;=$D24,O$4&lt;=$E24,WEEKDAY(O$4,2)&lt;=5,COUNTIF('Sources &amp; Change Log'!$J$2:$J$5,O$4)=0,COUNTIFS('Team Calendar'!$A$5:$A$12,$F24,'Team Calendar'!$C$5:$C$12,O$4)=0),1,"")</f>
        <v/>
      </c>
      <c r="P24" s="165">
        <f>IF(AND(ISNUMBER($D24),ISNUMBER($E24),P$4&gt;=$D24,P$4&lt;=$E24,WEEKDAY(P$4,2)&lt;=5,COUNTIF('Sources &amp; Change Log'!$J$2:$J$5,P$4)=0,COUNTIFS('Team Calendar'!$A$5:$A$12,$F24,'Team Calendar'!$C$5:$C$12,P$4)=0),1,"")</f>
        <v/>
      </c>
      <c r="Q24" s="165">
        <f>IF(AND(ISNUMBER($D24),ISNUMBER($E24),Q$4&gt;=$D24,Q$4&lt;=$E24,WEEKDAY(Q$4,2)&lt;=5,COUNTIF('Sources &amp; Change Log'!$J$2:$J$5,Q$4)=0,COUNTIFS('Team Calendar'!$A$5:$A$12,$F24,'Team Calendar'!$C$5:$C$12,Q$4)=0),1,"")</f>
        <v/>
      </c>
      <c r="R24" s="165">
        <f>IF(AND(ISNUMBER($D24),ISNUMBER($E24),R$4&gt;=$D24,R$4&lt;=$E24,WEEKDAY(R$4,2)&lt;=5,COUNTIF('Sources &amp; Change Log'!$J$2:$J$5,R$4)=0,COUNTIFS('Team Calendar'!$A$5:$A$12,$F24,'Team Calendar'!$C$5:$C$12,R$4)=0),1,"")</f>
        <v/>
      </c>
      <c r="S24" s="166">
        <f>IF(AND(ISNUMBER($D24),ISNUMBER($E24),S$4&gt;=$D24,S$4&lt;=$E24,WEEKDAY(S$4,2)&lt;=5,COUNTIF('Sources &amp; Change Log'!$J$2:$J$5,S$4)=0,COUNTIFS('Team Calendar'!$A$5:$A$12,$F24,'Team Calendar'!$C$5:$C$12,S$4)=0),1,"")</f>
        <v/>
      </c>
      <c r="T24" s="166">
        <f>IF(AND(ISNUMBER($D24),ISNUMBER($E24),T$4&gt;=$D24,T$4&lt;=$E24,WEEKDAY(T$4,2)&lt;=5,COUNTIF('Sources &amp; Change Log'!$J$2:$J$5,T$4)=0,COUNTIFS('Team Calendar'!$A$5:$A$12,$F24,'Team Calendar'!$C$5:$C$12,T$4)=0),1,"")</f>
        <v/>
      </c>
      <c r="U24" s="165">
        <f>IF(AND(ISNUMBER($D24),ISNUMBER($E24),U$4&gt;=$D24,U$4&lt;=$E24,WEEKDAY(U$4,2)&lt;=5,COUNTIF('Sources &amp; Change Log'!$J$2:$J$5,U$4)=0,COUNTIFS('Team Calendar'!$A$5:$A$12,$F24,'Team Calendar'!$C$5:$C$12,U$4)=0),1,"")</f>
        <v/>
      </c>
      <c r="V24" s="165">
        <f>IF(AND(ISNUMBER($D24),ISNUMBER($E24),V$4&gt;=$D24,V$4&lt;=$E24,WEEKDAY(V$4,2)&lt;=5,COUNTIF('Sources &amp; Change Log'!$J$2:$J$5,V$4)=0,COUNTIFS('Team Calendar'!$A$5:$A$12,$F24,'Team Calendar'!$C$5:$C$12,V$4)=0),1,"")</f>
        <v/>
      </c>
      <c r="W24" s="165">
        <f>IF(AND(ISNUMBER($D24),ISNUMBER($E24),W$4&gt;=$D24,W$4&lt;=$E24,WEEKDAY(W$4,2)&lt;=5,COUNTIF('Sources &amp; Change Log'!$J$2:$J$5,W$4)=0,COUNTIFS('Team Calendar'!$A$5:$A$12,$F24,'Team Calendar'!$C$5:$C$12,W$4)=0),1,"")</f>
        <v/>
      </c>
      <c r="X24" s="165">
        <f>IF(AND(ISNUMBER($D24),ISNUMBER($E24),X$4&gt;=$D24,X$4&lt;=$E24,WEEKDAY(X$4,2)&lt;=5,COUNTIF('Sources &amp; Change Log'!$J$2:$J$5,X$4)=0,COUNTIFS('Team Calendar'!$A$5:$A$12,$F24,'Team Calendar'!$C$5:$C$12,X$4)=0),1,"")</f>
        <v/>
      </c>
      <c r="Y24" s="165">
        <f>IF(AND(ISNUMBER($D24),ISNUMBER($E24),Y$4&gt;=$D24,Y$4&lt;=$E24,WEEKDAY(Y$4,2)&lt;=5,COUNTIF('Sources &amp; Change Log'!$J$2:$J$5,Y$4)=0,COUNTIFS('Team Calendar'!$A$5:$A$12,$F24,'Team Calendar'!$C$5:$C$12,Y$4)=0),1,"")</f>
        <v/>
      </c>
      <c r="Z24" s="166">
        <f>IF(AND(ISNUMBER($D24),ISNUMBER($E24),Z$4&gt;=$D24,Z$4&lt;=$E24,WEEKDAY(Z$4,2)&lt;=5,COUNTIF('Sources &amp; Change Log'!$J$2:$J$5,Z$4)=0,COUNTIFS('Team Calendar'!$A$5:$A$12,$F24,'Team Calendar'!$C$5:$C$12,Z$4)=0),1,"")</f>
        <v/>
      </c>
      <c r="AA24" s="166">
        <f>IF(AND(ISNUMBER($D24),ISNUMBER($E24),AA$4&gt;=$D24,AA$4&lt;=$E24,WEEKDAY(AA$4,2)&lt;=5,COUNTIF('Sources &amp; Change Log'!$J$2:$J$5,AA$4)=0,COUNTIFS('Team Calendar'!$A$5:$A$12,$F24,'Team Calendar'!$C$5:$C$12,AA$4)=0),1,"")</f>
        <v/>
      </c>
      <c r="AB24" s="165">
        <f>IF(AND(ISNUMBER($D24),ISNUMBER($E24),AB$4&gt;=$D24,AB$4&lt;=$E24,WEEKDAY(AB$4,2)&lt;=5,COUNTIF('Sources &amp; Change Log'!$J$2:$J$5,AB$4)=0,COUNTIFS('Team Calendar'!$A$5:$A$12,$F24,'Team Calendar'!$C$5:$C$12,AB$4)=0),1,"")</f>
        <v/>
      </c>
      <c r="AC24" s="165">
        <f>IF(AND(ISNUMBER($D24),ISNUMBER($E24),AC$4&gt;=$D24,AC$4&lt;=$E24,WEEKDAY(AC$4,2)&lt;=5,COUNTIF('Sources &amp; Change Log'!$J$2:$J$5,AC$4)=0,COUNTIFS('Team Calendar'!$A$5:$A$12,$F24,'Team Calendar'!$C$5:$C$12,AC$4)=0),1,"")</f>
        <v/>
      </c>
      <c r="AD24" s="165">
        <f>IF(AND(ISNUMBER($D24),ISNUMBER($E24),AD$4&gt;=$D24,AD$4&lt;=$E24,WEEKDAY(AD$4,2)&lt;=5,COUNTIF('Sources &amp; Change Log'!$J$2:$J$5,AD$4)=0,COUNTIFS('Team Calendar'!$A$5:$A$12,$F24,'Team Calendar'!$C$5:$C$12,AD$4)=0),1,"")</f>
        <v/>
      </c>
      <c r="AE24" s="165">
        <f>IF(AND(ISNUMBER($D24),ISNUMBER($E24),AE$4&gt;=$D24,AE$4&lt;=$E24,WEEKDAY(AE$4,2)&lt;=5,COUNTIF('Sources &amp; Change Log'!$J$2:$J$5,AE$4)=0,COUNTIFS('Team Calendar'!$A$5:$A$12,$F24,'Team Calendar'!$C$5:$C$12,AE$4)=0),1,"")</f>
        <v/>
      </c>
      <c r="AF24" s="165">
        <f>IF(AND(ISNUMBER($D24),ISNUMBER($E24),AF$4&gt;=$D24,AF$4&lt;=$E24,WEEKDAY(AF$4,2)&lt;=5,COUNTIF('Sources &amp; Change Log'!$J$2:$J$5,AF$4)=0,COUNTIFS('Team Calendar'!$A$5:$A$12,$F24,'Team Calendar'!$C$5:$C$12,AF$4)=0),1,"")</f>
        <v/>
      </c>
      <c r="AG24" s="166">
        <f>IF(AND(ISNUMBER($D24),ISNUMBER($E24),AG$4&gt;=$D24,AG$4&lt;=$E24,WEEKDAY(AG$4,2)&lt;=5,COUNTIF('Sources &amp; Change Log'!$J$2:$J$5,AG$4)=0,COUNTIFS('Team Calendar'!$A$5:$A$12,$F24,'Team Calendar'!$C$5:$C$12,AG$4)=0),1,"")</f>
        <v/>
      </c>
      <c r="AH24" s="166">
        <f>IF(AND(ISNUMBER($D24),ISNUMBER($E24),AH$4&gt;=$D24,AH$4&lt;=$E24,WEEKDAY(AH$4,2)&lt;=5,COUNTIF('Sources &amp; Change Log'!$J$2:$J$5,AH$4)=0,COUNTIFS('Team Calendar'!$A$5:$A$12,$F24,'Team Calendar'!$C$5:$C$12,AH$4)=0),1,"")</f>
        <v/>
      </c>
      <c r="AI24" s="165">
        <f>IF(AND(ISNUMBER($D24),ISNUMBER($E24),AI$4&gt;=$D24,AI$4&lt;=$E24,WEEKDAY(AI$4,2)&lt;=5,COUNTIF('Sources &amp; Change Log'!$J$2:$J$5,AI$4)=0,COUNTIFS('Team Calendar'!$A$5:$A$12,$F24,'Team Calendar'!$C$5:$C$12,AI$4)=0),1,"")</f>
        <v/>
      </c>
    </row>
    <row r="25" ht="24" customHeight="1">
      <c r="A25" s="13">
        <f>WBS!A51</f>
        <v/>
      </c>
      <c r="B25" s="13">
        <f>WBS!B51</f>
        <v/>
      </c>
      <c r="C25" s="13">
        <f>WBS!G51</f>
        <v/>
      </c>
      <c r="D25" s="164">
        <f>IF(WBS!H51="","",WBS!H51)</f>
        <v/>
      </c>
      <c r="E25" s="164">
        <f>IF(WBS!I51="","",WBS!I51)</f>
        <v/>
      </c>
      <c r="F25" s="13">
        <f>WBS!L51</f>
        <v/>
      </c>
      <c r="G25" s="165">
        <f>IF(AND(ISNUMBER($D25),ISNUMBER($E25),G$4&gt;=$D25,G$4&lt;=$E25,WEEKDAY(G$4,2)&lt;=5,COUNTIF('Sources &amp; Change Log'!$J$2:$J$5,G$4)=0,COUNTIFS('Team Calendar'!$A$5:$A$12,$F25,'Team Calendar'!$C$5:$C$12,G$4)=0),1,"")</f>
        <v/>
      </c>
      <c r="H25" s="165">
        <f>IF(AND(ISNUMBER($D25),ISNUMBER($E25),H$4&gt;=$D25,H$4&lt;=$E25,WEEKDAY(H$4,2)&lt;=5,COUNTIF('Sources &amp; Change Log'!$J$2:$J$5,H$4)=0,COUNTIFS('Team Calendar'!$A$5:$A$12,$F25,'Team Calendar'!$C$5:$C$12,H$4)=0),1,"")</f>
        <v/>
      </c>
      <c r="I25" s="165">
        <f>IF(AND(ISNUMBER($D25),ISNUMBER($E25),I$4&gt;=$D25,I$4&lt;=$E25,WEEKDAY(I$4,2)&lt;=5,COUNTIF('Sources &amp; Change Log'!$J$2:$J$5,I$4)=0,COUNTIFS('Team Calendar'!$A$5:$A$12,$F25,'Team Calendar'!$C$5:$C$12,I$4)=0),1,"")</f>
        <v/>
      </c>
      <c r="J25" s="165">
        <f>IF(AND(ISNUMBER($D25),ISNUMBER($E25),J$4&gt;=$D25,J$4&lt;=$E25,WEEKDAY(J$4,2)&lt;=5,COUNTIF('Sources &amp; Change Log'!$J$2:$J$5,J$4)=0,COUNTIFS('Team Calendar'!$A$5:$A$12,$F25,'Team Calendar'!$C$5:$C$12,J$4)=0),1,"")</f>
        <v/>
      </c>
      <c r="K25" s="165">
        <f>IF(AND(ISNUMBER($D25),ISNUMBER($E25),K$4&gt;=$D25,K$4&lt;=$E25,WEEKDAY(K$4,2)&lt;=5,COUNTIF('Sources &amp; Change Log'!$J$2:$J$5,K$4)=0,COUNTIFS('Team Calendar'!$A$5:$A$12,$F25,'Team Calendar'!$C$5:$C$12,K$4)=0),1,"")</f>
        <v/>
      </c>
      <c r="L25" s="166">
        <f>IF(AND(ISNUMBER($D25),ISNUMBER($E25),L$4&gt;=$D25,L$4&lt;=$E25,WEEKDAY(L$4,2)&lt;=5,COUNTIF('Sources &amp; Change Log'!$J$2:$J$5,L$4)=0,COUNTIFS('Team Calendar'!$A$5:$A$12,$F25,'Team Calendar'!$C$5:$C$12,L$4)=0),1,"")</f>
        <v/>
      </c>
      <c r="M25" s="166">
        <f>IF(AND(ISNUMBER($D25),ISNUMBER($E25),M$4&gt;=$D25,M$4&lt;=$E25,WEEKDAY(M$4,2)&lt;=5,COUNTIF('Sources &amp; Change Log'!$J$2:$J$5,M$4)=0,COUNTIFS('Team Calendar'!$A$5:$A$12,$F25,'Team Calendar'!$C$5:$C$12,M$4)=0),1,"")</f>
        <v/>
      </c>
      <c r="N25" s="165">
        <f>IF(AND(ISNUMBER($D25),ISNUMBER($E25),N$4&gt;=$D25,N$4&lt;=$E25,WEEKDAY(N$4,2)&lt;=5,COUNTIF('Sources &amp; Change Log'!$J$2:$J$5,N$4)=0,COUNTIFS('Team Calendar'!$A$5:$A$12,$F25,'Team Calendar'!$C$5:$C$12,N$4)=0),1,"")</f>
        <v/>
      </c>
      <c r="O25" s="165">
        <f>IF(AND(ISNUMBER($D25),ISNUMBER($E25),O$4&gt;=$D25,O$4&lt;=$E25,WEEKDAY(O$4,2)&lt;=5,COUNTIF('Sources &amp; Change Log'!$J$2:$J$5,O$4)=0,COUNTIFS('Team Calendar'!$A$5:$A$12,$F25,'Team Calendar'!$C$5:$C$12,O$4)=0),1,"")</f>
        <v/>
      </c>
      <c r="P25" s="165">
        <f>IF(AND(ISNUMBER($D25),ISNUMBER($E25),P$4&gt;=$D25,P$4&lt;=$E25,WEEKDAY(P$4,2)&lt;=5,COUNTIF('Sources &amp; Change Log'!$J$2:$J$5,P$4)=0,COUNTIFS('Team Calendar'!$A$5:$A$12,$F25,'Team Calendar'!$C$5:$C$12,P$4)=0),1,"")</f>
        <v/>
      </c>
      <c r="Q25" s="165">
        <f>IF(AND(ISNUMBER($D25),ISNUMBER($E25),Q$4&gt;=$D25,Q$4&lt;=$E25,WEEKDAY(Q$4,2)&lt;=5,COUNTIF('Sources &amp; Change Log'!$J$2:$J$5,Q$4)=0,COUNTIFS('Team Calendar'!$A$5:$A$12,$F25,'Team Calendar'!$C$5:$C$12,Q$4)=0),1,"")</f>
        <v/>
      </c>
      <c r="R25" s="165">
        <f>IF(AND(ISNUMBER($D25),ISNUMBER($E25),R$4&gt;=$D25,R$4&lt;=$E25,WEEKDAY(R$4,2)&lt;=5,COUNTIF('Sources &amp; Change Log'!$J$2:$J$5,R$4)=0,COUNTIFS('Team Calendar'!$A$5:$A$12,$F25,'Team Calendar'!$C$5:$C$12,R$4)=0),1,"")</f>
        <v/>
      </c>
      <c r="S25" s="166">
        <f>IF(AND(ISNUMBER($D25),ISNUMBER($E25),S$4&gt;=$D25,S$4&lt;=$E25,WEEKDAY(S$4,2)&lt;=5,COUNTIF('Sources &amp; Change Log'!$J$2:$J$5,S$4)=0,COUNTIFS('Team Calendar'!$A$5:$A$12,$F25,'Team Calendar'!$C$5:$C$12,S$4)=0),1,"")</f>
        <v/>
      </c>
      <c r="T25" s="166">
        <f>IF(AND(ISNUMBER($D25),ISNUMBER($E25),T$4&gt;=$D25,T$4&lt;=$E25,WEEKDAY(T$4,2)&lt;=5,COUNTIF('Sources &amp; Change Log'!$J$2:$J$5,T$4)=0,COUNTIFS('Team Calendar'!$A$5:$A$12,$F25,'Team Calendar'!$C$5:$C$12,T$4)=0),1,"")</f>
        <v/>
      </c>
      <c r="U25" s="165">
        <f>IF(AND(ISNUMBER($D25),ISNUMBER($E25),U$4&gt;=$D25,U$4&lt;=$E25,WEEKDAY(U$4,2)&lt;=5,COUNTIF('Sources &amp; Change Log'!$J$2:$J$5,U$4)=0,COUNTIFS('Team Calendar'!$A$5:$A$12,$F25,'Team Calendar'!$C$5:$C$12,U$4)=0),1,"")</f>
        <v/>
      </c>
      <c r="V25" s="165">
        <f>IF(AND(ISNUMBER($D25),ISNUMBER($E25),V$4&gt;=$D25,V$4&lt;=$E25,WEEKDAY(V$4,2)&lt;=5,COUNTIF('Sources &amp; Change Log'!$J$2:$J$5,V$4)=0,COUNTIFS('Team Calendar'!$A$5:$A$12,$F25,'Team Calendar'!$C$5:$C$12,V$4)=0),1,"")</f>
        <v/>
      </c>
      <c r="W25" s="165">
        <f>IF(AND(ISNUMBER($D25),ISNUMBER($E25),W$4&gt;=$D25,W$4&lt;=$E25,WEEKDAY(W$4,2)&lt;=5,COUNTIF('Sources &amp; Change Log'!$J$2:$J$5,W$4)=0,COUNTIFS('Team Calendar'!$A$5:$A$12,$F25,'Team Calendar'!$C$5:$C$12,W$4)=0),1,"")</f>
        <v/>
      </c>
      <c r="X25" s="165">
        <f>IF(AND(ISNUMBER($D25),ISNUMBER($E25),X$4&gt;=$D25,X$4&lt;=$E25,WEEKDAY(X$4,2)&lt;=5,COUNTIF('Sources &amp; Change Log'!$J$2:$J$5,X$4)=0,COUNTIFS('Team Calendar'!$A$5:$A$12,$F25,'Team Calendar'!$C$5:$C$12,X$4)=0),1,"")</f>
        <v/>
      </c>
      <c r="Y25" s="165">
        <f>IF(AND(ISNUMBER($D25),ISNUMBER($E25),Y$4&gt;=$D25,Y$4&lt;=$E25,WEEKDAY(Y$4,2)&lt;=5,COUNTIF('Sources &amp; Change Log'!$J$2:$J$5,Y$4)=0,COUNTIFS('Team Calendar'!$A$5:$A$12,$F25,'Team Calendar'!$C$5:$C$12,Y$4)=0),1,"")</f>
        <v/>
      </c>
      <c r="Z25" s="166">
        <f>IF(AND(ISNUMBER($D25),ISNUMBER($E25),Z$4&gt;=$D25,Z$4&lt;=$E25,WEEKDAY(Z$4,2)&lt;=5,COUNTIF('Sources &amp; Change Log'!$J$2:$J$5,Z$4)=0,COUNTIFS('Team Calendar'!$A$5:$A$12,$F25,'Team Calendar'!$C$5:$C$12,Z$4)=0),1,"")</f>
        <v/>
      </c>
      <c r="AA25" s="166">
        <f>IF(AND(ISNUMBER($D25),ISNUMBER($E25),AA$4&gt;=$D25,AA$4&lt;=$E25,WEEKDAY(AA$4,2)&lt;=5,COUNTIF('Sources &amp; Change Log'!$J$2:$J$5,AA$4)=0,COUNTIFS('Team Calendar'!$A$5:$A$12,$F25,'Team Calendar'!$C$5:$C$12,AA$4)=0),1,"")</f>
        <v/>
      </c>
      <c r="AB25" s="165">
        <f>IF(AND(ISNUMBER($D25),ISNUMBER($E25),AB$4&gt;=$D25,AB$4&lt;=$E25,WEEKDAY(AB$4,2)&lt;=5,COUNTIF('Sources &amp; Change Log'!$J$2:$J$5,AB$4)=0,COUNTIFS('Team Calendar'!$A$5:$A$12,$F25,'Team Calendar'!$C$5:$C$12,AB$4)=0),1,"")</f>
        <v/>
      </c>
      <c r="AC25" s="165">
        <f>IF(AND(ISNUMBER($D25),ISNUMBER($E25),AC$4&gt;=$D25,AC$4&lt;=$E25,WEEKDAY(AC$4,2)&lt;=5,COUNTIF('Sources &amp; Change Log'!$J$2:$J$5,AC$4)=0,COUNTIFS('Team Calendar'!$A$5:$A$12,$F25,'Team Calendar'!$C$5:$C$12,AC$4)=0),1,"")</f>
        <v/>
      </c>
      <c r="AD25" s="165">
        <f>IF(AND(ISNUMBER($D25),ISNUMBER($E25),AD$4&gt;=$D25,AD$4&lt;=$E25,WEEKDAY(AD$4,2)&lt;=5,COUNTIF('Sources &amp; Change Log'!$J$2:$J$5,AD$4)=0,COUNTIFS('Team Calendar'!$A$5:$A$12,$F25,'Team Calendar'!$C$5:$C$12,AD$4)=0),1,"")</f>
        <v/>
      </c>
      <c r="AE25" s="165">
        <f>IF(AND(ISNUMBER($D25),ISNUMBER($E25),AE$4&gt;=$D25,AE$4&lt;=$E25,WEEKDAY(AE$4,2)&lt;=5,COUNTIF('Sources &amp; Change Log'!$J$2:$J$5,AE$4)=0,COUNTIFS('Team Calendar'!$A$5:$A$12,$F25,'Team Calendar'!$C$5:$C$12,AE$4)=0),1,"")</f>
        <v/>
      </c>
      <c r="AF25" s="165">
        <f>IF(AND(ISNUMBER($D25),ISNUMBER($E25),AF$4&gt;=$D25,AF$4&lt;=$E25,WEEKDAY(AF$4,2)&lt;=5,COUNTIF('Sources &amp; Change Log'!$J$2:$J$5,AF$4)=0,COUNTIFS('Team Calendar'!$A$5:$A$12,$F25,'Team Calendar'!$C$5:$C$12,AF$4)=0),1,"")</f>
        <v/>
      </c>
      <c r="AG25" s="166">
        <f>IF(AND(ISNUMBER($D25),ISNUMBER($E25),AG$4&gt;=$D25,AG$4&lt;=$E25,WEEKDAY(AG$4,2)&lt;=5,COUNTIF('Sources &amp; Change Log'!$J$2:$J$5,AG$4)=0,COUNTIFS('Team Calendar'!$A$5:$A$12,$F25,'Team Calendar'!$C$5:$C$12,AG$4)=0),1,"")</f>
        <v/>
      </c>
      <c r="AH25" s="166">
        <f>IF(AND(ISNUMBER($D25),ISNUMBER($E25),AH$4&gt;=$D25,AH$4&lt;=$E25,WEEKDAY(AH$4,2)&lt;=5,COUNTIF('Sources &amp; Change Log'!$J$2:$J$5,AH$4)=0,COUNTIFS('Team Calendar'!$A$5:$A$12,$F25,'Team Calendar'!$C$5:$C$12,AH$4)=0),1,"")</f>
        <v/>
      </c>
      <c r="AI25" s="165">
        <f>IF(AND(ISNUMBER($D25),ISNUMBER($E25),AI$4&gt;=$D25,AI$4&lt;=$E25,WEEKDAY(AI$4,2)&lt;=5,COUNTIF('Sources &amp; Change Log'!$J$2:$J$5,AI$4)=0,COUNTIFS('Team Calendar'!$A$5:$A$12,$F25,'Team Calendar'!$C$5:$C$12,AI$4)=0),1,"")</f>
        <v/>
      </c>
    </row>
    <row r="26" ht="24" customHeight="1">
      <c r="A26" s="13">
        <f>WBS!A52</f>
        <v/>
      </c>
      <c r="B26" s="13">
        <f>WBS!B52</f>
        <v/>
      </c>
      <c r="C26" s="13">
        <f>WBS!G52</f>
        <v/>
      </c>
      <c r="D26" s="164">
        <f>IF(WBS!H52="","",WBS!H52)</f>
        <v/>
      </c>
      <c r="E26" s="164">
        <f>IF(WBS!I52="","",WBS!I52)</f>
        <v/>
      </c>
      <c r="F26" s="13">
        <f>WBS!L52</f>
        <v/>
      </c>
      <c r="G26" s="165">
        <f>IF(AND(ISNUMBER($D26),ISNUMBER($E26),G$4&gt;=$D26,G$4&lt;=$E26,WEEKDAY(G$4,2)&lt;=5,COUNTIF('Sources &amp; Change Log'!$J$2:$J$5,G$4)=0,COUNTIFS('Team Calendar'!$A$5:$A$12,$F26,'Team Calendar'!$C$5:$C$12,G$4)=0),1,"")</f>
        <v/>
      </c>
      <c r="H26" s="165">
        <f>IF(AND(ISNUMBER($D26),ISNUMBER($E26),H$4&gt;=$D26,H$4&lt;=$E26,WEEKDAY(H$4,2)&lt;=5,COUNTIF('Sources &amp; Change Log'!$J$2:$J$5,H$4)=0,COUNTIFS('Team Calendar'!$A$5:$A$12,$F26,'Team Calendar'!$C$5:$C$12,H$4)=0),1,"")</f>
        <v/>
      </c>
      <c r="I26" s="165">
        <f>IF(AND(ISNUMBER($D26),ISNUMBER($E26),I$4&gt;=$D26,I$4&lt;=$E26,WEEKDAY(I$4,2)&lt;=5,COUNTIF('Sources &amp; Change Log'!$J$2:$J$5,I$4)=0,COUNTIFS('Team Calendar'!$A$5:$A$12,$F26,'Team Calendar'!$C$5:$C$12,I$4)=0),1,"")</f>
        <v/>
      </c>
      <c r="J26" s="165">
        <f>IF(AND(ISNUMBER($D26),ISNUMBER($E26),J$4&gt;=$D26,J$4&lt;=$E26,WEEKDAY(J$4,2)&lt;=5,COUNTIF('Sources &amp; Change Log'!$J$2:$J$5,J$4)=0,COUNTIFS('Team Calendar'!$A$5:$A$12,$F26,'Team Calendar'!$C$5:$C$12,J$4)=0),1,"")</f>
        <v/>
      </c>
      <c r="K26" s="165">
        <f>IF(AND(ISNUMBER($D26),ISNUMBER($E26),K$4&gt;=$D26,K$4&lt;=$E26,WEEKDAY(K$4,2)&lt;=5,COUNTIF('Sources &amp; Change Log'!$J$2:$J$5,K$4)=0,COUNTIFS('Team Calendar'!$A$5:$A$12,$F26,'Team Calendar'!$C$5:$C$12,K$4)=0),1,"")</f>
        <v/>
      </c>
      <c r="L26" s="166">
        <f>IF(AND(ISNUMBER($D26),ISNUMBER($E26),L$4&gt;=$D26,L$4&lt;=$E26,WEEKDAY(L$4,2)&lt;=5,COUNTIF('Sources &amp; Change Log'!$J$2:$J$5,L$4)=0,COUNTIFS('Team Calendar'!$A$5:$A$12,$F26,'Team Calendar'!$C$5:$C$12,L$4)=0),1,"")</f>
        <v/>
      </c>
      <c r="M26" s="166">
        <f>IF(AND(ISNUMBER($D26),ISNUMBER($E26),M$4&gt;=$D26,M$4&lt;=$E26,WEEKDAY(M$4,2)&lt;=5,COUNTIF('Sources &amp; Change Log'!$J$2:$J$5,M$4)=0,COUNTIFS('Team Calendar'!$A$5:$A$12,$F26,'Team Calendar'!$C$5:$C$12,M$4)=0),1,"")</f>
        <v/>
      </c>
      <c r="N26" s="165">
        <f>IF(AND(ISNUMBER($D26),ISNUMBER($E26),N$4&gt;=$D26,N$4&lt;=$E26,WEEKDAY(N$4,2)&lt;=5,COUNTIF('Sources &amp; Change Log'!$J$2:$J$5,N$4)=0,COUNTIFS('Team Calendar'!$A$5:$A$12,$F26,'Team Calendar'!$C$5:$C$12,N$4)=0),1,"")</f>
        <v/>
      </c>
      <c r="O26" s="165">
        <f>IF(AND(ISNUMBER($D26),ISNUMBER($E26),O$4&gt;=$D26,O$4&lt;=$E26,WEEKDAY(O$4,2)&lt;=5,COUNTIF('Sources &amp; Change Log'!$J$2:$J$5,O$4)=0,COUNTIFS('Team Calendar'!$A$5:$A$12,$F26,'Team Calendar'!$C$5:$C$12,O$4)=0),1,"")</f>
        <v/>
      </c>
      <c r="P26" s="165">
        <f>IF(AND(ISNUMBER($D26),ISNUMBER($E26),P$4&gt;=$D26,P$4&lt;=$E26,WEEKDAY(P$4,2)&lt;=5,COUNTIF('Sources &amp; Change Log'!$J$2:$J$5,P$4)=0,COUNTIFS('Team Calendar'!$A$5:$A$12,$F26,'Team Calendar'!$C$5:$C$12,P$4)=0),1,"")</f>
        <v/>
      </c>
      <c r="Q26" s="165">
        <f>IF(AND(ISNUMBER($D26),ISNUMBER($E26),Q$4&gt;=$D26,Q$4&lt;=$E26,WEEKDAY(Q$4,2)&lt;=5,COUNTIF('Sources &amp; Change Log'!$J$2:$J$5,Q$4)=0,COUNTIFS('Team Calendar'!$A$5:$A$12,$F26,'Team Calendar'!$C$5:$C$12,Q$4)=0),1,"")</f>
        <v/>
      </c>
      <c r="R26" s="165">
        <f>IF(AND(ISNUMBER($D26),ISNUMBER($E26),R$4&gt;=$D26,R$4&lt;=$E26,WEEKDAY(R$4,2)&lt;=5,COUNTIF('Sources &amp; Change Log'!$J$2:$J$5,R$4)=0,COUNTIFS('Team Calendar'!$A$5:$A$12,$F26,'Team Calendar'!$C$5:$C$12,R$4)=0),1,"")</f>
        <v/>
      </c>
      <c r="S26" s="166">
        <f>IF(AND(ISNUMBER($D26),ISNUMBER($E26),S$4&gt;=$D26,S$4&lt;=$E26,WEEKDAY(S$4,2)&lt;=5,COUNTIF('Sources &amp; Change Log'!$J$2:$J$5,S$4)=0,COUNTIFS('Team Calendar'!$A$5:$A$12,$F26,'Team Calendar'!$C$5:$C$12,S$4)=0),1,"")</f>
        <v/>
      </c>
      <c r="T26" s="166">
        <f>IF(AND(ISNUMBER($D26),ISNUMBER($E26),T$4&gt;=$D26,T$4&lt;=$E26,WEEKDAY(T$4,2)&lt;=5,COUNTIF('Sources &amp; Change Log'!$J$2:$J$5,T$4)=0,COUNTIFS('Team Calendar'!$A$5:$A$12,$F26,'Team Calendar'!$C$5:$C$12,T$4)=0),1,"")</f>
        <v/>
      </c>
      <c r="U26" s="165">
        <f>IF(AND(ISNUMBER($D26),ISNUMBER($E26),U$4&gt;=$D26,U$4&lt;=$E26,WEEKDAY(U$4,2)&lt;=5,COUNTIF('Sources &amp; Change Log'!$J$2:$J$5,U$4)=0,COUNTIFS('Team Calendar'!$A$5:$A$12,$F26,'Team Calendar'!$C$5:$C$12,U$4)=0),1,"")</f>
        <v/>
      </c>
      <c r="V26" s="165">
        <f>IF(AND(ISNUMBER($D26),ISNUMBER($E26),V$4&gt;=$D26,V$4&lt;=$E26,WEEKDAY(V$4,2)&lt;=5,COUNTIF('Sources &amp; Change Log'!$J$2:$J$5,V$4)=0,COUNTIFS('Team Calendar'!$A$5:$A$12,$F26,'Team Calendar'!$C$5:$C$12,V$4)=0),1,"")</f>
        <v/>
      </c>
      <c r="W26" s="165">
        <f>IF(AND(ISNUMBER($D26),ISNUMBER($E26),W$4&gt;=$D26,W$4&lt;=$E26,WEEKDAY(W$4,2)&lt;=5,COUNTIF('Sources &amp; Change Log'!$J$2:$J$5,W$4)=0,COUNTIFS('Team Calendar'!$A$5:$A$12,$F26,'Team Calendar'!$C$5:$C$12,W$4)=0),1,"")</f>
        <v/>
      </c>
      <c r="X26" s="165">
        <f>IF(AND(ISNUMBER($D26),ISNUMBER($E26),X$4&gt;=$D26,X$4&lt;=$E26,WEEKDAY(X$4,2)&lt;=5,COUNTIF('Sources &amp; Change Log'!$J$2:$J$5,X$4)=0,COUNTIFS('Team Calendar'!$A$5:$A$12,$F26,'Team Calendar'!$C$5:$C$12,X$4)=0),1,"")</f>
        <v/>
      </c>
      <c r="Y26" s="165">
        <f>IF(AND(ISNUMBER($D26),ISNUMBER($E26),Y$4&gt;=$D26,Y$4&lt;=$E26,WEEKDAY(Y$4,2)&lt;=5,COUNTIF('Sources &amp; Change Log'!$J$2:$J$5,Y$4)=0,COUNTIFS('Team Calendar'!$A$5:$A$12,$F26,'Team Calendar'!$C$5:$C$12,Y$4)=0),1,"")</f>
        <v/>
      </c>
      <c r="Z26" s="166">
        <f>IF(AND(ISNUMBER($D26),ISNUMBER($E26),Z$4&gt;=$D26,Z$4&lt;=$E26,WEEKDAY(Z$4,2)&lt;=5,COUNTIF('Sources &amp; Change Log'!$J$2:$J$5,Z$4)=0,COUNTIFS('Team Calendar'!$A$5:$A$12,$F26,'Team Calendar'!$C$5:$C$12,Z$4)=0),1,"")</f>
        <v/>
      </c>
      <c r="AA26" s="166">
        <f>IF(AND(ISNUMBER($D26),ISNUMBER($E26),AA$4&gt;=$D26,AA$4&lt;=$E26,WEEKDAY(AA$4,2)&lt;=5,COUNTIF('Sources &amp; Change Log'!$J$2:$J$5,AA$4)=0,COUNTIFS('Team Calendar'!$A$5:$A$12,$F26,'Team Calendar'!$C$5:$C$12,AA$4)=0),1,"")</f>
        <v/>
      </c>
      <c r="AB26" s="165">
        <f>IF(AND(ISNUMBER($D26),ISNUMBER($E26),AB$4&gt;=$D26,AB$4&lt;=$E26,WEEKDAY(AB$4,2)&lt;=5,COUNTIF('Sources &amp; Change Log'!$J$2:$J$5,AB$4)=0,COUNTIFS('Team Calendar'!$A$5:$A$12,$F26,'Team Calendar'!$C$5:$C$12,AB$4)=0),1,"")</f>
        <v/>
      </c>
      <c r="AC26" s="165">
        <f>IF(AND(ISNUMBER($D26),ISNUMBER($E26),AC$4&gt;=$D26,AC$4&lt;=$E26,WEEKDAY(AC$4,2)&lt;=5,COUNTIF('Sources &amp; Change Log'!$J$2:$J$5,AC$4)=0,COUNTIFS('Team Calendar'!$A$5:$A$12,$F26,'Team Calendar'!$C$5:$C$12,AC$4)=0),1,"")</f>
        <v/>
      </c>
      <c r="AD26" s="165">
        <f>IF(AND(ISNUMBER($D26),ISNUMBER($E26),AD$4&gt;=$D26,AD$4&lt;=$E26,WEEKDAY(AD$4,2)&lt;=5,COUNTIF('Sources &amp; Change Log'!$J$2:$J$5,AD$4)=0,COUNTIFS('Team Calendar'!$A$5:$A$12,$F26,'Team Calendar'!$C$5:$C$12,AD$4)=0),1,"")</f>
        <v/>
      </c>
      <c r="AE26" s="165">
        <f>IF(AND(ISNUMBER($D26),ISNUMBER($E26),AE$4&gt;=$D26,AE$4&lt;=$E26,WEEKDAY(AE$4,2)&lt;=5,COUNTIF('Sources &amp; Change Log'!$J$2:$J$5,AE$4)=0,COUNTIFS('Team Calendar'!$A$5:$A$12,$F26,'Team Calendar'!$C$5:$C$12,AE$4)=0),1,"")</f>
        <v/>
      </c>
      <c r="AF26" s="165">
        <f>IF(AND(ISNUMBER($D26),ISNUMBER($E26),AF$4&gt;=$D26,AF$4&lt;=$E26,WEEKDAY(AF$4,2)&lt;=5,COUNTIF('Sources &amp; Change Log'!$J$2:$J$5,AF$4)=0,COUNTIFS('Team Calendar'!$A$5:$A$12,$F26,'Team Calendar'!$C$5:$C$12,AF$4)=0),1,"")</f>
        <v/>
      </c>
      <c r="AG26" s="166">
        <f>IF(AND(ISNUMBER($D26),ISNUMBER($E26),AG$4&gt;=$D26,AG$4&lt;=$E26,WEEKDAY(AG$4,2)&lt;=5,COUNTIF('Sources &amp; Change Log'!$J$2:$J$5,AG$4)=0,COUNTIFS('Team Calendar'!$A$5:$A$12,$F26,'Team Calendar'!$C$5:$C$12,AG$4)=0),1,"")</f>
        <v/>
      </c>
      <c r="AH26" s="166">
        <f>IF(AND(ISNUMBER($D26),ISNUMBER($E26),AH$4&gt;=$D26,AH$4&lt;=$E26,WEEKDAY(AH$4,2)&lt;=5,COUNTIF('Sources &amp; Change Log'!$J$2:$J$5,AH$4)=0,COUNTIFS('Team Calendar'!$A$5:$A$12,$F26,'Team Calendar'!$C$5:$C$12,AH$4)=0),1,"")</f>
        <v/>
      </c>
      <c r="AI26" s="165">
        <f>IF(AND(ISNUMBER($D26),ISNUMBER($E26),AI$4&gt;=$D26,AI$4&lt;=$E26,WEEKDAY(AI$4,2)&lt;=5,COUNTIF('Sources &amp; Change Log'!$J$2:$J$5,AI$4)=0,COUNTIFS('Team Calendar'!$A$5:$A$12,$F26,'Team Calendar'!$C$5:$C$12,AI$4)=0),1,"")</f>
        <v/>
      </c>
    </row>
    <row r="27" ht="24" customHeight="1">
      <c r="A27" s="13">
        <f>WBS!A53</f>
        <v/>
      </c>
      <c r="B27" s="13">
        <f>WBS!B53</f>
        <v/>
      </c>
      <c r="C27" s="13">
        <f>WBS!G53</f>
        <v/>
      </c>
      <c r="D27" s="164">
        <f>IF(WBS!H53="","",WBS!H53)</f>
        <v/>
      </c>
      <c r="E27" s="164">
        <f>IF(WBS!I53="","",WBS!I53)</f>
        <v/>
      </c>
      <c r="F27" s="13">
        <f>WBS!L53</f>
        <v/>
      </c>
      <c r="G27" s="165">
        <f>IF(AND(ISNUMBER($D27),ISNUMBER($E27),G$4&gt;=$D27,G$4&lt;=$E27,WEEKDAY(G$4,2)&lt;=5,COUNTIF('Sources &amp; Change Log'!$J$2:$J$5,G$4)=0,COUNTIFS('Team Calendar'!$A$5:$A$12,$F27,'Team Calendar'!$C$5:$C$12,G$4)=0),1,"")</f>
        <v/>
      </c>
      <c r="H27" s="165">
        <f>IF(AND(ISNUMBER($D27),ISNUMBER($E27),H$4&gt;=$D27,H$4&lt;=$E27,WEEKDAY(H$4,2)&lt;=5,COUNTIF('Sources &amp; Change Log'!$J$2:$J$5,H$4)=0,COUNTIFS('Team Calendar'!$A$5:$A$12,$F27,'Team Calendar'!$C$5:$C$12,H$4)=0),1,"")</f>
        <v/>
      </c>
      <c r="I27" s="165">
        <f>IF(AND(ISNUMBER($D27),ISNUMBER($E27),I$4&gt;=$D27,I$4&lt;=$E27,WEEKDAY(I$4,2)&lt;=5,COUNTIF('Sources &amp; Change Log'!$J$2:$J$5,I$4)=0,COUNTIFS('Team Calendar'!$A$5:$A$12,$F27,'Team Calendar'!$C$5:$C$12,I$4)=0),1,"")</f>
        <v/>
      </c>
      <c r="J27" s="165">
        <f>IF(AND(ISNUMBER($D27),ISNUMBER($E27),J$4&gt;=$D27,J$4&lt;=$E27,WEEKDAY(J$4,2)&lt;=5,COUNTIF('Sources &amp; Change Log'!$J$2:$J$5,J$4)=0,COUNTIFS('Team Calendar'!$A$5:$A$12,$F27,'Team Calendar'!$C$5:$C$12,J$4)=0),1,"")</f>
        <v/>
      </c>
      <c r="K27" s="165">
        <f>IF(AND(ISNUMBER($D27),ISNUMBER($E27),K$4&gt;=$D27,K$4&lt;=$E27,WEEKDAY(K$4,2)&lt;=5,COUNTIF('Sources &amp; Change Log'!$J$2:$J$5,K$4)=0,COUNTIFS('Team Calendar'!$A$5:$A$12,$F27,'Team Calendar'!$C$5:$C$12,K$4)=0),1,"")</f>
        <v/>
      </c>
      <c r="L27" s="166">
        <f>IF(AND(ISNUMBER($D27),ISNUMBER($E27),L$4&gt;=$D27,L$4&lt;=$E27,WEEKDAY(L$4,2)&lt;=5,COUNTIF('Sources &amp; Change Log'!$J$2:$J$5,L$4)=0,COUNTIFS('Team Calendar'!$A$5:$A$12,$F27,'Team Calendar'!$C$5:$C$12,L$4)=0),1,"")</f>
        <v/>
      </c>
      <c r="M27" s="166">
        <f>IF(AND(ISNUMBER($D27),ISNUMBER($E27),M$4&gt;=$D27,M$4&lt;=$E27,WEEKDAY(M$4,2)&lt;=5,COUNTIF('Sources &amp; Change Log'!$J$2:$J$5,M$4)=0,COUNTIFS('Team Calendar'!$A$5:$A$12,$F27,'Team Calendar'!$C$5:$C$12,M$4)=0),1,"")</f>
        <v/>
      </c>
      <c r="N27" s="165">
        <f>IF(AND(ISNUMBER($D27),ISNUMBER($E27),N$4&gt;=$D27,N$4&lt;=$E27,WEEKDAY(N$4,2)&lt;=5,COUNTIF('Sources &amp; Change Log'!$J$2:$J$5,N$4)=0,COUNTIFS('Team Calendar'!$A$5:$A$12,$F27,'Team Calendar'!$C$5:$C$12,N$4)=0),1,"")</f>
        <v/>
      </c>
      <c r="O27" s="165">
        <f>IF(AND(ISNUMBER($D27),ISNUMBER($E27),O$4&gt;=$D27,O$4&lt;=$E27,WEEKDAY(O$4,2)&lt;=5,COUNTIF('Sources &amp; Change Log'!$J$2:$J$5,O$4)=0,COUNTIFS('Team Calendar'!$A$5:$A$12,$F27,'Team Calendar'!$C$5:$C$12,O$4)=0),1,"")</f>
        <v/>
      </c>
      <c r="P27" s="165">
        <f>IF(AND(ISNUMBER($D27),ISNUMBER($E27),P$4&gt;=$D27,P$4&lt;=$E27,WEEKDAY(P$4,2)&lt;=5,COUNTIF('Sources &amp; Change Log'!$J$2:$J$5,P$4)=0,COUNTIFS('Team Calendar'!$A$5:$A$12,$F27,'Team Calendar'!$C$5:$C$12,P$4)=0),1,"")</f>
        <v/>
      </c>
      <c r="Q27" s="165">
        <f>IF(AND(ISNUMBER($D27),ISNUMBER($E27),Q$4&gt;=$D27,Q$4&lt;=$E27,WEEKDAY(Q$4,2)&lt;=5,COUNTIF('Sources &amp; Change Log'!$J$2:$J$5,Q$4)=0,COUNTIFS('Team Calendar'!$A$5:$A$12,$F27,'Team Calendar'!$C$5:$C$12,Q$4)=0),1,"")</f>
        <v/>
      </c>
      <c r="R27" s="165">
        <f>IF(AND(ISNUMBER($D27),ISNUMBER($E27),R$4&gt;=$D27,R$4&lt;=$E27,WEEKDAY(R$4,2)&lt;=5,COUNTIF('Sources &amp; Change Log'!$J$2:$J$5,R$4)=0,COUNTIFS('Team Calendar'!$A$5:$A$12,$F27,'Team Calendar'!$C$5:$C$12,R$4)=0),1,"")</f>
        <v/>
      </c>
      <c r="S27" s="166">
        <f>IF(AND(ISNUMBER($D27),ISNUMBER($E27),S$4&gt;=$D27,S$4&lt;=$E27,WEEKDAY(S$4,2)&lt;=5,COUNTIF('Sources &amp; Change Log'!$J$2:$J$5,S$4)=0,COUNTIFS('Team Calendar'!$A$5:$A$12,$F27,'Team Calendar'!$C$5:$C$12,S$4)=0),1,"")</f>
        <v/>
      </c>
      <c r="T27" s="166">
        <f>IF(AND(ISNUMBER($D27),ISNUMBER($E27),T$4&gt;=$D27,T$4&lt;=$E27,WEEKDAY(T$4,2)&lt;=5,COUNTIF('Sources &amp; Change Log'!$J$2:$J$5,T$4)=0,COUNTIFS('Team Calendar'!$A$5:$A$12,$F27,'Team Calendar'!$C$5:$C$12,T$4)=0),1,"")</f>
        <v/>
      </c>
      <c r="U27" s="165">
        <f>IF(AND(ISNUMBER($D27),ISNUMBER($E27),U$4&gt;=$D27,U$4&lt;=$E27,WEEKDAY(U$4,2)&lt;=5,COUNTIF('Sources &amp; Change Log'!$J$2:$J$5,U$4)=0,COUNTIFS('Team Calendar'!$A$5:$A$12,$F27,'Team Calendar'!$C$5:$C$12,U$4)=0),1,"")</f>
        <v/>
      </c>
      <c r="V27" s="165">
        <f>IF(AND(ISNUMBER($D27),ISNUMBER($E27),V$4&gt;=$D27,V$4&lt;=$E27,WEEKDAY(V$4,2)&lt;=5,COUNTIF('Sources &amp; Change Log'!$J$2:$J$5,V$4)=0,COUNTIFS('Team Calendar'!$A$5:$A$12,$F27,'Team Calendar'!$C$5:$C$12,V$4)=0),1,"")</f>
        <v/>
      </c>
      <c r="W27" s="165">
        <f>IF(AND(ISNUMBER($D27),ISNUMBER($E27),W$4&gt;=$D27,W$4&lt;=$E27,WEEKDAY(W$4,2)&lt;=5,COUNTIF('Sources &amp; Change Log'!$J$2:$J$5,W$4)=0,COUNTIFS('Team Calendar'!$A$5:$A$12,$F27,'Team Calendar'!$C$5:$C$12,W$4)=0),1,"")</f>
        <v/>
      </c>
      <c r="X27" s="165">
        <f>IF(AND(ISNUMBER($D27),ISNUMBER($E27),X$4&gt;=$D27,X$4&lt;=$E27,WEEKDAY(X$4,2)&lt;=5,COUNTIF('Sources &amp; Change Log'!$J$2:$J$5,X$4)=0,COUNTIFS('Team Calendar'!$A$5:$A$12,$F27,'Team Calendar'!$C$5:$C$12,X$4)=0),1,"")</f>
        <v/>
      </c>
      <c r="Y27" s="165">
        <f>IF(AND(ISNUMBER($D27),ISNUMBER($E27),Y$4&gt;=$D27,Y$4&lt;=$E27,WEEKDAY(Y$4,2)&lt;=5,COUNTIF('Sources &amp; Change Log'!$J$2:$J$5,Y$4)=0,COUNTIFS('Team Calendar'!$A$5:$A$12,$F27,'Team Calendar'!$C$5:$C$12,Y$4)=0),1,"")</f>
        <v/>
      </c>
      <c r="Z27" s="166">
        <f>IF(AND(ISNUMBER($D27),ISNUMBER($E27),Z$4&gt;=$D27,Z$4&lt;=$E27,WEEKDAY(Z$4,2)&lt;=5,COUNTIF('Sources &amp; Change Log'!$J$2:$J$5,Z$4)=0,COUNTIFS('Team Calendar'!$A$5:$A$12,$F27,'Team Calendar'!$C$5:$C$12,Z$4)=0),1,"")</f>
        <v/>
      </c>
      <c r="AA27" s="166">
        <f>IF(AND(ISNUMBER($D27),ISNUMBER($E27),AA$4&gt;=$D27,AA$4&lt;=$E27,WEEKDAY(AA$4,2)&lt;=5,COUNTIF('Sources &amp; Change Log'!$J$2:$J$5,AA$4)=0,COUNTIFS('Team Calendar'!$A$5:$A$12,$F27,'Team Calendar'!$C$5:$C$12,AA$4)=0),1,"")</f>
        <v/>
      </c>
      <c r="AB27" s="165">
        <f>IF(AND(ISNUMBER($D27),ISNUMBER($E27),AB$4&gt;=$D27,AB$4&lt;=$E27,WEEKDAY(AB$4,2)&lt;=5,COUNTIF('Sources &amp; Change Log'!$J$2:$J$5,AB$4)=0,COUNTIFS('Team Calendar'!$A$5:$A$12,$F27,'Team Calendar'!$C$5:$C$12,AB$4)=0),1,"")</f>
        <v/>
      </c>
      <c r="AC27" s="165">
        <f>IF(AND(ISNUMBER($D27),ISNUMBER($E27),AC$4&gt;=$D27,AC$4&lt;=$E27,WEEKDAY(AC$4,2)&lt;=5,COUNTIF('Sources &amp; Change Log'!$J$2:$J$5,AC$4)=0,COUNTIFS('Team Calendar'!$A$5:$A$12,$F27,'Team Calendar'!$C$5:$C$12,AC$4)=0),1,"")</f>
        <v/>
      </c>
      <c r="AD27" s="165">
        <f>IF(AND(ISNUMBER($D27),ISNUMBER($E27),AD$4&gt;=$D27,AD$4&lt;=$E27,WEEKDAY(AD$4,2)&lt;=5,COUNTIF('Sources &amp; Change Log'!$J$2:$J$5,AD$4)=0,COUNTIFS('Team Calendar'!$A$5:$A$12,$F27,'Team Calendar'!$C$5:$C$12,AD$4)=0),1,"")</f>
        <v/>
      </c>
      <c r="AE27" s="165">
        <f>IF(AND(ISNUMBER($D27),ISNUMBER($E27),AE$4&gt;=$D27,AE$4&lt;=$E27,WEEKDAY(AE$4,2)&lt;=5,COUNTIF('Sources &amp; Change Log'!$J$2:$J$5,AE$4)=0,COUNTIFS('Team Calendar'!$A$5:$A$12,$F27,'Team Calendar'!$C$5:$C$12,AE$4)=0),1,"")</f>
        <v/>
      </c>
      <c r="AF27" s="165">
        <f>IF(AND(ISNUMBER($D27),ISNUMBER($E27),AF$4&gt;=$D27,AF$4&lt;=$E27,WEEKDAY(AF$4,2)&lt;=5,COUNTIF('Sources &amp; Change Log'!$J$2:$J$5,AF$4)=0,COUNTIFS('Team Calendar'!$A$5:$A$12,$F27,'Team Calendar'!$C$5:$C$12,AF$4)=0),1,"")</f>
        <v/>
      </c>
      <c r="AG27" s="166">
        <f>IF(AND(ISNUMBER($D27),ISNUMBER($E27),AG$4&gt;=$D27,AG$4&lt;=$E27,WEEKDAY(AG$4,2)&lt;=5,COUNTIF('Sources &amp; Change Log'!$J$2:$J$5,AG$4)=0,COUNTIFS('Team Calendar'!$A$5:$A$12,$F27,'Team Calendar'!$C$5:$C$12,AG$4)=0),1,"")</f>
        <v/>
      </c>
      <c r="AH27" s="166">
        <f>IF(AND(ISNUMBER($D27),ISNUMBER($E27),AH$4&gt;=$D27,AH$4&lt;=$E27,WEEKDAY(AH$4,2)&lt;=5,COUNTIF('Sources &amp; Change Log'!$J$2:$J$5,AH$4)=0,COUNTIFS('Team Calendar'!$A$5:$A$12,$F27,'Team Calendar'!$C$5:$C$12,AH$4)=0),1,"")</f>
        <v/>
      </c>
      <c r="AI27" s="165">
        <f>IF(AND(ISNUMBER($D27),ISNUMBER($E27),AI$4&gt;=$D27,AI$4&lt;=$E27,WEEKDAY(AI$4,2)&lt;=5,COUNTIF('Sources &amp; Change Log'!$J$2:$J$5,AI$4)=0,COUNTIFS('Team Calendar'!$A$5:$A$12,$F27,'Team Calendar'!$C$5:$C$12,AI$4)=0),1,"")</f>
        <v/>
      </c>
    </row>
    <row r="28" ht="24" customHeight="1">
      <c r="A28" s="13">
        <f>WBS!A54</f>
        <v/>
      </c>
      <c r="B28" s="13">
        <f>WBS!B54</f>
        <v/>
      </c>
      <c r="C28" s="13">
        <f>WBS!G54</f>
        <v/>
      </c>
      <c r="D28" s="164">
        <f>IF(WBS!H54="","",WBS!H54)</f>
        <v/>
      </c>
      <c r="E28" s="164">
        <f>IF(WBS!I54="","",WBS!I54)</f>
        <v/>
      </c>
      <c r="F28" s="13">
        <f>WBS!L54</f>
        <v/>
      </c>
      <c r="G28" s="165">
        <f>IF(AND(ISNUMBER($D28),ISNUMBER($E28),G$4&gt;=$D28,G$4&lt;=$E28,WEEKDAY(G$4,2)&lt;=5,COUNTIF('Sources &amp; Change Log'!$J$2:$J$5,G$4)=0,COUNTIFS('Team Calendar'!$A$5:$A$12,$F28,'Team Calendar'!$C$5:$C$12,G$4)=0),1,"")</f>
        <v/>
      </c>
      <c r="H28" s="165">
        <f>IF(AND(ISNUMBER($D28),ISNUMBER($E28),H$4&gt;=$D28,H$4&lt;=$E28,WEEKDAY(H$4,2)&lt;=5,COUNTIF('Sources &amp; Change Log'!$J$2:$J$5,H$4)=0,COUNTIFS('Team Calendar'!$A$5:$A$12,$F28,'Team Calendar'!$C$5:$C$12,H$4)=0),1,"")</f>
        <v/>
      </c>
      <c r="I28" s="165">
        <f>IF(AND(ISNUMBER($D28),ISNUMBER($E28),I$4&gt;=$D28,I$4&lt;=$E28,WEEKDAY(I$4,2)&lt;=5,COUNTIF('Sources &amp; Change Log'!$J$2:$J$5,I$4)=0,COUNTIFS('Team Calendar'!$A$5:$A$12,$F28,'Team Calendar'!$C$5:$C$12,I$4)=0),1,"")</f>
        <v/>
      </c>
      <c r="J28" s="165">
        <f>IF(AND(ISNUMBER($D28),ISNUMBER($E28),J$4&gt;=$D28,J$4&lt;=$E28,WEEKDAY(J$4,2)&lt;=5,COUNTIF('Sources &amp; Change Log'!$J$2:$J$5,J$4)=0,COUNTIFS('Team Calendar'!$A$5:$A$12,$F28,'Team Calendar'!$C$5:$C$12,J$4)=0),1,"")</f>
        <v/>
      </c>
      <c r="K28" s="165">
        <f>IF(AND(ISNUMBER($D28),ISNUMBER($E28),K$4&gt;=$D28,K$4&lt;=$E28,WEEKDAY(K$4,2)&lt;=5,COUNTIF('Sources &amp; Change Log'!$J$2:$J$5,K$4)=0,COUNTIFS('Team Calendar'!$A$5:$A$12,$F28,'Team Calendar'!$C$5:$C$12,K$4)=0),1,"")</f>
        <v/>
      </c>
      <c r="L28" s="166">
        <f>IF(AND(ISNUMBER($D28),ISNUMBER($E28),L$4&gt;=$D28,L$4&lt;=$E28,WEEKDAY(L$4,2)&lt;=5,COUNTIF('Sources &amp; Change Log'!$J$2:$J$5,L$4)=0,COUNTIFS('Team Calendar'!$A$5:$A$12,$F28,'Team Calendar'!$C$5:$C$12,L$4)=0),1,"")</f>
        <v/>
      </c>
      <c r="M28" s="166">
        <f>IF(AND(ISNUMBER($D28),ISNUMBER($E28),M$4&gt;=$D28,M$4&lt;=$E28,WEEKDAY(M$4,2)&lt;=5,COUNTIF('Sources &amp; Change Log'!$J$2:$J$5,M$4)=0,COUNTIFS('Team Calendar'!$A$5:$A$12,$F28,'Team Calendar'!$C$5:$C$12,M$4)=0),1,"")</f>
        <v/>
      </c>
      <c r="N28" s="165">
        <f>IF(AND(ISNUMBER($D28),ISNUMBER($E28),N$4&gt;=$D28,N$4&lt;=$E28,WEEKDAY(N$4,2)&lt;=5,COUNTIF('Sources &amp; Change Log'!$J$2:$J$5,N$4)=0,COUNTIFS('Team Calendar'!$A$5:$A$12,$F28,'Team Calendar'!$C$5:$C$12,N$4)=0),1,"")</f>
        <v/>
      </c>
      <c r="O28" s="165">
        <f>IF(AND(ISNUMBER($D28),ISNUMBER($E28),O$4&gt;=$D28,O$4&lt;=$E28,WEEKDAY(O$4,2)&lt;=5,COUNTIF('Sources &amp; Change Log'!$J$2:$J$5,O$4)=0,COUNTIFS('Team Calendar'!$A$5:$A$12,$F28,'Team Calendar'!$C$5:$C$12,O$4)=0),1,"")</f>
        <v/>
      </c>
      <c r="P28" s="165">
        <f>IF(AND(ISNUMBER($D28),ISNUMBER($E28),P$4&gt;=$D28,P$4&lt;=$E28,WEEKDAY(P$4,2)&lt;=5,COUNTIF('Sources &amp; Change Log'!$J$2:$J$5,P$4)=0,COUNTIFS('Team Calendar'!$A$5:$A$12,$F28,'Team Calendar'!$C$5:$C$12,P$4)=0),1,"")</f>
        <v/>
      </c>
      <c r="Q28" s="165">
        <f>IF(AND(ISNUMBER($D28),ISNUMBER($E28),Q$4&gt;=$D28,Q$4&lt;=$E28,WEEKDAY(Q$4,2)&lt;=5,COUNTIF('Sources &amp; Change Log'!$J$2:$J$5,Q$4)=0,COUNTIFS('Team Calendar'!$A$5:$A$12,$F28,'Team Calendar'!$C$5:$C$12,Q$4)=0),1,"")</f>
        <v/>
      </c>
      <c r="R28" s="165">
        <f>IF(AND(ISNUMBER($D28),ISNUMBER($E28),R$4&gt;=$D28,R$4&lt;=$E28,WEEKDAY(R$4,2)&lt;=5,COUNTIF('Sources &amp; Change Log'!$J$2:$J$5,R$4)=0,COUNTIFS('Team Calendar'!$A$5:$A$12,$F28,'Team Calendar'!$C$5:$C$12,R$4)=0),1,"")</f>
        <v/>
      </c>
      <c r="S28" s="166">
        <f>IF(AND(ISNUMBER($D28),ISNUMBER($E28),S$4&gt;=$D28,S$4&lt;=$E28,WEEKDAY(S$4,2)&lt;=5,COUNTIF('Sources &amp; Change Log'!$J$2:$J$5,S$4)=0,COUNTIFS('Team Calendar'!$A$5:$A$12,$F28,'Team Calendar'!$C$5:$C$12,S$4)=0),1,"")</f>
        <v/>
      </c>
      <c r="T28" s="166">
        <f>IF(AND(ISNUMBER($D28),ISNUMBER($E28),T$4&gt;=$D28,T$4&lt;=$E28,WEEKDAY(T$4,2)&lt;=5,COUNTIF('Sources &amp; Change Log'!$J$2:$J$5,T$4)=0,COUNTIFS('Team Calendar'!$A$5:$A$12,$F28,'Team Calendar'!$C$5:$C$12,T$4)=0),1,"")</f>
        <v/>
      </c>
      <c r="U28" s="165">
        <f>IF(AND(ISNUMBER($D28),ISNUMBER($E28),U$4&gt;=$D28,U$4&lt;=$E28,WEEKDAY(U$4,2)&lt;=5,COUNTIF('Sources &amp; Change Log'!$J$2:$J$5,U$4)=0,COUNTIFS('Team Calendar'!$A$5:$A$12,$F28,'Team Calendar'!$C$5:$C$12,U$4)=0),1,"")</f>
        <v/>
      </c>
      <c r="V28" s="165">
        <f>IF(AND(ISNUMBER($D28),ISNUMBER($E28),V$4&gt;=$D28,V$4&lt;=$E28,WEEKDAY(V$4,2)&lt;=5,COUNTIF('Sources &amp; Change Log'!$J$2:$J$5,V$4)=0,COUNTIFS('Team Calendar'!$A$5:$A$12,$F28,'Team Calendar'!$C$5:$C$12,V$4)=0),1,"")</f>
        <v/>
      </c>
      <c r="W28" s="165">
        <f>IF(AND(ISNUMBER($D28),ISNUMBER($E28),W$4&gt;=$D28,W$4&lt;=$E28,WEEKDAY(W$4,2)&lt;=5,COUNTIF('Sources &amp; Change Log'!$J$2:$J$5,W$4)=0,COUNTIFS('Team Calendar'!$A$5:$A$12,$F28,'Team Calendar'!$C$5:$C$12,W$4)=0),1,"")</f>
        <v/>
      </c>
      <c r="X28" s="165">
        <f>IF(AND(ISNUMBER($D28),ISNUMBER($E28),X$4&gt;=$D28,X$4&lt;=$E28,WEEKDAY(X$4,2)&lt;=5,COUNTIF('Sources &amp; Change Log'!$J$2:$J$5,X$4)=0,COUNTIFS('Team Calendar'!$A$5:$A$12,$F28,'Team Calendar'!$C$5:$C$12,X$4)=0),1,"")</f>
        <v/>
      </c>
      <c r="Y28" s="165">
        <f>IF(AND(ISNUMBER($D28),ISNUMBER($E28),Y$4&gt;=$D28,Y$4&lt;=$E28,WEEKDAY(Y$4,2)&lt;=5,COUNTIF('Sources &amp; Change Log'!$J$2:$J$5,Y$4)=0,COUNTIFS('Team Calendar'!$A$5:$A$12,$F28,'Team Calendar'!$C$5:$C$12,Y$4)=0),1,"")</f>
        <v/>
      </c>
      <c r="Z28" s="166">
        <f>IF(AND(ISNUMBER($D28),ISNUMBER($E28),Z$4&gt;=$D28,Z$4&lt;=$E28,WEEKDAY(Z$4,2)&lt;=5,COUNTIF('Sources &amp; Change Log'!$J$2:$J$5,Z$4)=0,COUNTIFS('Team Calendar'!$A$5:$A$12,$F28,'Team Calendar'!$C$5:$C$12,Z$4)=0),1,"")</f>
        <v/>
      </c>
      <c r="AA28" s="166">
        <f>IF(AND(ISNUMBER($D28),ISNUMBER($E28),AA$4&gt;=$D28,AA$4&lt;=$E28,WEEKDAY(AA$4,2)&lt;=5,COUNTIF('Sources &amp; Change Log'!$J$2:$J$5,AA$4)=0,COUNTIFS('Team Calendar'!$A$5:$A$12,$F28,'Team Calendar'!$C$5:$C$12,AA$4)=0),1,"")</f>
        <v/>
      </c>
      <c r="AB28" s="165">
        <f>IF(AND(ISNUMBER($D28),ISNUMBER($E28),AB$4&gt;=$D28,AB$4&lt;=$E28,WEEKDAY(AB$4,2)&lt;=5,COUNTIF('Sources &amp; Change Log'!$J$2:$J$5,AB$4)=0,COUNTIFS('Team Calendar'!$A$5:$A$12,$F28,'Team Calendar'!$C$5:$C$12,AB$4)=0),1,"")</f>
        <v/>
      </c>
      <c r="AC28" s="165">
        <f>IF(AND(ISNUMBER($D28),ISNUMBER($E28),AC$4&gt;=$D28,AC$4&lt;=$E28,WEEKDAY(AC$4,2)&lt;=5,COUNTIF('Sources &amp; Change Log'!$J$2:$J$5,AC$4)=0,COUNTIFS('Team Calendar'!$A$5:$A$12,$F28,'Team Calendar'!$C$5:$C$12,AC$4)=0),1,"")</f>
        <v/>
      </c>
      <c r="AD28" s="165">
        <f>IF(AND(ISNUMBER($D28),ISNUMBER($E28),AD$4&gt;=$D28,AD$4&lt;=$E28,WEEKDAY(AD$4,2)&lt;=5,COUNTIF('Sources &amp; Change Log'!$J$2:$J$5,AD$4)=0,COUNTIFS('Team Calendar'!$A$5:$A$12,$F28,'Team Calendar'!$C$5:$C$12,AD$4)=0),1,"")</f>
        <v/>
      </c>
      <c r="AE28" s="165">
        <f>IF(AND(ISNUMBER($D28),ISNUMBER($E28),AE$4&gt;=$D28,AE$4&lt;=$E28,WEEKDAY(AE$4,2)&lt;=5,COUNTIF('Sources &amp; Change Log'!$J$2:$J$5,AE$4)=0,COUNTIFS('Team Calendar'!$A$5:$A$12,$F28,'Team Calendar'!$C$5:$C$12,AE$4)=0),1,"")</f>
        <v/>
      </c>
      <c r="AF28" s="165">
        <f>IF(AND(ISNUMBER($D28),ISNUMBER($E28),AF$4&gt;=$D28,AF$4&lt;=$E28,WEEKDAY(AF$4,2)&lt;=5,COUNTIF('Sources &amp; Change Log'!$J$2:$J$5,AF$4)=0,COUNTIFS('Team Calendar'!$A$5:$A$12,$F28,'Team Calendar'!$C$5:$C$12,AF$4)=0),1,"")</f>
        <v/>
      </c>
      <c r="AG28" s="166">
        <f>IF(AND(ISNUMBER($D28),ISNUMBER($E28),AG$4&gt;=$D28,AG$4&lt;=$E28,WEEKDAY(AG$4,2)&lt;=5,COUNTIF('Sources &amp; Change Log'!$J$2:$J$5,AG$4)=0,COUNTIFS('Team Calendar'!$A$5:$A$12,$F28,'Team Calendar'!$C$5:$C$12,AG$4)=0),1,"")</f>
        <v/>
      </c>
      <c r="AH28" s="166">
        <f>IF(AND(ISNUMBER($D28),ISNUMBER($E28),AH$4&gt;=$D28,AH$4&lt;=$E28,WEEKDAY(AH$4,2)&lt;=5,COUNTIF('Sources &amp; Change Log'!$J$2:$J$5,AH$4)=0,COUNTIFS('Team Calendar'!$A$5:$A$12,$F28,'Team Calendar'!$C$5:$C$12,AH$4)=0),1,"")</f>
        <v/>
      </c>
      <c r="AI28" s="165">
        <f>IF(AND(ISNUMBER($D28),ISNUMBER($E28),AI$4&gt;=$D28,AI$4&lt;=$E28,WEEKDAY(AI$4,2)&lt;=5,COUNTIF('Sources &amp; Change Log'!$J$2:$J$5,AI$4)=0,COUNTIFS('Team Calendar'!$A$5:$A$12,$F28,'Team Calendar'!$C$5:$C$12,AI$4)=0),1,"")</f>
        <v/>
      </c>
    </row>
    <row r="29" ht="24" customHeight="1">
      <c r="A29" s="13">
        <f>WBS!A55</f>
        <v/>
      </c>
      <c r="B29" s="13">
        <f>WBS!B55</f>
        <v/>
      </c>
      <c r="C29" s="13">
        <f>WBS!G55</f>
        <v/>
      </c>
      <c r="D29" s="164">
        <f>IF(WBS!H55="","",WBS!H55)</f>
        <v/>
      </c>
      <c r="E29" s="164">
        <f>IF(WBS!I55="","",WBS!I55)</f>
        <v/>
      </c>
      <c r="F29" s="13">
        <f>WBS!L55</f>
        <v/>
      </c>
      <c r="G29" s="165">
        <f>IF(AND(ISNUMBER($D29),ISNUMBER($E29),G$4&gt;=$D29,G$4&lt;=$E29,WEEKDAY(G$4,2)&lt;=5,COUNTIF('Sources &amp; Change Log'!$J$2:$J$5,G$4)=0,COUNTIFS('Team Calendar'!$A$5:$A$12,$F29,'Team Calendar'!$C$5:$C$12,G$4)=0),1,"")</f>
        <v/>
      </c>
      <c r="H29" s="165">
        <f>IF(AND(ISNUMBER($D29),ISNUMBER($E29),H$4&gt;=$D29,H$4&lt;=$E29,WEEKDAY(H$4,2)&lt;=5,COUNTIF('Sources &amp; Change Log'!$J$2:$J$5,H$4)=0,COUNTIFS('Team Calendar'!$A$5:$A$12,$F29,'Team Calendar'!$C$5:$C$12,H$4)=0),1,"")</f>
        <v/>
      </c>
      <c r="I29" s="165">
        <f>IF(AND(ISNUMBER($D29),ISNUMBER($E29),I$4&gt;=$D29,I$4&lt;=$E29,WEEKDAY(I$4,2)&lt;=5,COUNTIF('Sources &amp; Change Log'!$J$2:$J$5,I$4)=0,COUNTIFS('Team Calendar'!$A$5:$A$12,$F29,'Team Calendar'!$C$5:$C$12,I$4)=0),1,"")</f>
        <v/>
      </c>
      <c r="J29" s="165">
        <f>IF(AND(ISNUMBER($D29),ISNUMBER($E29),J$4&gt;=$D29,J$4&lt;=$E29,WEEKDAY(J$4,2)&lt;=5,COUNTIF('Sources &amp; Change Log'!$J$2:$J$5,J$4)=0,COUNTIFS('Team Calendar'!$A$5:$A$12,$F29,'Team Calendar'!$C$5:$C$12,J$4)=0),1,"")</f>
        <v/>
      </c>
      <c r="K29" s="165">
        <f>IF(AND(ISNUMBER($D29),ISNUMBER($E29),K$4&gt;=$D29,K$4&lt;=$E29,WEEKDAY(K$4,2)&lt;=5,COUNTIF('Sources &amp; Change Log'!$J$2:$J$5,K$4)=0,COUNTIFS('Team Calendar'!$A$5:$A$12,$F29,'Team Calendar'!$C$5:$C$12,K$4)=0),1,"")</f>
        <v/>
      </c>
      <c r="L29" s="166">
        <f>IF(AND(ISNUMBER($D29),ISNUMBER($E29),L$4&gt;=$D29,L$4&lt;=$E29,WEEKDAY(L$4,2)&lt;=5,COUNTIF('Sources &amp; Change Log'!$J$2:$J$5,L$4)=0,COUNTIFS('Team Calendar'!$A$5:$A$12,$F29,'Team Calendar'!$C$5:$C$12,L$4)=0),1,"")</f>
        <v/>
      </c>
      <c r="M29" s="166">
        <f>IF(AND(ISNUMBER($D29),ISNUMBER($E29),M$4&gt;=$D29,M$4&lt;=$E29,WEEKDAY(M$4,2)&lt;=5,COUNTIF('Sources &amp; Change Log'!$J$2:$J$5,M$4)=0,COUNTIFS('Team Calendar'!$A$5:$A$12,$F29,'Team Calendar'!$C$5:$C$12,M$4)=0),1,"")</f>
        <v/>
      </c>
      <c r="N29" s="165">
        <f>IF(AND(ISNUMBER($D29),ISNUMBER($E29),N$4&gt;=$D29,N$4&lt;=$E29,WEEKDAY(N$4,2)&lt;=5,COUNTIF('Sources &amp; Change Log'!$J$2:$J$5,N$4)=0,COUNTIFS('Team Calendar'!$A$5:$A$12,$F29,'Team Calendar'!$C$5:$C$12,N$4)=0),1,"")</f>
        <v/>
      </c>
      <c r="O29" s="165">
        <f>IF(AND(ISNUMBER($D29),ISNUMBER($E29),O$4&gt;=$D29,O$4&lt;=$E29,WEEKDAY(O$4,2)&lt;=5,COUNTIF('Sources &amp; Change Log'!$J$2:$J$5,O$4)=0,COUNTIFS('Team Calendar'!$A$5:$A$12,$F29,'Team Calendar'!$C$5:$C$12,O$4)=0),1,"")</f>
        <v/>
      </c>
      <c r="P29" s="165">
        <f>IF(AND(ISNUMBER($D29),ISNUMBER($E29),P$4&gt;=$D29,P$4&lt;=$E29,WEEKDAY(P$4,2)&lt;=5,COUNTIF('Sources &amp; Change Log'!$J$2:$J$5,P$4)=0,COUNTIFS('Team Calendar'!$A$5:$A$12,$F29,'Team Calendar'!$C$5:$C$12,P$4)=0),1,"")</f>
        <v/>
      </c>
      <c r="Q29" s="165">
        <f>IF(AND(ISNUMBER($D29),ISNUMBER($E29),Q$4&gt;=$D29,Q$4&lt;=$E29,WEEKDAY(Q$4,2)&lt;=5,COUNTIF('Sources &amp; Change Log'!$J$2:$J$5,Q$4)=0,COUNTIFS('Team Calendar'!$A$5:$A$12,$F29,'Team Calendar'!$C$5:$C$12,Q$4)=0),1,"")</f>
        <v/>
      </c>
      <c r="R29" s="165">
        <f>IF(AND(ISNUMBER($D29),ISNUMBER($E29),R$4&gt;=$D29,R$4&lt;=$E29,WEEKDAY(R$4,2)&lt;=5,COUNTIF('Sources &amp; Change Log'!$J$2:$J$5,R$4)=0,COUNTIFS('Team Calendar'!$A$5:$A$12,$F29,'Team Calendar'!$C$5:$C$12,R$4)=0),1,"")</f>
        <v/>
      </c>
      <c r="S29" s="166">
        <f>IF(AND(ISNUMBER($D29),ISNUMBER($E29),S$4&gt;=$D29,S$4&lt;=$E29,WEEKDAY(S$4,2)&lt;=5,COUNTIF('Sources &amp; Change Log'!$J$2:$J$5,S$4)=0,COUNTIFS('Team Calendar'!$A$5:$A$12,$F29,'Team Calendar'!$C$5:$C$12,S$4)=0),1,"")</f>
        <v/>
      </c>
      <c r="T29" s="166">
        <f>IF(AND(ISNUMBER($D29),ISNUMBER($E29),T$4&gt;=$D29,T$4&lt;=$E29,WEEKDAY(T$4,2)&lt;=5,COUNTIF('Sources &amp; Change Log'!$J$2:$J$5,T$4)=0,COUNTIFS('Team Calendar'!$A$5:$A$12,$F29,'Team Calendar'!$C$5:$C$12,T$4)=0),1,"")</f>
        <v/>
      </c>
      <c r="U29" s="165">
        <f>IF(AND(ISNUMBER($D29),ISNUMBER($E29),U$4&gt;=$D29,U$4&lt;=$E29,WEEKDAY(U$4,2)&lt;=5,COUNTIF('Sources &amp; Change Log'!$J$2:$J$5,U$4)=0,COUNTIFS('Team Calendar'!$A$5:$A$12,$F29,'Team Calendar'!$C$5:$C$12,U$4)=0),1,"")</f>
        <v/>
      </c>
      <c r="V29" s="165">
        <f>IF(AND(ISNUMBER($D29),ISNUMBER($E29),V$4&gt;=$D29,V$4&lt;=$E29,WEEKDAY(V$4,2)&lt;=5,COUNTIF('Sources &amp; Change Log'!$J$2:$J$5,V$4)=0,COUNTIFS('Team Calendar'!$A$5:$A$12,$F29,'Team Calendar'!$C$5:$C$12,V$4)=0),1,"")</f>
        <v/>
      </c>
      <c r="W29" s="165">
        <f>IF(AND(ISNUMBER($D29),ISNUMBER($E29),W$4&gt;=$D29,W$4&lt;=$E29,WEEKDAY(W$4,2)&lt;=5,COUNTIF('Sources &amp; Change Log'!$J$2:$J$5,W$4)=0,COUNTIFS('Team Calendar'!$A$5:$A$12,$F29,'Team Calendar'!$C$5:$C$12,W$4)=0),1,"")</f>
        <v/>
      </c>
      <c r="X29" s="165">
        <f>IF(AND(ISNUMBER($D29),ISNUMBER($E29),X$4&gt;=$D29,X$4&lt;=$E29,WEEKDAY(X$4,2)&lt;=5,COUNTIF('Sources &amp; Change Log'!$J$2:$J$5,X$4)=0,COUNTIFS('Team Calendar'!$A$5:$A$12,$F29,'Team Calendar'!$C$5:$C$12,X$4)=0),1,"")</f>
        <v/>
      </c>
      <c r="Y29" s="165">
        <f>IF(AND(ISNUMBER($D29),ISNUMBER($E29),Y$4&gt;=$D29,Y$4&lt;=$E29,WEEKDAY(Y$4,2)&lt;=5,COUNTIF('Sources &amp; Change Log'!$J$2:$J$5,Y$4)=0,COUNTIFS('Team Calendar'!$A$5:$A$12,$F29,'Team Calendar'!$C$5:$C$12,Y$4)=0),1,"")</f>
        <v/>
      </c>
      <c r="Z29" s="166">
        <f>IF(AND(ISNUMBER($D29),ISNUMBER($E29),Z$4&gt;=$D29,Z$4&lt;=$E29,WEEKDAY(Z$4,2)&lt;=5,COUNTIF('Sources &amp; Change Log'!$J$2:$J$5,Z$4)=0,COUNTIFS('Team Calendar'!$A$5:$A$12,$F29,'Team Calendar'!$C$5:$C$12,Z$4)=0),1,"")</f>
        <v/>
      </c>
      <c r="AA29" s="166">
        <f>IF(AND(ISNUMBER($D29),ISNUMBER($E29),AA$4&gt;=$D29,AA$4&lt;=$E29,WEEKDAY(AA$4,2)&lt;=5,COUNTIF('Sources &amp; Change Log'!$J$2:$J$5,AA$4)=0,COUNTIFS('Team Calendar'!$A$5:$A$12,$F29,'Team Calendar'!$C$5:$C$12,AA$4)=0),1,"")</f>
        <v/>
      </c>
      <c r="AB29" s="165">
        <f>IF(AND(ISNUMBER($D29),ISNUMBER($E29),AB$4&gt;=$D29,AB$4&lt;=$E29,WEEKDAY(AB$4,2)&lt;=5,COUNTIF('Sources &amp; Change Log'!$J$2:$J$5,AB$4)=0,COUNTIFS('Team Calendar'!$A$5:$A$12,$F29,'Team Calendar'!$C$5:$C$12,AB$4)=0),1,"")</f>
        <v/>
      </c>
      <c r="AC29" s="165">
        <f>IF(AND(ISNUMBER($D29),ISNUMBER($E29),AC$4&gt;=$D29,AC$4&lt;=$E29,WEEKDAY(AC$4,2)&lt;=5,COUNTIF('Sources &amp; Change Log'!$J$2:$J$5,AC$4)=0,COUNTIFS('Team Calendar'!$A$5:$A$12,$F29,'Team Calendar'!$C$5:$C$12,AC$4)=0),1,"")</f>
        <v/>
      </c>
      <c r="AD29" s="165">
        <f>IF(AND(ISNUMBER($D29),ISNUMBER($E29),AD$4&gt;=$D29,AD$4&lt;=$E29,WEEKDAY(AD$4,2)&lt;=5,COUNTIF('Sources &amp; Change Log'!$J$2:$J$5,AD$4)=0,COUNTIFS('Team Calendar'!$A$5:$A$12,$F29,'Team Calendar'!$C$5:$C$12,AD$4)=0),1,"")</f>
        <v/>
      </c>
      <c r="AE29" s="165">
        <f>IF(AND(ISNUMBER($D29),ISNUMBER($E29),AE$4&gt;=$D29,AE$4&lt;=$E29,WEEKDAY(AE$4,2)&lt;=5,COUNTIF('Sources &amp; Change Log'!$J$2:$J$5,AE$4)=0,COUNTIFS('Team Calendar'!$A$5:$A$12,$F29,'Team Calendar'!$C$5:$C$12,AE$4)=0),1,"")</f>
        <v/>
      </c>
      <c r="AF29" s="165">
        <f>IF(AND(ISNUMBER($D29),ISNUMBER($E29),AF$4&gt;=$D29,AF$4&lt;=$E29,WEEKDAY(AF$4,2)&lt;=5,COUNTIF('Sources &amp; Change Log'!$J$2:$J$5,AF$4)=0,COUNTIFS('Team Calendar'!$A$5:$A$12,$F29,'Team Calendar'!$C$5:$C$12,AF$4)=0),1,"")</f>
        <v/>
      </c>
      <c r="AG29" s="166">
        <f>IF(AND(ISNUMBER($D29),ISNUMBER($E29),AG$4&gt;=$D29,AG$4&lt;=$E29,WEEKDAY(AG$4,2)&lt;=5,COUNTIF('Sources &amp; Change Log'!$J$2:$J$5,AG$4)=0,COUNTIFS('Team Calendar'!$A$5:$A$12,$F29,'Team Calendar'!$C$5:$C$12,AG$4)=0),1,"")</f>
        <v/>
      </c>
      <c r="AH29" s="166">
        <f>IF(AND(ISNUMBER($D29),ISNUMBER($E29),AH$4&gt;=$D29,AH$4&lt;=$E29,WEEKDAY(AH$4,2)&lt;=5,COUNTIF('Sources &amp; Change Log'!$J$2:$J$5,AH$4)=0,COUNTIFS('Team Calendar'!$A$5:$A$12,$F29,'Team Calendar'!$C$5:$C$12,AH$4)=0),1,"")</f>
        <v/>
      </c>
      <c r="AI29" s="165">
        <f>IF(AND(ISNUMBER($D29),ISNUMBER($E29),AI$4&gt;=$D29,AI$4&lt;=$E29,WEEKDAY(AI$4,2)&lt;=5,COUNTIF('Sources &amp; Change Log'!$J$2:$J$5,AI$4)=0,COUNTIFS('Team Calendar'!$A$5:$A$12,$F29,'Team Calendar'!$C$5:$C$12,AI$4)=0),1,"")</f>
        <v/>
      </c>
    </row>
  </sheetData>
  <mergeCells count="2">
    <mergeCell ref="A2:AI2"/>
    <mergeCell ref="A1:AI1"/>
  </mergeCells>
  <conditionalFormatting sqref="G5:AI29">
    <cfRule type="expression" priority="1" dxfId="6">
      <formula>AND(G5=1,$C5="Done")</formula>
    </cfRule>
    <cfRule type="expression" priority="2" dxfId="7">
      <formula>AND(G5=1,$C5="In Progress")</formula>
    </cfRule>
    <cfRule type="expression" priority="3" dxfId="8">
      <formula>AND(G5=1,$C5="In Review")</formula>
    </cfRule>
    <cfRule type="expression" priority="4" dxfId="9">
      <formula>AND(G5=1,$C5="To Do")</formula>
    </cfRule>
    <cfRule type="expression" priority="5" dxfId="10">
      <formula>AND(G5=1,$C5="Blocked")</formula>
    </cfRule>
  </conditionalFormatting>
  <conditionalFormatting sqref="C5:C29">
    <cfRule type="containsText" priority="6" operator="containsText" dxfId="0" text="Done"/>
    <cfRule type="containsText" priority="7" operator="containsText" dxfId="1" text="In Progress"/>
    <cfRule type="containsText" priority="8" operator="containsText" dxfId="2" text="In Review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42" customWidth="1" min="8" max="8"/>
    <col width="56" customWidth="1" min="9" max="9"/>
    <col width="34" customWidth="1" min="10" max="10"/>
  </cols>
  <sheetData>
    <row r="1" ht="34" customHeight="1">
      <c r="A1" s="79" t="inlineStr">
        <is>
          <t>FDS v3.1.20 · Milestones &amp; Decision Calendar (CANDIDATE)</t>
        </is>
      </c>
    </row>
    <row r="3">
      <c r="A3" s="9" t="inlineStr">
        <is>
          <t>ID</t>
        </is>
      </c>
      <c r="B3" s="9" t="inlineStr">
        <is>
          <t>Item</t>
        </is>
      </c>
      <c r="C3" s="9" t="inlineStr">
        <is>
          <t>Type</t>
        </is>
      </c>
      <c r="D3" s="9" t="inlineStr">
        <is>
          <t>Status</t>
        </is>
      </c>
      <c r="E3" s="9" t="inlineStr">
        <is>
          <t>Date / Start</t>
        </is>
      </c>
      <c r="F3" s="9" t="inlineStr">
        <is>
          <t>End</t>
        </is>
      </c>
      <c r="G3" s="9" t="inlineStr">
        <is>
          <t>Lead</t>
        </is>
      </c>
      <c r="H3" s="9" t="inlineStr">
        <is>
          <t>Decision / Exit</t>
        </is>
      </c>
      <c r="I3" s="9" t="inlineStr">
        <is>
          <t>Schedule note</t>
        </is>
      </c>
      <c r="J3" s="9" t="inlineStr">
        <is>
          <t>Lead action</t>
        </is>
      </c>
    </row>
    <row r="4">
      <c r="A4" s="13" t="inlineStr">
        <is>
          <t>MS-G0-01</t>
        </is>
      </c>
      <c r="B4" s="13" t="inlineStr">
        <is>
          <t>G0 Design Freeze</t>
        </is>
      </c>
      <c r="C4" s="13" t="inlineStr">
        <is>
          <t>Milestone</t>
        </is>
      </c>
      <c r="D4" s="13" t="inlineStr">
        <is>
          <t>Done</t>
        </is>
      </c>
      <c r="E4" s="154" t="n">
        <v>46260</v>
      </c>
      <c r="F4" s="154" t="n">
        <v>46266</v>
      </c>
      <c r="G4" s="13" t="inlineStr">
        <is>
          <t>이권욱</t>
        </is>
      </c>
      <c r="H4" s="13" t="inlineStr">
        <is>
          <t>D-ARC-01·D-NET-01·D-WBS-01·D-SEC-01 승인과 정본 Evidence를 확인하고 G0 FULL PASS 기록 확보</t>
        </is>
      </c>
      <c r="I4" s="13" t="inlineStr">
        <is>
          <t>G0 Design Freeze FULL PASS (2026-09-01).</t>
        </is>
      </c>
      <c r="J4" s="13" t="inlineStr">
        <is>
          <t>Lifecycle only; Runtime separate</t>
        </is>
      </c>
    </row>
    <row r="5">
      <c r="A5" s="13" t="inlineStr">
        <is>
          <t>MS-G1-01</t>
        </is>
      </c>
      <c r="B5" s="13" t="inlineStr">
        <is>
          <t>G1 Infrastructure Ready</t>
        </is>
      </c>
      <c r="C5" s="13" t="inlineStr">
        <is>
          <t>Milestone</t>
        </is>
      </c>
      <c r="D5" s="13" t="inlineStr">
        <is>
          <t>To Do</t>
        </is>
      </c>
      <c r="E5" s="154" t="n">
        <v>46282</v>
      </c>
      <c r="F5" s="154" t="n">
        <v>46282</v>
      </c>
      <c r="G5" s="13" t="inlineStr">
        <is>
          <t>이권욱</t>
        </is>
      </c>
      <c r="H5" s="13" t="inlineStr">
        <is>
          <t>CentOS/containerd, Ansible Inventory/SSH/멱등성, 3CP+3Worker, API LB/Calico, Harbor/Runner/PostgreSQL, Node Connectivity와 Push/Pull 준비도 승인</t>
        </is>
      </c>
      <c r="I5" s="13" t="inlineStr">
        <is>
          <t>09-17 오후 조건부 인수 목표. 6대·API/LB·Calico·DB·Harbor·Runner 증적 미충족이면 PASS 불가. 실제 상태·완료 판정은 유지한다. 세부 배정: Fast Track Plan 시트.</t>
        </is>
      </c>
      <c r="J5" s="13" t="inlineStr">
        <is>
          <t>Lifecycle only; Runtime separate</t>
        </is>
      </c>
    </row>
    <row r="6">
      <c r="A6" s="13" t="inlineStr">
        <is>
          <t>MS-G2-01</t>
        </is>
      </c>
      <c r="B6" s="13" t="inlineStr">
        <is>
          <t>G2 Security / Feature Ready</t>
        </is>
      </c>
      <c r="C6" s="13" t="inlineStr">
        <is>
          <t>Milestone</t>
        </is>
      </c>
      <c r="D6" s="13" t="inlineStr">
        <is>
          <t>To Do</t>
        </is>
      </c>
      <c r="E6" s="154" t="n">
        <v>46286</v>
      </c>
      <c r="F6" s="154" t="n">
        <v>46286</v>
      </c>
      <c r="G6" s="13" t="inlineStr">
        <is>
          <t>이하영</t>
        </is>
      </c>
      <c r="H6" s="13" t="inlineStr">
        <is>
          <t>2-Service MSA, DB 저장, Security P0, CI/CD, Monitoring, Initial E2E/Negative Test/Worker Drain 준비도를 승인</t>
        </is>
      </c>
      <c r="I6" s="13" t="inlineStr">
        <is>
          <t>09-21 오후 종료 시점 목표. 앱/보안/CI/Monitoring·초기 E2E/Negative/Drain 준비도와 해당 증적이 선행한다. 실제 상태·완료 판정은 유지한다. 세부 배정: Fast Track Plan 시트.</t>
        </is>
      </c>
      <c r="J6" s="13" t="inlineStr">
        <is>
          <t>Lifecycle only; Runtime separate</t>
        </is>
      </c>
    </row>
    <row r="7">
      <c r="A7" s="13" t="inlineStr">
        <is>
          <t>MS-G3-01</t>
        </is>
      </c>
      <c r="B7" s="13" t="inlineStr">
        <is>
          <t>G3 Review Ready</t>
        </is>
      </c>
      <c r="C7" s="13" t="inlineStr">
        <is>
          <t>Milestone</t>
        </is>
      </c>
      <c r="D7" s="13" t="inlineStr">
        <is>
          <t>To Do</t>
        </is>
      </c>
      <c r="E7" s="154" t="n">
        <v>46287</v>
      </c>
      <c r="F7" s="154" t="n">
        <v>46287</v>
      </c>
      <c r="G7" s="13" t="inlineStr">
        <is>
          <t>이권욱</t>
        </is>
      </c>
      <c r="H7" s="13" t="inlineStr">
        <is>
          <t>Final E2E/Regression, Worker Drain, PostgreSQL Restore, Critical Issue 0, Architecture/Test/Runbook 준비도를 승인</t>
        </is>
      </c>
      <c r="I7" s="13" t="inlineStr">
        <is>
          <t>09-22 오전 최종 회귀·Drain·Restore 증적·Critical Issue 0과 산출물 동결이 모두 충족될 때 인수한다. 실제 상태·완료 판정은 유지한다. 세부 배정: Fast Track Plan 시트.</t>
        </is>
      </c>
      <c r="J7" s="13" t="inlineStr">
        <is>
          <t>Lifecycle only; Runtime separate</t>
        </is>
      </c>
    </row>
    <row r="8">
      <c r="A8" s="13" t="inlineStr">
        <is>
          <t>MS-P1-REVIEW-01</t>
        </is>
      </c>
      <c r="B8" s="13" t="inlineStr">
        <is>
          <t>Phase 1 Review</t>
        </is>
      </c>
      <c r="C8" s="13" t="inlineStr">
        <is>
          <t>Milestone</t>
        </is>
      </c>
      <c r="D8" s="13" t="inlineStr">
        <is>
          <t>To Do</t>
        </is>
      </c>
      <c r="E8" s="154" t="n">
        <v>46287</v>
      </c>
      <c r="F8" s="154" t="n">
        <v>46287</v>
      </c>
      <c r="G8" s="13" t="inlineStr">
        <is>
          <t>이권욱</t>
        </is>
      </c>
      <c r="H8" s="13" t="inlineStr">
        <is>
          <t>승인된 일정에 Demo/산출물/G3/Known Issue Review를 수행하고 Action 및 승인결과를 기록</t>
        </is>
      </c>
      <c r="I8" s="13" t="inlineStr">
        <is>
          <t>기존 09-20 일요일 대신 09-22 화요일 오후. G3 통과와 참석자 확정이 필요하다. 실제 상태·완료 판정은 유지한다. 세부 배정: Fast Track Plan 시트.</t>
        </is>
      </c>
      <c r="J8" s="13" t="inlineStr">
        <is>
          <t>Lifecycle only; Runtime separate</t>
        </is>
      </c>
    </row>
    <row r="9">
      <c r="A9" s="13" t="inlineStr">
        <is>
          <t>MS-P1-CLOSE-01</t>
        </is>
      </c>
      <c r="B9" s="13" t="inlineStr">
        <is>
          <t>Phase 1 Close</t>
        </is>
      </c>
      <c r="C9" s="13" t="inlineStr">
        <is>
          <t>Milestone</t>
        </is>
      </c>
      <c r="D9" s="13" t="inlineStr">
        <is>
          <t>To Do</t>
        </is>
      </c>
      <c r="E9" s="154" t="n">
        <v>46288</v>
      </c>
      <c r="F9" s="154" t="n">
        <v>46288</v>
      </c>
      <c r="G9" s="13" t="inlineStr">
        <is>
          <t>이권욱</t>
        </is>
      </c>
      <c r="H9" s="13" t="inlineStr">
        <is>
          <t>Review Action 처리, P0 승인, P1/Known Issue Owner·Due 이관 및 Phase 1 Close Sign-off 확보</t>
        </is>
      </c>
      <c r="I9" s="13" t="inlineStr">
        <is>
          <t>09-24~09-25 비근무 전에 종결한다.</t>
        </is>
      </c>
      <c r="J9" s="13" t="inlineStr">
        <is>
          <t>Lifecycle only; Runtime separate</t>
        </is>
      </c>
    </row>
    <row r="10">
      <c r="A10" s="13" t="inlineStr">
        <is>
          <t>MS-P2-START-01</t>
        </is>
      </c>
      <c r="B10" s="13" t="inlineStr">
        <is>
          <t>Phase 2 Start</t>
        </is>
      </c>
      <c r="C10" s="13" t="inlineStr">
        <is>
          <t>Milestone</t>
        </is>
      </c>
      <c r="D10" s="13" t="inlineStr">
        <is>
          <t>To Do</t>
        </is>
      </c>
      <c r="E10" s="154" t="n">
        <v>46293</v>
      </c>
      <c r="F10" s="154" t="n">
        <v>46293</v>
      </c>
      <c r="G10" s="13" t="inlineStr">
        <is>
          <t>이권욱</t>
        </is>
      </c>
      <c r="H10" s="13" t="inlineStr">
        <is>
          <t>Phase 1 Close, Phase 2 계정·권한·일정·P0 범위·OCI Go/No-Go 계획을 확인하고 착수 승인</t>
        </is>
      </c>
      <c r="I10" s="13" t="inlineStr">
        <is>
          <t>09-24~09-25 비근무 후 첫 작업일에 착수한다.</t>
        </is>
      </c>
      <c r="J10" s="13" t="inlineStr">
        <is>
          <t>Lifecycle only; Runtime separate</t>
        </is>
      </c>
    </row>
    <row r="11">
      <c r="A11" s="13" t="inlineStr">
        <is>
          <t>MS-G4-01</t>
        </is>
      </c>
      <c r="B11" s="13" t="inlineStr">
        <is>
          <t>G4 Cloud / VPN Ready</t>
        </is>
      </c>
      <c r="C11" s="13" t="inlineStr">
        <is>
          <t>Milestone</t>
        </is>
      </c>
      <c r="D11" s="13" t="inlineStr">
        <is>
          <t>To Do</t>
        </is>
      </c>
      <c r="E11" s="154" t="n">
        <v>46303</v>
      </c>
      <c r="F11" s="154" t="n">
        <v>46303</v>
      </c>
      <c r="G11" s="13" t="inlineStr">
        <is>
          <t>이권욱</t>
        </is>
      </c>
      <c r="H11" s="13" t="inlineStr">
        <is>
          <t>Terraform 인프라, 승인 Transit/VPN, Route/Security, ROSA 선행조건 및 승인 TCP 경로 준비도 승인</t>
        </is>
      </c>
      <c r="I11" s="13" t="inlineStr">
        <is>
          <t>10-05 비근무를 반영한다. OCI No-Go 시 승인 Fallback 기준으로 판정한다.</t>
        </is>
      </c>
      <c r="J11" s="13" t="inlineStr">
        <is>
          <t>Lifecycle only; Runtime separate</t>
        </is>
      </c>
    </row>
    <row r="12">
      <c r="A12" s="13" t="inlineStr">
        <is>
          <t>MS-G5-01</t>
        </is>
      </c>
      <c r="B12" s="13" t="inlineStr">
        <is>
          <t>G5 ROSA Application Ready</t>
        </is>
      </c>
      <c r="C12" s="13" t="inlineStr">
        <is>
          <t>Milestone</t>
        </is>
      </c>
      <c r="D12" s="13" t="inlineStr">
        <is>
          <t>To Do</t>
        </is>
      </c>
      <c r="E12" s="154" t="n">
        <v>46311</v>
      </c>
      <c r="F12" s="154" t="n">
        <v>46311</v>
      </c>
      <c r="G12" s="13" t="inlineStr">
        <is>
          <t>이하영</t>
        </is>
      </c>
      <c r="H12" s="13" t="inlineStr">
        <is>
          <t>ROSA Platform/Security, P2-CICD-01 Runner 기반 Delivery, transaction-api/fds-engine Health·Rule Smoke Test와 Registry/DNS/Operator Decision 상태 승인</t>
        </is>
      </c>
      <c r="I12" s="13" t="inlineStr">
        <is>
          <t>Registry는 D22, Hybrid DNS는 D23을 따른다. D23 미적용은 P0 IP Endpoint 사용 시 Non-blocker다.</t>
        </is>
      </c>
      <c r="J12" s="13" t="inlineStr">
        <is>
          <t>Lifecycle only; Runtime separate</t>
        </is>
      </c>
    </row>
    <row r="13">
      <c r="A13" s="13" t="inlineStr">
        <is>
          <t>MS-G6-01</t>
        </is>
      </c>
      <c r="B13" s="13" t="inlineStr">
        <is>
          <t>G6 Hybrid Integration Ready</t>
        </is>
      </c>
      <c r="C13" s="13" t="inlineStr">
        <is>
          <t>Milestone</t>
        </is>
      </c>
      <c r="D13" s="13" t="inlineStr">
        <is>
          <t>To Do</t>
        </is>
      </c>
      <c r="E13" s="154" t="n">
        <v>46317</v>
      </c>
      <c r="F13" s="154" t="n">
        <v>46317</v>
      </c>
      <c r="G13" s="13" t="inlineStr">
        <is>
          <t>이권욱</t>
        </is>
      </c>
      <c r="H13" s="13" t="inlineStr">
        <is>
          <t>Hybrid DB/Registry Integration, OADP 복구검증, Hybrid E2E/Regression, Critical Issue 0을 승인</t>
        </is>
      </c>
      <c r="I13" s="13" t="inlineStr">
        <is>
          <t>Hybrid DNS와 Operator 공급망은 D23/D26 결과에 따라 구현 또는 Cancelled 처리한다. 같은 날 DEC-CAL-P2-01 검토를 시작해 Review 일정을 10-23까지 확정한다.</t>
        </is>
      </c>
      <c r="J13" s="13" t="inlineStr">
        <is>
          <t>Lifecycle only; Runtime separate</t>
        </is>
      </c>
    </row>
    <row r="14">
      <c r="A14" s="13" t="inlineStr">
        <is>
          <t>MS-P2-REVIEW-01</t>
        </is>
      </c>
      <c r="B14" s="13" t="inlineStr">
        <is>
          <t>Phase 2 Review</t>
        </is>
      </c>
      <c r="C14" s="13" t="inlineStr">
        <is>
          <t>Milestone</t>
        </is>
      </c>
      <c r="D14" s="13" t="inlineStr">
        <is>
          <t>To Do</t>
        </is>
      </c>
      <c r="E14" s="154" t="n">
        <v>46318</v>
      </c>
      <c r="F14" s="154" t="n">
        <v>46318</v>
      </c>
      <c r="G14" s="13" t="inlineStr">
        <is>
          <t>이권욱</t>
        </is>
      </c>
      <c r="H14" s="13" t="inlineStr">
        <is>
          <t>승인된 일정에 Hybrid Demo/산출물/G6/Known Issue/Cloud Resource Review를 수행하고 Action·승인결과를 기록</t>
        </is>
      </c>
      <c r="I14" s="13" t="inlineStr">
        <is>
          <t>교육장 주말 작업 불가로 기존 10-24 토요일 대신 10-23 금요일 오후를 권장한다. G6/Deliverable Freeze 후 진행하고 참석자는 별도 확정한다. 실제 상태·완료 판정은 유지한다. 세부 배정: Fast Track Plan 시트.</t>
        </is>
      </c>
      <c r="J14" s="13" t="inlineStr">
        <is>
          <t>Lifecycle only; Runtime separate</t>
        </is>
      </c>
    </row>
    <row r="15">
      <c r="A15" s="13" t="inlineStr">
        <is>
          <t>MS-PROJECT-CLOSE-01</t>
        </is>
      </c>
      <c r="B15" s="13" t="inlineStr">
        <is>
          <t>Project Close</t>
        </is>
      </c>
      <c r="C15" s="13" t="inlineStr">
        <is>
          <t>Milestone</t>
        </is>
      </c>
      <c r="D15" s="13" t="inlineStr">
        <is>
          <t>To Do</t>
        </is>
      </c>
      <c r="E15" s="154" t="n">
        <v>46321</v>
      </c>
      <c r="F15" s="154" t="n">
        <v>46321</v>
      </c>
      <c r="G15" s="13" t="inlineStr">
        <is>
          <t>이권욱</t>
        </is>
      </c>
      <c r="H15" s="13" t="inlineStr">
        <is>
          <t>Review Action, P0 승인, 후속 P1/Known Issue, Cloud Resource/Cost, Source/Deliverable 인계 및 Project Close Sign-off 확보</t>
        </is>
      </c>
      <c r="I15" s="13" t="inlineStr">
        <is>
          <t>D24가 Review를 10-26 이후로 이동시키면 Project Close도 Change Request 대상이다.</t>
        </is>
      </c>
      <c r="J15" s="13" t="inlineStr">
        <is>
          <t>Lifecycle only; Runtime separate</t>
        </is>
      </c>
    </row>
    <row r="16">
      <c r="A16" s="13" t="inlineStr">
        <is>
          <t>DEC-CAL-P1-01</t>
        </is>
      </c>
      <c r="B16" s="13" t="inlineStr">
        <is>
          <t>Phase 1 Weekend Review Decision</t>
        </is>
      </c>
      <c r="C16" s="13" t="inlineStr">
        <is>
          <t>Decision</t>
        </is>
      </c>
      <c r="D16" s="13" t="inlineStr">
        <is>
          <t>Done</t>
        </is>
      </c>
      <c r="E16" s="154" t="n">
        <v>46276</v>
      </c>
      <c r="F16" s="154" t="n">
        <v>46276</v>
      </c>
      <c r="G16" s="13" t="inlineStr">
        <is>
          <t>이권욱</t>
        </is>
      </c>
      <c r="H16" s="13" t="inlineStr">
        <is>
          <t>09-20 일요일 Review 유지 또는 영업일 재배치, 참석자·승인권자·시간·대체일을 확정하고 WBS/Calendar 동기화</t>
        </is>
      </c>
      <c r="I16" s="13" t="inlineStr">
        <is>
          <t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</t>
        </is>
      </c>
      <c r="J16" s="13" t="inlineStr">
        <is>
          <t>Lifecycle only; Runtime separate</t>
        </is>
      </c>
    </row>
    <row r="17">
      <c r="A17" s="13" t="inlineStr">
        <is>
          <t>DEC-CAL-P2-01</t>
        </is>
      </c>
      <c r="B17" s="13" t="inlineStr">
        <is>
          <t>Phase 2 Weekend Review Decision</t>
        </is>
      </c>
      <c r="C17" s="13" t="inlineStr">
        <is>
          <t>Decision</t>
        </is>
      </c>
      <c r="D17" s="13" t="inlineStr">
        <is>
          <t>To Do</t>
        </is>
      </c>
      <c r="E17" s="154" t="n">
        <v>46317</v>
      </c>
      <c r="F17" s="154" t="n">
        <v>46317</v>
      </c>
      <c r="G17" s="13" t="inlineStr">
        <is>
          <t>이권욱</t>
        </is>
      </c>
      <c r="H17" s="13" t="inlineStr">
        <is>
          <t>10-24 토요일 Review 유지 또는 영업일 재배치, 참석자·승인권자·시간·Project Close 영향도를 확정하고 WBS 동기화</t>
        </is>
      </c>
      <c r="I17" s="13" t="inlineStr">
        <is>
          <t>교육장 주말 작업 불가를 반영해 10-22까지 평일 10-23 오후 Review의 참석자·시간을 확정한다. 상태는 To Do다. 실제 상태·완료 판정은 유지한다. 세부 배정: Fast Track Plan 시트.</t>
        </is>
      </c>
      <c r="J17" s="13" t="inlineStr">
        <is>
          <t>Lifecycle only; Runtime separate</t>
        </is>
      </c>
    </row>
    <row r="18">
      <c r="A18" s="13" t="inlineStr">
        <is>
          <t>ICR-D-NET-01-01</t>
        </is>
      </c>
      <c r="B18" s="13" t="inlineStr">
        <is>
          <t>Kubernetes Node Host Firewall / Monitoring Route</t>
        </is>
      </c>
      <c r="C18" s="13" t="inlineStr">
        <is>
          <t>Change Request</t>
        </is>
      </c>
      <c r="D18" s="13" t="inlineStr">
        <is>
          <t>In Progress</t>
        </is>
      </c>
      <c r="E18" s="154" t="n">
        <v>46266</v>
      </c>
      <c r="F18" s="154" t="n">
        <v>46286</v>
      </c>
      <c r="G18" s="13" t="inlineStr">
        <is>
          <t>이권욱</t>
        </is>
      </c>
      <c r="H18" s="13" t="inlineStr">
        <is>
          <t>Kubernetes 6개 Node의 보호 공백 없는 firewalld→Calico named HEP/GNP 전환, 30080/9100/10250 최소 허용, 관리망 반환 경로와 IF-06B 정합화, Positive/Negative/Regression/Reboot/Rollback 및 무결성 Evidence 완료</t>
        </is>
      </c>
      <c r="I18" s="13" t="inlineStr">
        <is>
          <t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</t>
        </is>
      </c>
      <c r="J18" s="13" t="inlineStr">
        <is>
          <t>Lifecycle only; Runtime separate</t>
        </is>
      </c>
    </row>
    <row r="19" ht="38" customHeight="1">
      <c r="A19" s="67" t="inlineStr">
        <is>
          <t>D36</t>
        </is>
      </c>
      <c r="B19" s="67" t="inlineStr">
        <is>
          <t>Team Availability / Phase 1 Schedule &amp; Status Update</t>
        </is>
      </c>
      <c r="C19" s="67" t="inlineStr">
        <is>
          <t>Decision</t>
        </is>
      </c>
      <c r="D19" s="67" t="inlineStr">
        <is>
          <t>Done</t>
        </is>
      </c>
      <c r="E19" s="176" t="n">
        <v>46268</v>
      </c>
      <c r="F19" s="176" t="n">
        <v>46268</v>
      </c>
      <c r="G19" s="67" t="inlineStr">
        <is>
          <t>이권욱</t>
        </is>
      </c>
      <c r="H19" s="67" t="inlineStr">
        <is>
          <t>User approved JH LEE 09-04 personal leave; P1-DNS-01 Done; P1-K8S-01 In Progress</t>
        </is>
      </c>
      <c r="I19" s="67" t="inlineStr">
        <is>
          <t>P1-DB/G1 → 09-07; P1-APP → 09-10; P1-MON starts 09-07; downstream gates unchanged</t>
        </is>
      </c>
      <c r="J19" s="67" t="inlineStr">
        <is>
          <t>Release v3.1.16</t>
        </is>
      </c>
    </row>
    <row r="20" ht="42" customHeight="1">
      <c r="A20" s="67" t="inlineStr">
        <is>
          <t>D37</t>
        </is>
      </c>
      <c r="B20" s="67" t="inlineStr">
        <is>
          <t>GitHub Canonical Baseline Repository / Integrity Correction</t>
        </is>
      </c>
      <c r="C20" s="67" t="inlineStr">
        <is>
          <t>Decision</t>
        </is>
      </c>
      <c r="D20" s="67" t="inlineStr">
        <is>
          <t>Done</t>
        </is>
      </c>
      <c r="E20" s="176" t="n">
        <v>46269</v>
      </c>
      <c r="F20" s="176" t="n">
        <v>46269</v>
      </c>
      <c r="G20" s="67" t="inlineStr">
        <is>
          <t>이권욱</t>
        </is>
      </c>
      <c r="H20" s="67" t="inlineStr">
        <is>
          <t>Private 321Team/fds-project-baseline; main canonical; release/v3.1.17 candidate; PR review required</t>
        </is>
      </c>
      <c r="I20" s="67" t="inlineStr">
        <is>
          <t>v3.1.16 findings corrected in v3.1.17; CR-P1-ANS-01-01 review remains independent</t>
        </is>
      </c>
      <c r="J20" s="67" t="inlineStr">
        <is>
          <t>v3.1.17 RELEASED 2026-09-07</t>
        </is>
      </c>
    </row>
    <row r="21" ht="42" customHeight="1">
      <c r="A21" s="67" t="inlineStr">
        <is>
          <t>CAL-HY-20260908</t>
        </is>
      </c>
      <c r="B21" s="67" t="inlineStr">
        <is>
          <t>이하영 면접 휴가</t>
        </is>
      </c>
      <c r="C21" s="67" t="inlineStr">
        <is>
          <t>Calendar Control</t>
        </is>
      </c>
      <c r="D21" s="176" t="inlineStr">
        <is>
          <t>Approved</t>
        </is>
      </c>
      <c r="E21" s="176" t="n">
        <v>46273</v>
      </c>
      <c r="F21" s="176" t="n">
        <v>46273</v>
      </c>
      <c r="G21" s="67" t="inlineStr">
        <is>
          <t>이하영</t>
        </is>
      </c>
      <c r="H21" s="67" t="inlineStr">
        <is>
          <t>개인 휴가를 작업일에서 제외</t>
        </is>
      </c>
      <c r="I21" s="67" t="inlineStr">
        <is>
          <t>기존 일정 / Gate 날짜 유지</t>
        </is>
      </c>
      <c r="J21" s="67" t="inlineStr">
        <is>
          <t>User instruction 2026-09-08</t>
        </is>
      </c>
    </row>
    <row r="22" ht="52" customHeight="1">
      <c r="A22" s="67" t="inlineStr">
        <is>
          <t>CR-P1-ANS-01-01</t>
        </is>
      </c>
      <c r="B22" s="67" t="inlineStr">
        <is>
          <t>Ansible Kubernetes Node DNS Resolver 변경</t>
        </is>
      </c>
      <c r="C22" s="67" t="inlineStr">
        <is>
          <t>Change Request</t>
        </is>
      </c>
      <c r="D22" s="67" t="inlineStr">
        <is>
          <t>Done</t>
        </is>
      </c>
      <c r="E22" s="176" t="n">
        <v>46269</v>
      </c>
      <c r="F22" s="176" t="n">
        <v>46272</v>
      </c>
      <c r="G22" s="67" t="inlineStr">
        <is>
          <t>이권욱</t>
        </is>
      </c>
      <c r="H22" s="67" t="inlineStr">
        <is>
          <t>Kubernetes 6개 Node의 DNS 전환, 검색 도메인·API FQDN/Short Name·외부 DNS·직접 질의·서비스 회귀·멱등성·Rollback·Evidence 무결성 및 Support Review 완료</t>
        </is>
      </c>
      <c r="I22" s="67" t="inlineStr">
        <is>
          <t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</t>
        </is>
      </c>
      <c r="J22" s="67" t="inlineStr">
        <is>
          <t>Lifecycle only; Runtime separate</t>
        </is>
      </c>
    </row>
    <row r="23" ht="58" customHeight="1">
      <c r="A23" s="83" t="inlineStr">
        <is>
          <t>DEC-P1-FDS-01</t>
        </is>
      </c>
      <c r="B23" s="83" t="inlineStr">
        <is>
          <t>거래 보류 도입 범위·판정·평가 실패·Gate 편입 결정</t>
        </is>
      </c>
      <c r="C23" s="83" t="inlineStr">
        <is>
          <t>Decision</t>
        </is>
      </c>
      <c r="D23" s="83" t="inlineStr">
        <is>
          <t>Done</t>
        </is>
      </c>
      <c r="E23" s="157" t="n">
        <v>46273</v>
      </c>
      <c r="F23" s="157" t="n">
        <v>46274</v>
      </c>
      <c r="G23" s="83" t="inlineStr">
        <is>
          <t>이재환</t>
        </is>
      </c>
      <c r="H23" s="83" t="inlineStr">
        <is>
          <t>현행 탐지·기록 유지, 신규 보류·운영 기능 미도입, 실패 정책·계약 소유권, G2 영향 없음 및 후속 검증·재검토 조건 기록</t>
        </is>
      </c>
      <c r="I23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3" s="83" t="inlineStr">
        <is>
          <t>Lifecycle only; Runtime separate</t>
        </is>
      </c>
    </row>
    <row r="24" ht="58" customHeight="1">
      <c r="A24" s="83" t="inlineStr">
        <is>
          <t>DEC-P1-TXN-01</t>
        </is>
      </c>
      <c r="B24" s="83" t="inlineStr">
        <is>
          <t>거래 상태·API 응답·재시도·데이터 정합성 계약 결정</t>
        </is>
      </c>
      <c r="C24" s="83" t="inlineStr">
        <is>
          <t>Decision</t>
        </is>
      </c>
      <c r="D24" s="83" t="inlineStr">
        <is>
          <t>Done</t>
        </is>
      </c>
      <c r="E24" s="157" t="n">
        <v>46273</v>
      </c>
      <c r="F24" s="157" t="n">
        <v>46274</v>
      </c>
      <c r="G24" s="83" t="inlineStr">
        <is>
          <t>이재환</t>
        </is>
      </c>
      <c r="H24" s="83" t="inlineStr">
        <is>
          <t>기존 계약 유지 선택, 신규 상태/API·Migration 변경 유예, #4/#6과 정책·표현 소유권 및 기존 구현 정합성 후속 기록</t>
        </is>
      </c>
      <c r="I24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4" s="83" t="inlineStr">
        <is>
          <t>Lifecycle only; Runtime separate</t>
        </is>
      </c>
    </row>
    <row r="25" ht="58" customHeight="1">
      <c r="A25" s="83" t="inlineStr">
        <is>
          <t>DEC-P1-ADMIN-01</t>
        </is>
      </c>
      <c r="B25" s="83" t="inlineStr">
        <is>
          <t>보안 시연 범위·테스트 전제·조건부 운영 통제 결정</t>
        </is>
      </c>
      <c r="C25" s="83" t="inlineStr">
        <is>
          <t>Decision</t>
        </is>
      </c>
      <c r="D25" s="83" t="inlineStr">
        <is>
          <t>Done</t>
        </is>
      </c>
      <c r="E25" s="157" t="n">
        <v>46273</v>
      </c>
      <c r="F25" s="157" t="n">
        <v>46274</v>
      </c>
      <c r="G25" s="83" t="inlineStr">
        <is>
          <t>이하영</t>
        </is>
      </c>
      <c r="H25" s="83" t="inlineStr">
        <is>
          <t>프론트엔드 배치 제외, 합성 데이터·최소 노출 원칙, 5개 검토 축 적용/유예, 기존 접근 통제 재사용 및 후속 시나리오 인계 기록</t>
        </is>
      </c>
      <c r="I25" s="83" t="inlineStr">
        <is>
          <t>현행 유지·신규 기능 확대 유예 결정 Done. v18 편입 이력을 유지한다. 현재 발행 정본은 v3.1.18이며 본 자료는 v19 후보이다. 신규 기능 G2 편입·Runtime 승인은 아니다.</t>
        </is>
      </c>
      <c r="J25" s="83" t="inlineStr">
        <is>
          <t>Lifecycle only; Runtime separate</t>
        </is>
      </c>
    </row>
    <row r="26" ht="58" customHeight="1">
      <c r="A26" s="83" t="inlineStr">
        <is>
          <t>D-SEC-01</t>
        </is>
      </c>
      <c r="B26" s="83" t="inlineStr">
        <is>
          <t>Security Design Scope / Approval Review</t>
        </is>
      </c>
      <c r="C26" s="83" t="inlineStr">
        <is>
          <t>Decision</t>
        </is>
      </c>
      <c r="D26" s="83" t="inlineStr">
        <is>
          <t>Done</t>
        </is>
      </c>
      <c r="E26" s="157" t="n">
        <v>46260</v>
      </c>
      <c r="F26" s="157" t="n">
        <v>46266</v>
      </c>
      <c r="G26" s="83" t="inlineStr">
        <is>
          <t>이하영</t>
        </is>
      </c>
      <c r="H26" s="83" t="inlineStr">
        <is>
          <t>승인권자 지정, D-SEC-01 검토 범위·산출물·Exit Criteria 승인, P1-SEC-01과의 경계 승인, 요구사항과 검증 증적 연결 후 Done 판정</t>
        </is>
      </c>
      <c r="I26" s="83" t="inlineStr">
        <is>
          <t>v3.1.14 최종 승인·정본 반영 완료. 구현은 P1-SEC-01로 이관.</t>
        </is>
      </c>
      <c r="J26" s="83" t="inlineStr">
        <is>
          <t>Lifecycle only; Runtime separate</t>
        </is>
      </c>
    </row>
    <row r="27" ht="58" customHeight="1">
      <c r="A27" s="83" t="inlineStr">
        <is>
          <t>P2-OCI-01</t>
        </is>
      </c>
      <c r="B27" s="83" t="inlineStr">
        <is>
          <t>OCI Relay Go / No-Go</t>
        </is>
      </c>
      <c r="C27" s="83" t="inlineStr">
        <is>
          <t>Decision</t>
        </is>
      </c>
      <c r="D27" s="83" t="inlineStr">
        <is>
          <t>To Do</t>
        </is>
      </c>
      <c r="E27" s="157" t="n">
        <v>46293</v>
      </c>
      <c r="F27" s="157" t="n">
        <v>46297</v>
      </c>
      <c r="G27" s="83" t="inlineStr">
        <is>
          <t>이권욱</t>
        </is>
      </c>
      <c r="H27" s="83" t="inlineStr">
        <is>
          <t>OCI Relay 가능성·권한·Public Endpoint·IPsec/NAT-T·Route를 검증하고 Primary 또는 승인 Fallback 경로를 선택</t>
        </is>
      </c>
      <c r="I27" s="83" t="inlineStr">
        <is>
          <t>10-02 Go/No-Go를 넘기지 않는다. No-Go 시 Vendor Endpoint→AWS EC2+EIP Relay→Overlay 순으로 승인된 Fallback을 선택한다.</t>
        </is>
      </c>
      <c r="J27" s="83" t="inlineStr">
        <is>
          <t>Lifecycle only; Runtime separate</t>
        </is>
      </c>
    </row>
    <row r="28" ht="58" customHeight="1">
      <c r="A28" s="83" t="inlineStr">
        <is>
          <t>DEC-P2-DNS-01</t>
        </is>
      </c>
      <c r="B28" s="83" t="inlineStr">
        <is>
          <t>Hybrid DNS Scope Decision</t>
        </is>
      </c>
      <c r="C28" s="83" t="inlineStr">
        <is>
          <t>Decision</t>
        </is>
      </c>
      <c r="D28" s="83" t="inlineStr">
        <is>
          <t>To Do</t>
        </is>
      </c>
      <c r="E28" s="157" t="n">
        <v>46307</v>
      </c>
      <c r="F28" s="157" t="n">
        <v>46311</v>
      </c>
      <c r="G28" s="83" t="inlineStr">
        <is>
          <t>이권욱</t>
        </is>
      </c>
      <c r="H28" s="83" t="inlineStr">
        <is>
          <t>P0 IP Endpoint 유지 또는 Hybrid DNS P1 적용을 확정하고 Resolver/Forwarding/Zone/Route/테스트·Cancelled 결정 근거를 승인</t>
        </is>
      </c>
      <c r="I28" s="83" t="inlineStr">
        <is>
          <t>Hybrid P0 E2E는 IP Endpoint를 허용하므로 본 P1 결정 미완료가 G5/G6를 자동 차단하지 않는다.</t>
        </is>
      </c>
      <c r="J28" s="83" t="inlineStr">
        <is>
          <t>Lifecycle only; Runtime separate</t>
        </is>
      </c>
    </row>
    <row r="29" ht="58" customHeight="1">
      <c r="A29" s="83" t="inlineStr">
        <is>
          <t>DEC-P2-OP-01</t>
        </is>
      </c>
      <c r="B29" s="83" t="inlineStr">
        <is>
          <t>Operator Supply Chain Scope Decision</t>
        </is>
      </c>
      <c r="C29" s="83" t="inlineStr">
        <is>
          <t>Decision</t>
        </is>
      </c>
      <c r="D29" s="83" t="inlineStr">
        <is>
          <t>To Do</t>
        </is>
      </c>
      <c r="E29" s="157" t="n">
        <v>46307</v>
      </c>
      <c r="F29" s="157" t="n">
        <v>46311</v>
      </c>
      <c r="G29" s="83" t="inlineStr">
        <is>
          <t>이하영</t>
        </is>
      </c>
      <c r="H29" s="83" t="inlineStr">
        <is>
          <t>ROSA Operator 공급망을 Direct Catalog 또는 oc-mirror/Harbor/Custom CatalogSource 중 하나로 결정하고 구현·N/A 기준 승인</t>
        </is>
      </c>
      <c r="I29" s="83" t="inlineStr">
        <is>
          <t>D26에서 Direct Catalog 선택 시 P2-OP-01은 Cancelled 처리하고, Mirror 선택 시 P2-OP-01을 활성화한다.</t>
        </is>
      </c>
      <c r="J29" s="83" t="inlineStr">
        <is>
          <t>Lifecycle only; Runtime separate</t>
        </is>
      </c>
    </row>
    <row r="30" ht="58" customHeight="1">
      <c r="A30" s="83" t="inlineStr">
        <is>
          <t>DEC-P2-REG-01</t>
        </is>
      </c>
      <c r="B30" s="83" t="inlineStr">
        <is>
          <t>ROSA Image Registry Source Decision</t>
        </is>
      </c>
      <c r="C30" s="83" t="inlineStr">
        <is>
          <t>Decision</t>
        </is>
      </c>
      <c r="D30" s="83" t="inlineStr">
        <is>
          <t>To Do</t>
        </is>
      </c>
      <c r="E30" s="157" t="n">
        <v>46307</v>
      </c>
      <c r="F30" s="157" t="n">
        <v>46311</v>
      </c>
      <c r="G30" s="83" t="inlineStr">
        <is>
          <t>이하영</t>
        </is>
      </c>
      <c r="H30" s="83" t="inlineStr">
        <is>
          <t>ROSA Image Source를 On-Prem Harbor 또는 승인 Cloud Registry로 확정하고 Route·TLS·Credential·비용·Fallback을 승인</t>
        </is>
      </c>
      <c r="I30" s="83" t="inlineStr">
        <is>
          <t>기준선의 ROSA→Harbor는 Optional이다. P2-APP-01 최종 Image 경로 전 10-16까지 확정한다.</t>
        </is>
      </c>
      <c r="J30" s="83" t="inlineStr">
        <is>
          <t>Lifecycle only; Runtime separate</t>
        </is>
      </c>
    </row>
    <row r="31" ht="58" customHeight="1">
      <c r="A31" s="83" t="inlineStr">
        <is>
          <t>MS-DELIVERABLE-FREEZE-01</t>
        </is>
      </c>
      <c r="B31" s="83" t="inlineStr">
        <is>
          <t>Deliverable Freeze</t>
        </is>
      </c>
      <c r="C31" s="83" t="inlineStr">
        <is>
          <t>Milestone</t>
        </is>
      </c>
      <c r="D31" s="83" t="inlineStr">
        <is>
          <t>To Do</t>
        </is>
      </c>
      <c r="E31" s="157" t="n">
        <v>46318</v>
      </c>
      <c r="F31" s="157" t="n">
        <v>46318</v>
      </c>
      <c r="G31" s="83" t="inlineStr">
        <is>
          <t>이권욱</t>
        </is>
      </c>
      <c r="H31" s="83" t="inlineStr">
        <is>
          <t>Architecture/IaC/Test/Runbook/Evidence/Decision/Known Issue의 최종 Version과 변경금지를 승인</t>
        </is>
      </c>
      <c r="I31" s="83" t="inlineStr">
        <is>
          <t>Freeze 이후 변경은 Review Action 또는 Change Request로만 허용한다.</t>
        </is>
      </c>
      <c r="J31" s="83" t="inlineStr">
        <is>
          <t>Lifecycle only; Runtime separate</t>
        </is>
      </c>
    </row>
    <row r="32" ht="44" customHeight="1">
      <c r="A32" s="67" t="inlineStr">
        <is>
          <t>CAL-HY-20260910</t>
        </is>
      </c>
      <c r="B32" s="67" t="inlineStr">
        <is>
          <t>이하영 면접 휴가</t>
        </is>
      </c>
      <c r="C32" s="67" t="inlineStr">
        <is>
          <t>Calendar Control</t>
        </is>
      </c>
      <c r="D32" s="67" t="inlineStr">
        <is>
          <t>Approved</t>
        </is>
      </c>
      <c r="E32" s="176" t="n">
        <v>46275</v>
      </c>
      <c r="F32" s="176" t="n">
        <v>46275</v>
      </c>
      <c r="G32" s="67" t="inlineStr">
        <is>
          <t>이하영</t>
        </is>
      </c>
      <c r="H32" s="67" t="inlineStr">
        <is>
          <t>개인 휴가를 가용일에서 제외</t>
        </is>
      </c>
      <c r="I32" s="67" t="inlineStr">
        <is>
          <t>09-08 유지 / 계획일·Gate 이동 없음</t>
        </is>
      </c>
      <c r="J32" s="67" t="inlineStr">
        <is>
          <t>User instruction 2026-09-10</t>
        </is>
      </c>
    </row>
    <row r="33" ht="65" customHeight="1">
      <c r="A33" s="148" t="inlineStr">
        <is>
          <t>CR-P1-MON-01-01</t>
        </is>
      </c>
      <c r="B33" s="148" t="inlineStr">
        <is>
          <t>Alertmanager Egress 프록시 서버 구성</t>
        </is>
      </c>
      <c r="C33" s="148" t="inlineStr">
        <is>
          <t>Change Request</t>
        </is>
      </c>
      <c r="D33" s="148" t="inlineStr">
        <is>
          <t>In Progress</t>
        </is>
      </c>
      <c r="E33" s="159" t="n">
        <v>46276</v>
      </c>
      <c r="F33" s="159" t="n"/>
      <c r="G33" s="148" t="inlineStr">
        <is>
          <t>이하영</t>
        </is>
      </c>
      <c r="H33" s="148" t="inlineStr">
        <is>
          <t>discord.com 아웃바운드 확인, 프록시 전용 VM 확정, Squid/Nginx 구성 및 discord.com allowlist 적용, 고정 IP·포트를 [Issue B(#75)](https://github.com/321Team/fds-project-baseline/issues/75)에 전달</t>
        </is>
      </c>
      <c r="I33" s="148" t="inlineStr">
        <is>
          <t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</t>
        </is>
      </c>
      <c r="J33" s="148" t="inlineStr">
        <is>
          <t>Lifecycle only; Runtime separate</t>
        </is>
      </c>
    </row>
    <row r="34" ht="65" customHeight="1">
      <c r="A34" s="148" t="inlineStr">
        <is>
          <t>CR-P1-MON-01-02</t>
        </is>
      </c>
      <c r="B34" s="148" t="inlineStr">
        <is>
          <t>Alertmanager Egress Kubernetes 보안 설정 (NetworkPolicy)</t>
        </is>
      </c>
      <c r="C34" s="148" t="inlineStr">
        <is>
          <t>Change Request</t>
        </is>
      </c>
      <c r="D34" s="148" t="inlineStr">
        <is>
          <t>In Progress</t>
        </is>
      </c>
      <c r="E34" s="159" t="n"/>
      <c r="F34" s="159" t="n"/>
      <c r="G34" s="148" t="inlineStr">
        <is>
          <t>이하영</t>
        </is>
      </c>
      <c r="H34" s="148" t="inlineStr">
        <is>
          <t>Alertmanager 전용 NetworkPolicy(Egress) 작성·적용, podSelector 라벨 확정, Secret 주입·회전·폐기 절차 확정, 검증(허용/차단/알림 전송) 완료 및 Support Review 완료</t>
        </is>
      </c>
      <c r="I34" s="148" t="inlineStr">
        <is>
          <t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</t>
        </is>
      </c>
      <c r="J34" s="148" t="inlineStr">
        <is>
          <t>Lifecycle only; Runtime separate</t>
        </is>
      </c>
    </row>
    <row r="35" ht="65" customHeight="1">
      <c r="A35" s="148" t="inlineStr">
        <is>
          <t>DEC-P1-EGRESS-01</t>
        </is>
      </c>
      <c r="B35" s="148" t="inlineStr">
        <is>
          <t>Alertmanager 전용 프록시 배치·예약 IP 사용 결정</t>
        </is>
      </c>
      <c r="C35" s="148" t="inlineStr">
        <is>
          <t>Decision</t>
        </is>
      </c>
      <c r="D35" s="148" t="inlineStr">
        <is>
          <t>Done</t>
        </is>
      </c>
      <c r="E35" s="159" t="n">
        <v>46279</v>
      </c>
      <c r="F35" s="159" t="n">
        <v>46286</v>
      </c>
      <c r="G35" s="148" t="inlineStr">
        <is>
          <t>이권욱</t>
        </is>
      </c>
      <c r="H35" s="148" t="inlineStr">
        <is>
          <t>배치·예외 정책 기록, 예약 IP/자산 충돌 확인, 자원 영향 검토, #74/#75 구현·인계 조건 연결</t>
        </is>
      </c>
      <c r="I35" s="148" t="inlineStr">
        <is>
          <t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</t>
        </is>
      </c>
      <c r="J35" s="148" t="inlineStr">
        <is>
          <t>Lifecycle only; Runtime separate</t>
        </is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6" customWidth="1" min="3" max="3"/>
    <col width="14" customWidth="1" min="4" max="4"/>
    <col width="14" customWidth="1" min="5" max="5"/>
    <col width="56" customWidth="1" min="6" max="6"/>
    <col width="30" customWidth="1" min="7" max="7"/>
    <col width="34" customWidth="1" min="8" max="8"/>
  </cols>
  <sheetData>
    <row r="1" ht="34" customHeight="1">
      <c r="A1" s="79" t="inlineStr">
        <is>
          <t>FDS v3.1.20 · Risks, Assumptions &amp; Lead Decisions (CANDIDATE)</t>
        </is>
      </c>
    </row>
    <row r="3">
      <c r="A3" s="9" t="inlineStr">
        <is>
          <t>ID</t>
        </is>
      </c>
      <c r="B3" s="9" t="inlineStr">
        <is>
          <t>Risk / Assumption</t>
        </is>
      </c>
      <c r="C3" s="9" t="inlineStr">
        <is>
          <t>Impact</t>
        </is>
      </c>
      <c r="D3" s="9" t="inlineStr">
        <is>
          <t>Status</t>
        </is>
      </c>
      <c r="E3" s="9" t="inlineStr">
        <is>
          <t>Owner</t>
        </is>
      </c>
      <c r="F3" s="9" t="inlineStr">
        <is>
          <t>Mitigation / Recommendation</t>
        </is>
      </c>
      <c r="G3" s="9" t="inlineStr">
        <is>
          <t>Decision needed</t>
        </is>
      </c>
      <c r="H3" s="9" t="inlineStr">
        <is>
          <t>Evidence / Trigger</t>
        </is>
      </c>
    </row>
    <row r="4" ht="42" customHeight="1">
      <c r="A4" s="13" t="inlineStr">
        <is>
          <t>RA-01</t>
        </is>
      </c>
      <c r="B4" s="13" t="inlineStr">
        <is>
          <t>server01/server08 service concentration</t>
        </is>
      </c>
      <c r="C4" s="13" t="inlineStr">
        <is>
          <t>External SPOF remains despite 3CP+3Worker</t>
        </is>
      </c>
      <c r="D4" s="13" t="inlineStr">
        <is>
          <t>Open</t>
        </is>
      </c>
      <c r="E4" s="13" t="inlineStr">
        <is>
          <t>이권욱</t>
        </is>
      </c>
      <c r="F4" s="13" t="inlineStr">
        <is>
          <t>Prioritize LB/Registry/DB/management HA roadmap</t>
        </is>
      </c>
      <c r="G4" s="13" t="inlineStr">
        <is>
          <t>Mentor/Lead priority</t>
        </is>
      </c>
      <c r="H4" s="13" t="inlineStr">
        <is>
          <t>Failure domain review</t>
        </is>
      </c>
    </row>
    <row r="5" ht="42" customHeight="1">
      <c r="A5" s="13" t="inlineStr">
        <is>
          <t>RA-02</t>
        </is>
      </c>
      <c r="B5" s="13" t="inlineStr">
        <is>
          <t>ICR-D-NET-01-01 End TBD</t>
        </is>
      </c>
      <c r="C5" s="13" t="inlineStr">
        <is>
          <t>G2 schedule uncertainty</t>
        </is>
      </c>
      <c r="D5" s="13" t="inlineStr">
        <is>
          <t>Open</t>
        </is>
      </c>
      <c r="E5" s="13" t="inlineStr">
        <is>
          <t>이권욱</t>
        </is>
      </c>
      <c r="F5" s="13" t="inlineStr">
        <is>
          <t>Set end date after canary scope and rollback approval</t>
        </is>
      </c>
      <c r="G5" s="13" t="inlineStr">
        <is>
          <t>End date</t>
        </is>
      </c>
      <c r="H5" s="13" t="inlineStr">
        <is>
          <t>ICR plan</t>
        </is>
      </c>
    </row>
    <row r="6" ht="42" customHeight="1">
      <c r="A6" s="13" t="inlineStr">
        <is>
          <t>RA-03</t>
        </is>
      </c>
      <c r="B6" s="13" t="inlineStr">
        <is>
          <t>Management return route not closed</t>
        </is>
      </c>
      <c r="C6" s="13" t="inlineStr">
        <is>
          <t>P1-MON watchdog linkage blocked</t>
        </is>
      </c>
      <c r="D6" s="13" t="inlineStr">
        <is>
          <t>Open</t>
        </is>
      </c>
      <c r="E6" s="13" t="inlineStr">
        <is>
          <t>이권욱</t>
        </is>
      </c>
      <c r="F6" s="13" t="inlineStr">
        <is>
          <t>Validate .58 route on monitor/db/harbor/edge</t>
        </is>
      </c>
      <c r="G6" s="13" t="inlineStr">
        <is>
          <t>Completion date</t>
        </is>
      </c>
      <c r="H6" s="13" t="inlineStr">
        <is>
          <t>Positive/negative route evidence</t>
        </is>
      </c>
    </row>
    <row r="7" ht="42" customHeight="1">
      <c r="A7" s="13" t="inlineStr">
        <is>
          <t>RA-04</t>
        </is>
      </c>
      <c r="B7" s="13" t="inlineStr">
        <is>
          <t>Slides 11/12 screenshots absent</t>
        </is>
      </c>
      <c r="C7" s="13" t="inlineStr">
        <is>
          <t>Cannot claim runtime completion</t>
        </is>
      </c>
      <c r="D7" s="13" t="inlineStr">
        <is>
          <t>Open</t>
        </is>
      </c>
      <c r="E7" s="13" t="inlineStr">
        <is>
          <t>이재환</t>
        </is>
      </c>
      <c r="F7" s="13" t="inlineStr">
        <is>
          <t>Attach timestamped Test ID/result/path evidence</t>
        </is>
      </c>
      <c r="G7" s="13" t="inlineStr">
        <is>
          <t>Evidence acceptance</t>
        </is>
      </c>
      <c r="H7" s="13" t="inlineStr">
        <is>
          <t>P1-MON / DR evidence</t>
        </is>
      </c>
    </row>
    <row r="8" ht="42" customHeight="1">
      <c r="A8" s="13" t="inlineStr">
        <is>
          <t>RA-05</t>
        </is>
      </c>
      <c r="B8" s="13" t="inlineStr">
        <is>
          <t>Weekend classroom unavailable; reviews moved to weekdays</t>
        </is>
      </c>
      <c r="C8" s="13" t="inlineStr">
        <is>
          <t>Attendance and close-date risk</t>
        </is>
      </c>
      <c r="D8" s="13" t="inlineStr">
        <is>
          <t>Schedule proposal</t>
        </is>
      </c>
      <c r="E8" s="13" t="inlineStr">
        <is>
          <t>이권욱</t>
        </is>
      </c>
      <c r="F8" s="13" t="inlineStr">
        <is>
          <t>D20/D24 keep or move to business day</t>
        </is>
      </c>
      <c r="G8" s="13" t="inlineStr">
        <is>
          <t>Calendar decision</t>
        </is>
      </c>
      <c r="H8" s="13" t="inlineStr">
        <is>
          <t>Approved calendar</t>
        </is>
      </c>
    </row>
    <row r="9" ht="42" customHeight="1">
      <c r="A9" s="13" t="inlineStr">
        <is>
          <t>RA-06</t>
        </is>
      </c>
      <c r="B9" s="13" t="inlineStr">
        <is>
          <t>JH absent 09-14–17; handoff due 09-11</t>
        </is>
      </c>
      <c r="C9" s="13" t="inlineStr">
        <is>
          <t>P1-DB/G1/APP/MON 및 HA/DR/E2E ownership conflict</t>
        </is>
      </c>
      <c r="D9" s="13" t="inlineStr">
        <is>
          <t>Open / critical dependency</t>
        </is>
      </c>
      <c r="E9" s="13" t="inlineStr">
        <is>
          <t>이권욱</t>
        </is>
      </c>
      <c r="F9" s="13" t="inlineStr">
        <is>
          <t>09-04 owner-specific 일정 재기준선 반영; 지원 이권욱·이하영. 09/14–17 실행·리뷰 커버리지 유지.</t>
        </is>
      </c>
      <c r="G9" s="13" t="inlineStr">
        <is>
          <t>No further decision for 09-04; later absence coverage remains active</t>
        </is>
      </c>
      <c r="H9" s="13" t="inlineStr">
        <is>
          <t>D36; Team Calendar; updated WBS</t>
        </is>
      </c>
    </row>
    <row r="10" ht="42" customHeight="1">
      <c r="A10" s="13" t="inlineStr">
        <is>
          <t>RA-07</t>
        </is>
      </c>
      <c r="B10" s="13" t="inlineStr">
        <is>
          <t>HEP/GNP lockout</t>
        </is>
      </c>
      <c r="C10" s="13" t="inlineStr">
        <is>
          <t>SSH/API/CNI outage</t>
        </is>
      </c>
      <c r="D10" s="13" t="inlineStr">
        <is>
          <t>Open</t>
        </is>
      </c>
      <c r="E10" s="13" t="inlineStr">
        <is>
          <t>이하영</t>
        </is>
      </c>
      <c r="F10" s="13" t="inlineStr">
        <is>
          <t>Bootstrap allow → canary Worker → Worker → CP; rollback</t>
        </is>
      </c>
      <c r="G10" s="13" t="inlineStr">
        <is>
          <t>Canary gate</t>
        </is>
      </c>
      <c r="H10" s="13" t="inlineStr">
        <is>
          <t>Connectivity regression</t>
        </is>
      </c>
    </row>
    <row r="11" ht="42" customHeight="1">
      <c r="A11" s="13" t="inlineStr">
        <is>
          <t>RA-08</t>
        </is>
      </c>
      <c r="B11" s="13" t="inlineStr">
        <is>
          <t>externalTrafficPolicy Local without local endpoint</t>
        </is>
      </c>
      <c r="C11" s="13" t="inlineStr">
        <is>
          <t>Traffic dropped on selected Worker</t>
        </is>
      </c>
      <c r="D11" s="13" t="inlineStr">
        <is>
          <t>Open</t>
        </is>
      </c>
      <c r="E11" s="13" t="inlineStr">
        <is>
          <t>이권욱</t>
        </is>
      </c>
      <c r="F11" s="13" t="inlineStr">
        <is>
          <t>Replica topology + LB health excludes node</t>
        </is>
      </c>
      <c r="G11" s="13" t="inlineStr">
        <is>
          <t>Backend health policy</t>
        </is>
      </c>
      <c r="H11" s="13" t="inlineStr">
        <is>
          <t>Node-local endpoint test</t>
        </is>
      </c>
    </row>
    <row r="12" ht="42" customHeight="1">
      <c r="A12" s="13" t="inlineStr">
        <is>
          <t>RA-09</t>
        </is>
      </c>
      <c r="B12" s="13" t="inlineStr">
        <is>
          <t>Trivy severity threshold not explicit in canonical</t>
        </is>
      </c>
      <c r="C12" s="13" t="inlineStr">
        <is>
          <t>Pipeline gate ambiguity</t>
        </is>
      </c>
      <c r="D12" s="13" t="inlineStr">
        <is>
          <t>Open</t>
        </is>
      </c>
      <c r="E12" s="13" t="inlineStr">
        <is>
          <t>이하영</t>
        </is>
      </c>
      <c r="F12" s="13" t="inlineStr">
        <is>
          <t>Approve HIGH/CRITICAL fail threshold in P1-CICD-01</t>
        </is>
      </c>
      <c r="G12" s="13" t="inlineStr">
        <is>
          <t>Threshold approval</t>
        </is>
      </c>
      <c r="H12" s="13" t="inlineStr">
        <is>
          <t>Negative scan gate</t>
        </is>
      </c>
    </row>
    <row r="13" ht="42" customHeight="1">
      <c r="A13" s="13" t="inlineStr">
        <is>
          <t>RA-10</t>
        </is>
      </c>
      <c r="B13" s="13" t="inlineStr">
        <is>
          <t>Kubernetes minor / PSA version TBD</t>
        </is>
      </c>
      <c r="C13" s="13" t="inlineStr">
        <is>
          <t>Unexpected admission change on upgrade</t>
        </is>
      </c>
      <c r="D13" s="13" t="inlineStr">
        <is>
          <t>Open</t>
        </is>
      </c>
      <c r="E13" s="13" t="inlineStr">
        <is>
          <t>이하영</t>
        </is>
      </c>
      <c r="F13" s="13" t="inlineStr">
        <is>
          <t>Read cluster minor in P1-K8S then pin PSA version</t>
        </is>
      </c>
      <c r="G13" s="13" t="inlineStr">
        <is>
          <t>Version value</t>
        </is>
      </c>
      <c r="H13" s="13" t="inlineStr">
        <is>
          <t>kubectl version evidence</t>
        </is>
      </c>
    </row>
    <row r="14" ht="36" customHeight="1">
      <c r="A14" s="67" t="inlineStr">
        <is>
          <t>RA-11</t>
        </is>
      </c>
      <c r="B14" s="67" t="inlineStr">
        <is>
          <t>HY leave 09-08 / 09-10; review capacity constraint</t>
        </is>
      </c>
      <c r="C14" s="67" t="inlineStr">
        <is>
          <t>P1-K8S/P1-HBR/P1-SEC Lead gap; review/support capacity reduced</t>
        </is>
      </c>
      <c r="D14" s="67" t="inlineStr">
        <is>
          <t>Mitigated / Watch</t>
        </is>
      </c>
      <c r="E14" s="67" t="inlineStr">
        <is>
          <t>이권욱</t>
        </is>
      </c>
      <c r="F14" s="67" t="inlineStr">
        <is>
          <t>No solo closure; GU coverage; rebaseline only by separate approval</t>
        </is>
      </c>
      <c r="G14" s="67" t="inlineStr">
        <is>
          <t>Reassess actual delay after return</t>
        </is>
      </c>
      <c r="H14" s="67" t="inlineStr">
        <is>
          <t>Team Calendar; updated WBS/Gantt</t>
        </is>
      </c>
    </row>
  </sheetData>
  <mergeCells count="1">
    <mergeCell ref="A1:H1"/>
  </mergeCells>
  <conditionalFormatting sqref="D4:D13">
    <cfRule type="containsText" priority="1" operator="containsText" dxfId="2" text="Open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30" customWidth="1" min="4" max="4"/>
    <col width="58" customWidth="1" min="5" max="5"/>
    <col width="24" customWidth="1" min="7" max="7"/>
    <col width="52" customWidth="1" min="8" max="8"/>
    <col width="24" customWidth="1" min="10" max="10"/>
  </cols>
  <sheetData>
    <row r="1" ht="34" customHeight="1">
      <c r="A1" s="79" t="inlineStr">
        <is>
          <t>FDS v3.1.20 · Sources &amp; Change Log (CANDIDATE)</t>
        </is>
      </c>
    </row>
    <row r="2">
      <c r="J2" s="177" t="n">
        <v>46289</v>
      </c>
    </row>
    <row r="3">
      <c r="A3" s="9" t="inlineStr">
        <is>
          <t>Type</t>
        </is>
      </c>
      <c r="B3" s="9" t="inlineStr">
        <is>
          <t>Source / Change</t>
        </is>
      </c>
      <c r="C3" s="9" t="inlineStr">
        <is>
          <t>Version / Date</t>
        </is>
      </c>
      <c r="D3" s="9" t="inlineStr">
        <is>
          <t>Use</t>
        </is>
      </c>
      <c r="E3" s="9" t="inlineStr">
        <is>
          <t>Notes</t>
        </is>
      </c>
      <c r="G3" s="9" t="inlineStr">
        <is>
          <t>Canonical change</t>
        </is>
      </c>
      <c r="H3" s="9" t="inlineStr">
        <is>
          <t>Applied result</t>
        </is>
      </c>
      <c r="J3" s="177" t="n">
        <v>46290</v>
      </c>
    </row>
    <row r="4">
      <c r="A4" s="13" t="inlineStr">
        <is>
          <t>Canonical baseline</t>
        </is>
      </c>
      <c r="B4" s="13" t="inlineStr">
        <is>
          <t>FDS_Project_Implementation_Baseline_v3.1.19.md</t>
        </is>
      </c>
      <c r="C4" s="13" t="inlineStr">
        <is>
          <t>v3.1.19 RELEASED</t>
        </is>
      </c>
      <c r="D4" s="13" t="inlineStr">
        <is>
          <t>2026-09-17</t>
        </is>
      </c>
      <c r="E4" s="13" t="inlineStr">
        <is>
          <t>Approved content; finalization metadata subject to review/merge</t>
        </is>
      </c>
      <c r="G4" s="13" t="inlineStr">
        <is>
          <t>D36 / Team availability</t>
        </is>
      </c>
      <c r="H4" s="13" t="inlineStr">
        <is>
          <t>JH LEE 09-04 personal leave approved; owner-specific calendar added</t>
        </is>
      </c>
      <c r="J4" s="177" t="n">
        <v>46300</v>
      </c>
    </row>
    <row r="5">
      <c r="A5" s="13" t="inlineStr">
        <is>
          <t>Canonical ticket pack</t>
        </is>
      </c>
      <c r="B5" s="13" t="inlineStr">
        <is>
          <t>FDS_v3.1.19_Canonical_Ticket_Update_Pack_v1.0.md</t>
        </is>
      </c>
      <c r="C5" s="13" t="inlineStr">
        <is>
          <t>v3.1.19</t>
        </is>
      </c>
      <c r="D5" s="13" t="inlineStr">
        <is>
          <t>2026-09-17</t>
        </is>
      </c>
      <c r="E5" s="13" t="inlineStr">
        <is>
          <t>67 records; 58 planning + 9 historical closed</t>
        </is>
      </c>
      <c r="G5" s="13" t="inlineStr">
        <is>
          <t>P1-DNS-01</t>
        </is>
      </c>
      <c r="H5" s="13" t="inlineStr">
        <is>
          <t>Done; technical/Evidence/Support review closed 2026-09-03</t>
        </is>
      </c>
      <c r="J5" s="177" t="n">
        <v>46304</v>
      </c>
    </row>
    <row r="6">
      <c r="A6" s="13" t="inlineStr">
        <is>
          <t>Canonical</t>
        </is>
      </c>
      <c r="B6" s="13" t="inlineStr">
        <is>
          <t>D36_Team_Availability_and_Status_Update_Record_v1.0.md</t>
        </is>
      </c>
      <c r="C6" s="13" t="inlineStr">
        <is>
          <t>D36 / 2026-09-03</t>
        </is>
      </c>
      <c r="D6" s="13" t="inlineStr">
        <is>
          <t>Personal leave / status / linked dates</t>
        </is>
      </c>
      <c r="E6" s="13" t="inlineStr">
        <is>
          <t>User-approved change</t>
        </is>
      </c>
      <c r="G6" s="13" t="inlineStr">
        <is>
          <t>P1-K8S-01</t>
        </is>
      </c>
      <c r="H6" s="13" t="inlineStr">
        <is>
          <t>In Progress; started 2026-09-03 after LB Stage A handoff</t>
        </is>
      </c>
    </row>
    <row r="7">
      <c r="A7" s="13" t="inlineStr">
        <is>
          <t>Canonical</t>
        </is>
      </c>
      <c r="B7" s="13" t="inlineStr">
        <is>
          <t>D-SEC-01_Kubernetes_Security_Design_Baseline_v1.0.md</t>
        </is>
      </c>
      <c r="C7" s="13" t="inlineStr">
        <is>
          <t>v1.0 / APPROVED</t>
        </is>
      </c>
      <c r="D7" s="13" t="inlineStr">
        <is>
          <t>Security controls</t>
        </is>
      </c>
      <c r="E7" s="13" t="inlineStr">
        <is>
          <t>Design approved; runtime evidence separate</t>
        </is>
      </c>
      <c r="G7" s="13" t="inlineStr">
        <is>
          <t>P1-LB-01</t>
        </is>
      </c>
      <c r="H7" s="13" t="inlineStr">
        <is>
          <t>In Progress; Stage A technical/Evidence PASS, Stage B pending</t>
        </is>
      </c>
    </row>
    <row r="8">
      <c r="A8" s="13" t="inlineStr">
        <is>
          <t>Canonical</t>
        </is>
      </c>
      <c r="B8" s="13" t="inlineStr">
        <is>
          <t>ICR-D-NET-01-01_Kubernetes_Node_Host_Firewall_및_Monitoring_Route_변경요청_v1.4.md</t>
        </is>
      </c>
      <c r="C8" s="13" t="inlineStr">
        <is>
          <t>v1.4</t>
        </is>
      </c>
      <c r="D8" s="13" t="inlineStr">
        <is>
          <t>HEP/GNP / route change</t>
        </is>
      </c>
      <c r="E8" s="13" t="inlineStr">
        <is>
          <t>End date TBD</t>
        </is>
      </c>
      <c r="G8" s="13" t="inlineStr">
        <is>
          <t>Schedule rebaseline</t>
        </is>
      </c>
      <c r="H8" s="13" t="inlineStr">
        <is>
          <t>P1-DB/G1 → 09-07; APP → 09-10; MON starts 09-07; G2/G3/Close unchanged</t>
        </is>
      </c>
    </row>
    <row r="9">
      <c r="A9" s="13" t="inlineStr">
        <is>
          <t>Official</t>
        </is>
      </c>
      <c r="B9" s="13" t="inlineStr">
        <is>
          <t>Kubernetes NetworkPolicy</t>
        </is>
      </c>
      <c r="C9" s="13" t="inlineStr">
        <is>
          <t>current</t>
        </is>
      </c>
      <c r="D9" s="13" t="inlineStr">
        <is>
          <t>Layer 3/4 policy</t>
        </is>
      </c>
      <c r="E9" s="13" t="inlineStr">
        <is>
          <t>https://kubernetes.io/docs/concepts/services-networking/network-policies/</t>
        </is>
      </c>
      <c r="G9" s="13" t="inlineStr">
        <is>
          <t>P1-MON-01</t>
        </is>
      </c>
      <c r="H9" s="13" t="inlineStr">
        <is>
          <t>In Progress; IF-06B 5-minute heartbeat target</t>
        </is>
      </c>
    </row>
    <row r="10">
      <c r="A10" s="13" t="inlineStr">
        <is>
          <t>Official</t>
        </is>
      </c>
      <c r="B10" s="13" t="inlineStr">
        <is>
          <t>Kubernetes Secrets encryption at rest</t>
        </is>
      </c>
      <c r="C10" s="13" t="inlineStr">
        <is>
          <t>current</t>
        </is>
      </c>
      <c r="D10" s="13" t="inlineStr">
        <is>
          <t>EncryptionConfiguration</t>
        </is>
      </c>
      <c r="E10" s="13" t="inlineStr">
        <is>
          <t>https://kubernetes.io/docs/tasks/administer-cluster/encrypt-data/</t>
        </is>
      </c>
    </row>
    <row r="11">
      <c r="A11" s="13" t="inlineStr">
        <is>
          <t>Official</t>
        </is>
      </c>
      <c r="B11" s="13" t="inlineStr">
        <is>
          <t>Financial cloud usage guide</t>
        </is>
      </c>
      <c r="C11" s="13" t="inlineStr">
        <is>
          <t>2025 revision</t>
        </is>
      </c>
      <c r="D11" s="13" t="inlineStr">
        <is>
          <t>Trend discussion</t>
        </is>
      </c>
      <c r="E11" s="13" t="inlineStr">
        <is>
          <t>https://www.fsec.or.kr/bbs/detail?bbsNo=11691&amp;menuNo=222</t>
        </is>
      </c>
    </row>
    <row r="12" ht="42" customHeight="1">
      <c r="A12" s="67" t="inlineStr">
        <is>
          <t>Canonical</t>
        </is>
      </c>
      <c r="B12" s="67" t="inlineStr">
        <is>
          <t>D37_GitHub_Canonical_Baseline_Repository_and_v3.1.17_Release_Record_v1.0.md</t>
        </is>
      </c>
      <c r="C12" s="67" t="inlineStr">
        <is>
          <t>D37 / 2026-09-04</t>
        </is>
      </c>
      <c r="D12" s="67" t="inlineStr">
        <is>
          <t>Repository governance / integrity correction</t>
        </is>
      </c>
      <c r="E12" s="67" t="inlineStr">
        <is>
          <t>v3.1.17 RELEASED 2026-09-07; historical control retained</t>
        </is>
      </c>
    </row>
    <row r="13" ht="34" customHeight="1">
      <c r="A13" s="67" t="inlineStr">
        <is>
          <t>Canonical Candidate</t>
        </is>
      </c>
      <c r="B13" s="67" t="inlineStr">
        <is>
          <t>User instruction / Team Availability</t>
        </is>
      </c>
      <c r="C13" s="67" t="inlineStr">
        <is>
          <t>2026-09-08</t>
        </is>
      </c>
      <c r="D13" s="67" t="inlineStr">
        <is>
          <t>WBS/Gantt owner calendar update</t>
        </is>
      </c>
      <c r="E13" s="67" t="inlineStr">
        <is>
          <t>HY LEE interview leave; no automatic rebaseline</t>
        </is>
      </c>
      <c r="F13" s="67" t="n"/>
      <c r="G13" s="67" t="inlineStr">
        <is>
          <t>WBS/Gantt distribution</t>
        </is>
      </c>
      <c r="H13" s="67" t="inlineStr">
        <is>
          <t>Mandatory in every canonical ZIP and as an independent Release Asset</t>
        </is>
      </c>
      <c r="I13" s="67" t="n"/>
      <c r="J13" s="67" t="n"/>
    </row>
    <row r="14" ht="42" customHeight="1">
      <c r="A14" s="67" t="inlineStr">
        <is>
          <t>Canonical Candidate</t>
        </is>
      </c>
      <c r="B14" s="67" t="inlineStr">
        <is>
          <t>CR-P1-ANS-01-01 / infra-ansible PR #1</t>
        </is>
      </c>
      <c r="C14" s="67" t="inlineStr">
        <is>
          <t>2026-09-07</t>
        </is>
      </c>
      <c r="D14" s="67" t="inlineStr">
        <is>
          <t>완료 CR 정본 동기화</t>
        </is>
      </c>
      <c r="E14" s="67" t="inlineStr">
        <is>
          <t>Acceptance Criteria 11/11 PASS; Support Review 및 수동 병합 완료</t>
        </is>
      </c>
      <c r="F14" s="67" t="inlineStr">
        <is>
          <t>507d8882a04f53640b07251bcc234b7d6ee81c09</t>
        </is>
      </c>
      <c r="G14" s="67" t="inlineStr">
        <is>
          <t>Merge Commit</t>
        </is>
      </c>
      <c r="H14" s="67" t="inlineStr">
        <is>
          <t>4f9bdb7c08704eebb3d1b294751e51b0721b6af4</t>
        </is>
      </c>
      <c r="I14" s="67" t="inlineStr">
        <is>
          <t>CI</t>
        </is>
      </c>
      <c r="J14" s="67" t="inlineStr">
        <is>
          <t>NOT RUN</t>
        </is>
      </c>
    </row>
    <row r="15" ht="58" customHeight="1">
      <c r="A15" s="83" t="inlineStr">
        <is>
          <t>Issue snapshot</t>
        </is>
      </c>
      <c r="B15" s="83" t="inlineStr">
        <is>
          <t>tickets/v3.1.19/sources/</t>
        </is>
      </c>
      <c r="C15" s="83" t="inlineStr">
        <is>
          <t>2026-09-17</t>
        </is>
      </c>
      <c r="D15" s="83" t="inlineStr">
        <is>
          <t>Read-only capture</t>
        </is>
      </c>
      <c r="E15" s="83" t="inlineStr">
        <is>
          <t>Owner reports distinguished from independent evidence</t>
        </is>
      </c>
    </row>
    <row r="16" ht="58" customHeight="1">
      <c r="A16" s="83" t="inlineStr">
        <is>
          <t>CR merge</t>
        </is>
      </c>
      <c r="B16" s="83" t="inlineStr">
        <is>
          <t>https://github.com/321Team/infra-ansible/pull/1</t>
        </is>
      </c>
      <c r="C16" s="83" t="inlineStr">
        <is>
          <t>4f9bdb7c08704eebb3d1b294751e51b0721b6af4</t>
        </is>
      </c>
      <c r="D16" s="83" t="inlineStr">
        <is>
          <t>Done 2026-09-07</t>
        </is>
      </c>
      <c r="E16" s="83" t="inlineStr">
        <is>
          <t>DNS resolver CR; not Bootstrap approval</t>
        </is>
      </c>
    </row>
    <row r="17" ht="58" customHeight="1">
      <c r="A17" s="83" t="inlineStr">
        <is>
          <t>Follow-up merge</t>
        </is>
      </c>
      <c r="B17" s="83" t="inlineStr">
        <is>
          <t>https://github.com/321Team/infra-ansible/pull/3</t>
        </is>
      </c>
      <c r="C17" s="83" t="inlineStr">
        <is>
          <t>5cbf3b657014b32a20cb5816d90d3ea5fe4951ab</t>
        </is>
      </c>
      <c r="D17" s="83" t="inlineStr">
        <is>
          <t>Merged</t>
        </is>
      </c>
      <c r="E17" s="83" t="inlineStr">
        <is>
          <t>Gate 0 code; runtime separate</t>
        </is>
      </c>
    </row>
    <row r="18" ht="58" customHeight="1">
      <c r="A18" s="83" t="inlineStr">
        <is>
          <t>Follow-up merge</t>
        </is>
      </c>
      <c r="B18" s="83" t="inlineStr">
        <is>
          <t>https://github.com/321Team/infra-ansible/pull/4</t>
        </is>
      </c>
      <c r="C18" s="83" t="inlineStr">
        <is>
          <t>3a02dc8934adb1f80df48ec6763689c401a1e8d6</t>
        </is>
      </c>
      <c r="D18" s="83" t="inlineStr">
        <is>
          <t>Merged</t>
        </is>
      </c>
      <c r="E18" s="83" t="inlineStr">
        <is>
          <t>SSH count guard + issue #10 operational closure</t>
        </is>
      </c>
    </row>
    <row r="19" ht="58" customHeight="1">
      <c r="A19" s="83" t="inlineStr">
        <is>
          <t>Evidence merge</t>
        </is>
      </c>
      <c r="B19" s="83" t="inlineStr">
        <is>
          <t>https://github.com/321Team/fds-project-evidence/pull/2</t>
        </is>
      </c>
      <c r="C19" s="83" t="inlineStr">
        <is>
          <t>36a65c64763077eabe680b81827b1c4dc6ad3fc5</t>
        </is>
      </c>
      <c r="D19" s="83" t="inlineStr">
        <is>
          <t>Merged</t>
        </is>
      </c>
      <c r="E19" s="83" t="inlineStr">
        <is>
          <t>DB evidence merge; deployed app verification incomplete</t>
        </is>
      </c>
    </row>
    <row r="20" ht="58" customHeight="1">
      <c r="A20" s="83" t="inlineStr">
        <is>
          <t>Working days</t>
        </is>
      </c>
      <c r="B20" s="83" t="inlineStr">
        <is>
          <t>Team Calendar!A5:F12</t>
        </is>
      </c>
      <c r="C20" s="83" t="inlineStr">
        <is>
          <t>2026-09-10</t>
        </is>
      </c>
      <c r="D20" s="83" t="inlineStr">
        <is>
          <t>Corrected range</t>
        </is>
      </c>
      <c r="E20" s="83" t="inlineStr">
        <is>
          <t>HY 09-08/09-10. Old SEC window 4 days; proposed 09-21 window 10 days.</t>
        </is>
      </c>
    </row>
    <row r="21" ht="58" customHeight="1">
      <c r="A21" s="83" t="inlineStr">
        <is>
          <t>Candidate delta</t>
        </is>
      </c>
      <c r="B21" s="83" t="inlineStr">
        <is>
          <t>audit/v3.1.19/integration/property-delta.json</t>
        </is>
      </c>
      <c r="C21" s="83" t="inlineStr">
        <is>
          <t>v3.1.19</t>
        </is>
      </c>
      <c r="D21" s="83" t="inlineStr">
        <is>
          <t>No Issue write</t>
        </is>
      </c>
      <c r="E21" s="83" t="inlineStr">
        <is>
          <t>Description refresh must precede fresh metadata map / plan</t>
        </is>
      </c>
    </row>
    <row r="22" ht="58" customHeight="1">
      <c r="A22" s="83" t="inlineStr">
        <is>
          <t>Planning count</t>
        </is>
      </c>
      <c r="B22" s="83" t="inlineStr">
        <is>
          <t>WBS!A4:A61</t>
        </is>
      </c>
      <c r="C22" s="83" t="n">
        <v>58</v>
      </c>
      <c r="D22" s="83" t="inlineStr">
        <is>
          <t>기존55 + CR2 + Decision1</t>
        </is>
      </c>
      <c r="E22" s="83" t="inlineStr">
        <is>
          <t>Historic closed 9 retained in Ticket Pack, excluded from backlog</t>
        </is>
      </c>
    </row>
    <row r="23" ht="58" customHeight="1">
      <c r="A23" s="67" t="inlineStr">
        <is>
          <t>Calendar addition</t>
        </is>
      </c>
      <c r="B23" s="67" t="inlineStr">
        <is>
          <t>사용자 지시: 이하영 2026-09-10 면접 휴가</t>
        </is>
      </c>
      <c r="C23" s="67" t="inlineStr">
        <is>
          <t>2026-09-10</t>
        </is>
      </c>
      <c r="D23" s="67" t="inlineStr">
        <is>
          <t>Personal absence</t>
        </is>
      </c>
      <c r="E23" s="67" t="inlineStr">
        <is>
          <t>09-08 유지, P1-SEC 5→4, ICR End TBD</t>
        </is>
      </c>
    </row>
    <row r="24" ht="58" customHeight="1">
      <c r="A24" s="67" t="inlineStr">
        <is>
          <t>ICR follow-up</t>
        </is>
      </c>
      <c r="B24" s="67" t="inlineStr">
        <is>
          <t>https://github.com/321Team/infra-kubernetes/pull/3</t>
        </is>
      </c>
      <c r="C24" s="67" t="inlineStr">
        <is>
          <t>7d44afc3afff4d322cb4dbeff4433d61e23e111a</t>
        </is>
      </c>
      <c r="D24" s="67" t="inlineStr">
        <is>
          <t>Merged; supplement PASS</t>
        </is>
      </c>
      <c r="E24" s="67" t="inlineStr">
        <is>
          <t>24/24 queries; time, kubelet cause and Cockpit mask verified. Runtime pending.</t>
        </is>
      </c>
    </row>
    <row r="25" ht="58" customHeight="1">
      <c r="A25" s="67" t="inlineStr">
        <is>
          <t>Runtime plans</t>
        </is>
      </c>
      <c r="B25" s="67" t="inlineStr">
        <is>
          <t>https://github.com/321Team/infra-kubernetes/pull/4</t>
        </is>
      </c>
      <c r="C25" s="67" t="inlineStr">
        <is>
          <t>PR #2 097ddb5 / #4 75d476e</t>
        </is>
      </c>
      <c r="D25" s="67" t="inlineStr">
        <is>
          <t>New HEAD review pending</t>
        </is>
      </c>
      <c r="E25" s="67" t="inlineStr">
        <is>
          <t>PR #2: onsite mock 37/37, inspect 115. PR #4: local mock 74. Runtime not verified.</t>
        </is>
      </c>
    </row>
    <row r="26" ht="58" customHeight="1">
      <c r="A26" s="67" t="inlineStr">
        <is>
          <t>K8S intake</t>
        </is>
      </c>
      <c r="B26" s="67" t="inlineStr">
        <is>
          <t>audit/v3.1.18/k8s-intake-20260910.json</t>
        </is>
      </c>
      <c r="C26" s="67" t="inlineStr">
        <is>
          <t>2026-09-10</t>
        </is>
      </c>
      <c r="D26" s="67" t="inlineStr">
        <is>
          <t>Issues #10 / #14 / #19</t>
        </is>
      </c>
      <c r="E26" s="67" t="inlineStr">
        <is>
          <t>Original snapshots preserved; NTP, CP2 resume, final host protection and storage pending.</t>
        </is>
      </c>
    </row>
    <row r="27" ht="52" customHeight="1">
      <c r="A27" s="67" t="inlineStr">
        <is>
          <t>Schedule proposal</t>
        </is>
      </c>
      <c r="B27" s="67" t="inlineStr">
        <is>
          <t>audit/v3.1.18/fast-track-plan.json</t>
        </is>
      </c>
      <c r="C27" s="67" t="inlineStr">
        <is>
          <t>2026-09-10</t>
        </is>
      </c>
      <c r="D27" s="67" t="inlineStr">
        <is>
          <t>User request</t>
        </is>
      </c>
      <c r="E27" s="67" t="inlineStr">
        <is>
          <t>Fast Tracking recommendation; actual remaining effort unmeasured</t>
        </is>
      </c>
    </row>
    <row r="28" ht="52" customHeight="1">
      <c r="A28" s="67" t="inlineStr">
        <is>
          <t>Calendar constraint</t>
        </is>
      </c>
      <c r="B28" s="67" t="inlineStr">
        <is>
          <t>주말 교육장 이용 불가 / 주말반 유입</t>
        </is>
      </c>
      <c r="C28" s="67" t="inlineStr">
        <is>
          <t>2026-09-10</t>
        </is>
      </c>
      <c r="D28" s="67" t="inlineStr">
        <is>
          <t>User input</t>
        </is>
      </c>
      <c r="E28" s="67" t="inlineStr">
        <is>
          <t>No weekend/absence/after-hours capacity assumed</t>
        </is>
      </c>
    </row>
    <row r="29" ht="52" customHeight="1">
      <c r="A29" s="67" t="inlineStr">
        <is>
          <t>Resource plan</t>
        </is>
      </c>
      <c r="B29" s="67" t="inlineStr">
        <is>
          <t>Fast Track Plan</t>
        </is>
      </c>
      <c r="C29" s="67" t="inlineStr">
        <is>
          <t>23 person-days</t>
        </is>
      </c>
      <c r="D29" s="67" t="inlineStr">
        <is>
          <t>AM / PM</t>
        </is>
      </c>
      <c r="E29" s="67" t="inlineStr">
        <is>
          <t>21.5 planned + 1.5 buffer; no person double-booked</t>
        </is>
      </c>
    </row>
    <row r="30" ht="46" customHeight="1">
      <c r="A30" s="146" t="inlineStr">
        <is>
          <t>Review calendar</t>
        </is>
      </c>
      <c r="B30" s="146" t="inlineStr">
        <is>
          <t>DEC-CAL-P1-01 / DEC-CAL-P2-01</t>
        </is>
      </c>
      <c r="C30" s="146" t="inlineStr">
        <is>
          <t>P1 decision Done</t>
        </is>
      </c>
      <c r="D30" s="146" t="inlineStr">
        <is>
          <t>P2 recommendation</t>
        </is>
      </c>
      <c r="E30" s="146" t="inlineStr">
        <is>
          <t>P1 09-22 PM decision approved; actual review separate. P2 10-23 PM proposed.</t>
        </is>
      </c>
    </row>
    <row r="31" ht="46" customHeight="1">
      <c r="A31" s="146" t="inlineStr">
        <is>
          <t>v19 approved inputs</t>
        </is>
      </c>
      <c r="B31" s="146" t="inlineStr">
        <is>
          <t>PR72 dates / milestone mapping</t>
        </is>
      </c>
      <c r="C31" s="146" t="inlineStr">
        <is>
          <t>2026-09-11</t>
        </is>
      </c>
      <c r="D31" s="146" t="inlineStr">
        <is>
          <t>PR72: 64/64 mapped; current snapshot: 67/67</t>
        </is>
      </c>
      <c r="E31" s="146" t="inlineStr">
        <is>
          <t>Plan dates flexible; runtime separate</t>
        </is>
      </c>
    </row>
    <row r="32" ht="46" customHeight="1">
      <c r="A32" s="146" t="inlineStr">
        <is>
          <t>v19 snapshot</t>
        </is>
      </c>
      <c r="B32" s="146" t="inlineStr">
        <is>
          <t>https://github.com/321Team/fds-project-baseline/pull/73</t>
        </is>
      </c>
      <c r="C32" s="146" t="inlineStr">
        <is>
          <t>2026-09-17</t>
        </is>
      </c>
      <c r="D32" s="146" t="inlineStr">
        <is>
          <t>Issue sources / PR states</t>
        </is>
      </c>
      <c r="E32" s="146" t="inlineStr">
        <is>
          <t>Comment/review sources captured in package</t>
        </is>
      </c>
    </row>
    <row r="33" ht="46" customHeight="1">
      <c r="A33" s="146" t="inlineStr">
        <is>
          <t>v19 release</t>
        </is>
      </c>
      <c r="B33" s="146" t="inlineStr">
        <is>
          <t>docs-v3.1.19; see CURRENT.md / Release API</t>
        </is>
      </c>
      <c r="C33" s="146" t="inlineStr">
        <is>
          <t>2026-09-17</t>
        </is>
      </c>
      <c r="D33" s="146" t="inlineStr">
        <is>
          <t>Content approved</t>
        </is>
      </c>
      <c r="E33" s="146" t="inlineStr">
        <is>
          <t>PR73 approved/merged. Publication requires finalization approval, Tag and matching Assets. Source notes retain snapshot-time wording.</t>
        </is>
      </c>
    </row>
    <row r="34">
      <c r="A34" t="inlineStr">
        <is>
          <t>Canonical Candidate</t>
        </is>
      </c>
      <c r="B34" t="inlineStr">
        <is>
          <t>v3.1.20 Phase 2 재계획 (Lead 결정, 2026-09-22)</t>
        </is>
      </c>
      <c r="C34" t="inlineStr">
        <is>
          <t>v3.1.20 CANDIDATE</t>
        </is>
      </c>
      <c r="D34" t="inlineStr">
        <is>
          <t>Phase 2 일정 재계획</t>
        </is>
      </c>
      <c r="E34" t="inlineStr">
        <is>
          <t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t>
        </is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3" customWidth="1" min="4" max="4"/>
    <col width="23" customWidth="1" min="5" max="5"/>
    <col width="17" customWidth="1" min="6" max="6"/>
    <col width="17" customWidth="1" min="7" max="7"/>
    <col width="38" customWidth="1" min="8" max="8"/>
    <col width="25" customWidth="1" min="9" max="9"/>
    <col width="13" customWidth="1" min="10" max="10"/>
  </cols>
  <sheetData>
    <row r="1" ht="28" customHeight="1">
      <c r="A1" s="79" t="inlineStr">
        <is>
          <t>FDS v3.1.20 · Team Availability Calendar (CANDIDATE)</t>
        </is>
      </c>
    </row>
    <row r="2">
      <c r="A2" s="33" t="inlineStr">
        <is>
          <t>Personal absences are owner-specific. Global non-working dates remain controlled in Sources &amp; Change Log.</t>
        </is>
      </c>
    </row>
    <row r="4">
      <c r="A4" s="39" t="inlineStr">
        <is>
          <t>Person</t>
        </is>
      </c>
      <c r="B4" s="39" t="inlineStr">
        <is>
          <t>Gantt Label</t>
        </is>
      </c>
      <c r="C4" s="39" t="inlineStr">
        <is>
          <t>Date</t>
        </is>
      </c>
      <c r="D4" s="39" t="inlineStr">
        <is>
          <t>Absence Type</t>
        </is>
      </c>
      <c r="E4" s="39" t="inlineStr">
        <is>
          <t>Reason</t>
        </is>
      </c>
      <c r="F4" s="39" t="inlineStr">
        <is>
          <t>Scope</t>
        </is>
      </c>
      <c r="G4" s="39" t="inlineStr">
        <is>
          <t>Availability</t>
        </is>
      </c>
      <c r="H4" s="39" t="inlineStr">
        <is>
          <t>Affected Ticket(s)</t>
        </is>
      </c>
      <c r="I4" s="39" t="inlineStr">
        <is>
          <t>Coverage</t>
        </is>
      </c>
      <c r="J4" s="39" t="inlineStr">
        <is>
          <t>Status</t>
        </is>
      </c>
    </row>
    <row r="5">
      <c r="A5" s="44" t="inlineStr">
        <is>
          <t>이하영</t>
        </is>
      </c>
      <c r="B5" s="44" t="inlineStr">
        <is>
          <t>HY LEE</t>
        </is>
      </c>
      <c r="C5" s="178" t="n">
        <v>46262</v>
      </c>
      <c r="D5" s="44" t="inlineStr">
        <is>
          <t>시험 휴가 (Exam Leave)</t>
        </is>
      </c>
      <c r="E5" s="44" t="inlineStr">
        <is>
          <t>시험 (Exam)</t>
        </is>
      </c>
      <c r="F5" s="44" t="inlineStr">
        <is>
          <t>Personal absence</t>
        </is>
      </c>
      <c r="G5" s="44" t="inlineStr">
        <is>
          <t>Unavailable</t>
        </is>
      </c>
      <c r="H5" s="44" t="inlineStr">
        <is>
          <t>P1-HBR-01</t>
        </is>
      </c>
      <c r="I5" s="44" t="inlineStr">
        <is>
          <t>이권욱 (GU LEE)</t>
        </is>
      </c>
      <c r="J5" s="44" t="inlineStr">
        <is>
          <t>Recorded</t>
        </is>
      </c>
    </row>
    <row r="6">
      <c r="A6" s="45" t="inlineStr">
        <is>
          <t>이재환</t>
        </is>
      </c>
      <c r="B6" s="45" t="inlineStr">
        <is>
          <t>JH LEE</t>
        </is>
      </c>
      <c r="C6" s="179" t="n">
        <v>46269</v>
      </c>
      <c r="D6" s="45" t="inlineStr">
        <is>
          <t>개인 휴가 (Personal Leave)</t>
        </is>
      </c>
      <c r="E6" s="45" t="inlineStr">
        <is>
          <t>개인 사정 (Personal)</t>
        </is>
      </c>
      <c r="F6" s="45" t="inlineStr">
        <is>
          <t>Personal absence</t>
        </is>
      </c>
      <c r="G6" s="45" t="inlineStr">
        <is>
          <t>Unavailable</t>
        </is>
      </c>
      <c r="H6" s="45" t="inlineStr">
        <is>
          <t>P1-DB-01; P1-APP-01; P1-MON-01; MS-G1-01</t>
        </is>
      </c>
      <c r="I6" s="45" t="inlineStr">
        <is>
          <t>이권욱·이하영 (GU/HY LEE)</t>
        </is>
      </c>
      <c r="J6" s="45" t="inlineStr">
        <is>
          <t>Approved</t>
        </is>
      </c>
    </row>
    <row r="7">
      <c r="A7" s="44" t="inlineStr">
        <is>
          <t>이재환</t>
        </is>
      </c>
      <c r="B7" s="44" t="inlineStr">
        <is>
          <t>JH LEE</t>
        </is>
      </c>
      <c r="C7" s="178" t="n">
        <v>46279</v>
      </c>
      <c r="D7" s="44" t="inlineStr">
        <is>
          <t>예비군 (Reserve Duty)</t>
        </is>
      </c>
      <c r="E7" s="44" t="inlineStr">
        <is>
          <t>예비군 (Reserve Duty)</t>
        </is>
      </c>
      <c r="F7" s="44" t="inlineStr">
        <is>
          <t>Personal absence</t>
        </is>
      </c>
      <c r="G7" s="44" t="inlineStr">
        <is>
          <t>Unavailable</t>
        </is>
      </c>
      <c r="H7" s="44" t="inlineStr">
        <is>
          <t>P1-E2E-01; P1-MON-02; P1-DR-02; P1-HA-02</t>
        </is>
      </c>
      <c r="I7" s="44" t="inlineStr">
        <is>
          <t>이권욱·이하영 (GU/HY LEE)</t>
        </is>
      </c>
      <c r="J7" s="44" t="inlineStr">
        <is>
          <t>Recorded</t>
        </is>
      </c>
    </row>
    <row r="8">
      <c r="A8" s="44" t="inlineStr">
        <is>
          <t>이재환</t>
        </is>
      </c>
      <c r="B8" s="44" t="inlineStr">
        <is>
          <t>JH LEE</t>
        </is>
      </c>
      <c r="C8" s="178" t="n">
        <v>46280</v>
      </c>
      <c r="D8" s="44" t="inlineStr">
        <is>
          <t>예비군 (Reserve Duty)</t>
        </is>
      </c>
      <c r="E8" s="44" t="inlineStr">
        <is>
          <t>예비군 (Reserve Duty)</t>
        </is>
      </c>
      <c r="F8" s="44" t="inlineStr">
        <is>
          <t>Personal absence</t>
        </is>
      </c>
      <c r="G8" s="44" t="inlineStr">
        <is>
          <t>Unavailable</t>
        </is>
      </c>
      <c r="H8" s="44" t="inlineStr">
        <is>
          <t>P1-E2E-01; P1-MON-02; P1-DR-02; P1-HA-02</t>
        </is>
      </c>
      <c r="I8" s="44" t="inlineStr">
        <is>
          <t>이권욱·이하영 (GU/HY LEE)</t>
        </is>
      </c>
      <c r="J8" s="44" t="inlineStr">
        <is>
          <t>Recorded</t>
        </is>
      </c>
    </row>
    <row r="9">
      <c r="A9" s="44" t="inlineStr">
        <is>
          <t>이재환</t>
        </is>
      </c>
      <c r="B9" s="44" t="inlineStr">
        <is>
          <t>JH LEE</t>
        </is>
      </c>
      <c r="C9" s="178" t="n">
        <v>46281</v>
      </c>
      <c r="D9" s="44" t="inlineStr">
        <is>
          <t>예비군 (Reserve Duty)</t>
        </is>
      </c>
      <c r="E9" s="44" t="inlineStr">
        <is>
          <t>예비군 (Reserve Duty)</t>
        </is>
      </c>
      <c r="F9" s="44" t="inlineStr">
        <is>
          <t>Personal absence</t>
        </is>
      </c>
      <c r="G9" s="44" t="inlineStr">
        <is>
          <t>Unavailable</t>
        </is>
      </c>
      <c r="H9" s="44" t="inlineStr">
        <is>
          <t>P1-E2E-01; P1-MON-02; P1-DR-02; P1-HA-02</t>
        </is>
      </c>
      <c r="I9" s="44" t="inlineStr">
        <is>
          <t>이권욱·이하영 (GU/HY LEE)</t>
        </is>
      </c>
      <c r="J9" s="44" t="inlineStr">
        <is>
          <t>Recorded</t>
        </is>
      </c>
    </row>
    <row r="10">
      <c r="A10" s="44" t="inlineStr">
        <is>
          <t>이재환</t>
        </is>
      </c>
      <c r="B10" s="44" t="inlineStr">
        <is>
          <t>JH LEE</t>
        </is>
      </c>
      <c r="C10" s="178" t="n">
        <v>46282</v>
      </c>
      <c r="D10" s="44" t="inlineStr">
        <is>
          <t>예비군 (Reserve Duty)</t>
        </is>
      </c>
      <c r="E10" s="44" t="inlineStr">
        <is>
          <t>예비군 (Reserve Duty)</t>
        </is>
      </c>
      <c r="F10" s="44" t="inlineStr">
        <is>
          <t>Personal absence</t>
        </is>
      </c>
      <c r="G10" s="44" t="inlineStr">
        <is>
          <t>Unavailable</t>
        </is>
      </c>
      <c r="H10" s="44" t="inlineStr">
        <is>
          <t>P1-E2E-01; P1-MON-02; P1-DR-02; P1-HA-02</t>
        </is>
      </c>
      <c r="I10" s="44" t="inlineStr">
        <is>
          <t>이권욱·이하영 (GU/HY LEE)</t>
        </is>
      </c>
      <c r="J10" s="44" t="inlineStr">
        <is>
          <t>Recorded</t>
        </is>
      </c>
    </row>
    <row r="11" ht="34" customHeight="1">
      <c r="A11" s="71" t="inlineStr">
        <is>
          <t>이하영</t>
        </is>
      </c>
      <c r="B11" s="71" t="inlineStr">
        <is>
          <t>HY LEE</t>
        </is>
      </c>
      <c r="C11" s="180" t="n">
        <v>46273</v>
      </c>
      <c r="D11" s="71" t="inlineStr">
        <is>
          <t>면접 휴가 (Interview Leave)</t>
        </is>
      </c>
      <c r="E11" s="71" t="inlineStr">
        <is>
          <t>면접 (Interview)</t>
        </is>
      </c>
      <c r="F11" s="71" t="inlineStr">
        <is>
          <t>Personal absence</t>
        </is>
      </c>
      <c r="G11" s="71" t="inlineStr">
        <is>
          <t>Unavailable</t>
        </is>
      </c>
      <c r="H11" s="71" t="inlineStr">
        <is>
          <t>P1-K8S-01; P1-HBR-01; P1-SEC-01; ICR-D-NET-01-01; P1-APP-01; P1-CICD-01</t>
        </is>
      </c>
      <c r="I11" s="71" t="inlineStr">
        <is>
          <t>이권욱 (GU LEE)</t>
        </is>
      </c>
      <c r="J11" s="71" t="inlineStr">
        <is>
          <t>Approved</t>
        </is>
      </c>
    </row>
    <row r="12" ht="44" customHeight="1">
      <c r="A12" s="97" t="inlineStr">
        <is>
          <t>이하영</t>
        </is>
      </c>
      <c r="B12" s="97" t="inlineStr">
        <is>
          <t>HY LEE</t>
        </is>
      </c>
      <c r="C12" s="181" t="n">
        <v>46275</v>
      </c>
      <c r="D12" s="97" t="inlineStr">
        <is>
          <t>면접 휴가 (Interview Leave)</t>
        </is>
      </c>
      <c r="E12" s="97" t="inlineStr">
        <is>
          <t>면접 (Interview)</t>
        </is>
      </c>
      <c r="F12" s="97" t="inlineStr">
        <is>
          <t>Personal absence</t>
        </is>
      </c>
      <c r="G12" s="99" t="inlineStr">
        <is>
          <t>사용자 추가 지시 2026-09-10</t>
        </is>
      </c>
      <c r="H12" s="99" t="inlineStr">
        <is>
          <t>기존 09-08 부재 유지</t>
        </is>
      </c>
      <c r="I12" s="99" t="inlineStr">
        <is>
          <t>P1-SEC 5→4일 / ICR Support·리뷰 일정 영향</t>
        </is>
      </c>
      <c r="J12" s="99" t="inlineStr">
        <is>
          <t>계획일·담당 변경 없음</t>
        </is>
      </c>
    </row>
    <row r="13" ht="34" customHeight="1">
      <c r="A13" s="51" t="inlineStr">
        <is>
          <t>과거 변경 이력 — 현재 계획은 WBS</t>
        </is>
      </c>
      <c r="B13" s="51" t="inlineStr">
        <is>
          <t>Prior date</t>
        </is>
      </c>
      <c r="C13" s="51" t="inlineStr">
        <is>
          <t>Revised date</t>
        </is>
      </c>
      <c r="D13" s="51" t="inlineStr">
        <is>
          <t>Approved adjustment</t>
        </is>
      </c>
      <c r="E13" s="51" t="inlineStr">
        <is>
          <t>Coverage / control</t>
        </is>
      </c>
      <c r="F13" s="51" t="inlineStr">
        <is>
          <t>Gate impact</t>
        </is>
      </c>
    </row>
    <row r="14" ht="34" customHeight="1">
      <c r="A14" s="51" t="inlineStr">
        <is>
          <t>P1-DB-01</t>
        </is>
      </c>
      <c r="B14" s="51" t="inlineStr">
        <is>
          <t>End 2026-09-04</t>
        </is>
      </c>
      <c r="C14" s="51" t="inlineStr">
        <is>
          <t>End 2026-09-07</t>
        </is>
      </c>
      <c r="D14" s="51" t="inlineStr">
        <is>
          <t>Preserve six owner workdays</t>
        </is>
      </c>
      <c r="E14" s="51" t="inlineStr">
        <is>
          <t>Resume/complete after return</t>
        </is>
      </c>
      <c r="F14" s="51" t="inlineStr">
        <is>
          <t>G1 follows to 2026-09-07</t>
        </is>
      </c>
    </row>
    <row r="15" ht="34" customHeight="1">
      <c r="A15" s="51" t="inlineStr">
        <is>
          <t>P1-APP-01</t>
        </is>
      </c>
      <c r="B15" s="51" t="inlineStr">
        <is>
          <t>End 2026-09-09</t>
        </is>
      </c>
      <c r="C15" s="51" t="inlineStr">
        <is>
          <t>End 2026-09-10</t>
        </is>
      </c>
      <c r="D15" s="51" t="inlineStr">
        <is>
          <t>One-day owner gap</t>
        </is>
      </c>
      <c r="E15" s="51" t="inlineStr">
        <is>
          <t>이하영 support; no solo closure on leave</t>
        </is>
      </c>
      <c r="F15" s="51" t="inlineStr">
        <is>
          <t>G2 2026-09-11 unchanged</t>
        </is>
      </c>
    </row>
    <row r="16" ht="34" customHeight="1">
      <c r="A16" s="51" t="inlineStr">
        <is>
          <t>P1-MON-01</t>
        </is>
      </c>
      <c r="B16" s="51" t="inlineStr">
        <is>
          <t>Start 2026-09-04</t>
        </is>
      </c>
      <c r="C16" s="51" t="inlineStr">
        <is>
          <t>Start 2026-09-07</t>
        </is>
      </c>
      <c r="D16" s="51" t="inlineStr">
        <is>
          <t>Start after return</t>
        </is>
      </c>
      <c r="E16" s="51" t="inlineStr">
        <is>
          <t>이권욱 support</t>
        </is>
      </c>
      <c r="F16" s="51" t="inlineStr">
        <is>
          <t>G2 2026-09-11 unchanged</t>
        </is>
      </c>
    </row>
    <row r="17" ht="34" customHeight="1">
      <c r="A17" s="67" t="inlineStr">
        <is>
          <t>MS-G1-01</t>
        </is>
      </c>
      <c r="B17" s="67" t="inlineStr">
        <is>
          <t>2026-09-04</t>
        </is>
      </c>
      <c r="C17" s="67" t="inlineStr">
        <is>
          <t>2026-09-07</t>
        </is>
      </c>
      <c r="D17" s="67" t="inlineStr">
        <is>
          <t>Align with P1-DB completion</t>
        </is>
      </c>
      <c r="E17" s="67" t="inlineStr">
        <is>
          <t>Lead gate review after evidence</t>
        </is>
      </c>
      <c r="F17" s="67" t="inlineStr">
        <is>
          <t>G1 +1 business day</t>
        </is>
      </c>
    </row>
    <row r="18" ht="36" customHeight="1">
      <c r="A18" s="54" t="inlineStr">
        <is>
          <t>HY-LEAVE-20260908</t>
        </is>
      </c>
      <c r="B18" s="54" t="inlineStr">
        <is>
          <t>2026-09-08 planned work</t>
        </is>
      </c>
      <c r="C18" s="54" t="inlineStr">
        <is>
          <t>No date change</t>
        </is>
      </c>
      <c r="D18" s="54" t="inlineStr">
        <is>
          <t>One-day owner gap</t>
        </is>
      </c>
      <c r="E18" s="54" t="inlineStr">
        <is>
          <t>이권욱 coverage; no solo closure</t>
        </is>
      </c>
      <c r="F18" s="182" t="inlineStr">
        <is>
          <t>No automatic rebaseline; assess actual delay</t>
        </is>
      </c>
    </row>
    <row r="19" ht="15" customHeight="1">
      <c r="A19" s="67" t="inlineStr">
        <is>
          <t>Approval</t>
        </is>
      </c>
      <c r="B19" s="67" t="inlineStr">
        <is>
          <t>D36</t>
        </is>
      </c>
      <c r="C19" s="67" t="inlineStr">
        <is>
          <t>Approved by</t>
        </is>
      </c>
      <c r="D19" s="67" t="inlineStr">
        <is>
          <t>User / Project Lead</t>
        </is>
      </c>
      <c r="E19" s="67" t="inlineStr">
        <is>
          <t>Effective</t>
        </is>
      </c>
      <c r="F19" s="176" t="n">
        <v>46268</v>
      </c>
    </row>
    <row r="20" ht="30" customHeight="1">
      <c r="A20" t="inlineStr">
        <is>
          <t>Approval</t>
        </is>
      </c>
      <c r="B20" t="inlineStr">
        <is>
          <t>User instruction 2026-09-08</t>
        </is>
      </c>
      <c r="C20" t="inlineStr">
        <is>
          <t>Approved by</t>
        </is>
      </c>
      <c r="D20" t="inlineStr">
        <is>
          <t>User / Project Lead</t>
        </is>
      </c>
      <c r="E20" t="inlineStr">
        <is>
          <t>Effective</t>
        </is>
      </c>
      <c r="F20" t="n">
        <v>46273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10" customWidth="1" min="4" max="4"/>
    <col width="50" customWidth="1" min="5" max="5"/>
    <col width="24" customWidth="1" min="6" max="6"/>
    <col width="46" customWidth="1" min="7" max="7"/>
    <col width="10" customWidth="1" min="8" max="8"/>
    <col width="12" customWidth="1" min="9" max="9"/>
    <col width="14" customWidth="1" min="10" max="10"/>
    <col width="17" customWidth="1" min="11" max="11"/>
    <col width="24" customWidth="1" min="12" max="12"/>
  </cols>
  <sheetData>
    <row r="1" ht="34" customHeight="1">
      <c r="A1" s="111" t="inlineStr">
        <is>
          <t>Phase 1 Fast Tracking — 기존 배정안 / 실행 인수 별도</t>
        </is>
      </c>
    </row>
    <row r="2" ht="28" customHeight="1">
      <c r="A2" t="inlineStr">
        <is>
          <t>9/11~23 평일 9일 · 주말/부재 배정 0 · 23인일 중 1.5인일 보완 버퍼 · 변경/고장 주입은 창별 단일 실행자</t>
        </is>
      </c>
    </row>
    <row r="3" ht="26" customHeight="1">
      <c r="A3" t="inlineStr">
        <is>
          <t>보존된 09-10 계획안. AM/PM 각 0.5일 가용창이며 실제 실행/잔여공수 확인을 뜻하지 않는다. 최신 계획은 WBS 참조.</t>
        </is>
      </c>
    </row>
    <row r="5" ht="30" customHeight="1">
      <c r="A5" s="129" t="inlineStr">
        <is>
          <t>날짜</t>
        </is>
      </c>
      <c r="B5" s="129" t="inlineStr">
        <is>
          <t>창</t>
        </is>
      </c>
      <c r="C5" s="129" t="inlineStr">
        <is>
          <t>담당자</t>
        </is>
      </c>
      <c r="D5" s="129" t="inlineStr">
        <is>
          <t>유형</t>
        </is>
      </c>
      <c r="E5" s="129" t="inlineStr">
        <is>
          <t>작업·인수 결과</t>
        </is>
      </c>
      <c r="F5" s="129" t="inlineStr">
        <is>
          <t>주 책임 티켓</t>
        </is>
      </c>
      <c r="G5" s="129" t="inlineStr">
        <is>
          <t>실행 선행조건</t>
        </is>
      </c>
      <c r="H5" s="129" t="inlineStr">
        <is>
          <t>배정 인일</t>
        </is>
      </c>
      <c r="I5" s="129" t="inlineStr">
        <is>
          <t>당일 가용량</t>
        </is>
      </c>
      <c r="J5" s="129" t="inlineStr">
        <is>
          <t>당일 배정 합계</t>
        </is>
      </c>
      <c r="K5" s="129" t="inlineStr">
        <is>
          <t>배정 검사</t>
        </is>
      </c>
      <c r="L5" s="129" t="inlineStr">
        <is>
          <t>환경 작업 창</t>
        </is>
      </c>
    </row>
    <row r="6" ht="60" customHeight="1">
      <c r="A6" s="183" t="n">
        <v>46276</v>
      </c>
      <c r="B6" s="130" t="inlineStr">
        <is>
          <t>AM</t>
        </is>
      </c>
      <c r="C6" s="130" t="inlineStr">
        <is>
          <t>이권욱</t>
        </is>
      </c>
      <c r="D6" s="130" t="inlineStr">
        <is>
          <t>수집·정리</t>
        </is>
      </c>
      <c r="E6" s="130" t="inlineStr">
        <is>
          <t>CP1 보호·복구·최신 inspect 준비·ICR 범위 정리</t>
        </is>
      </c>
      <c r="F6" s="130" t="inlineStr">
        <is>
          <t>ICR-D-NET-01-01</t>
        </is>
      </c>
      <c r="G6" s="130" t="inlineStr">
        <is>
          <t>없음: 읽기 전용/문서 준비</t>
        </is>
      </c>
      <c r="H6" s="184" t="n">
        <v>0.5</v>
      </c>
      <c r="I6" s="184" t="n">
        <v>1</v>
      </c>
      <c r="J6" s="184">
        <f>SUMIFS($H$6:$H$59,$A$6:$A$59,A6,$C$6:$C$59,C6)</f>
        <v/>
      </c>
      <c r="K6" s="130">
        <f>IF(J6&gt;I6,"OVERBOOKED",IF(I6=0,"UNAVAILABLE","OK"))</f>
        <v/>
      </c>
      <c r="L6" s="130" t="inlineStr">
        <is>
          <t>2026-09-11 AM</t>
        </is>
      </c>
    </row>
    <row r="7" ht="60" customHeight="1">
      <c r="A7" s="185" t="n">
        <v>46276</v>
      </c>
      <c r="B7" s="131" t="inlineStr">
        <is>
          <t>AM</t>
        </is>
      </c>
      <c r="C7" s="131" t="inlineStr">
        <is>
          <t>이하영</t>
        </is>
      </c>
      <c r="D7" s="131" t="inlineStr">
        <is>
          <t>리뷰·결정</t>
        </is>
      </c>
      <c r="E7" s="131" t="inlineStr">
        <is>
          <t>PR #2/#4 재리뷰·NTP 기준·평일 Review 검토</t>
        </is>
      </c>
      <c r="F7" s="131" t="inlineStr">
        <is>
          <t>DEC-CAL-P1-01</t>
        </is>
      </c>
      <c r="G7" s="131" t="inlineStr">
        <is>
          <t>없음: 읽기 전용/문서 준비</t>
        </is>
      </c>
      <c r="H7" s="186" t="n">
        <v>0.5</v>
      </c>
      <c r="I7" s="186" t="n">
        <v>1</v>
      </c>
      <c r="J7" s="186">
        <f>SUMIFS($H$6:$H$59,$A$6:$A$59,A7,$C$6:$C$59,C7)</f>
        <v/>
      </c>
      <c r="K7" s="131">
        <f>IF(J7&gt;I7,"OVERBOOKED",IF(I7=0,"UNAVAILABLE","OK"))</f>
        <v/>
      </c>
      <c r="L7" s="131" t="inlineStr">
        <is>
          <t>2026-09-11 AM</t>
        </is>
      </c>
    </row>
    <row r="8" ht="60" customHeight="1">
      <c r="A8" s="183" t="n">
        <v>46276</v>
      </c>
      <c r="B8" s="130" t="inlineStr">
        <is>
          <t>AM</t>
        </is>
      </c>
      <c r="C8" s="130" t="inlineStr">
        <is>
          <t>이재환</t>
        </is>
      </c>
      <c r="D8" s="130" t="inlineStr">
        <is>
          <t>인계</t>
        </is>
      </c>
      <c r="E8" s="130" t="inlineStr">
        <is>
          <t>APP/DB Source·Schema·검증·복구 절차 인계</t>
        </is>
      </c>
      <c r="F8" s="130" t="inlineStr">
        <is>
          <t>P1-APP-01</t>
        </is>
      </c>
      <c r="G8" s="130" t="inlineStr">
        <is>
          <t>고정 Source·접근권한·실행/판정/복구 절차 확인; 환경 변경과 독립 진행</t>
        </is>
      </c>
      <c r="H8" s="184" t="n">
        <v>0.5</v>
      </c>
      <c r="I8" s="184" t="n">
        <v>1</v>
      </c>
      <c r="J8" s="184">
        <f>SUMIFS($H$6:$H$59,$A$6:$A$59,A8,$C$6:$C$59,C8)</f>
        <v/>
      </c>
      <c r="K8" s="130">
        <f>IF(J8&gt;I8,"OVERBOOKED",IF(I8=0,"UNAVAILABLE","OK"))</f>
        <v/>
      </c>
      <c r="L8" s="130" t="inlineStr">
        <is>
          <t>2026-09-11 AM</t>
        </is>
      </c>
    </row>
    <row r="9" ht="60" customHeight="1">
      <c r="A9" s="185" t="n">
        <v>46276</v>
      </c>
      <c r="B9" s="131" t="inlineStr">
        <is>
          <t>PM</t>
        </is>
      </c>
      <c r="C9" s="131" t="inlineStr">
        <is>
          <t>이권욱</t>
        </is>
      </c>
      <c r="D9" s="131" t="inlineStr">
        <is>
          <t>변경</t>
        </is>
      </c>
      <c r="E9" s="131" t="inlineStr">
        <is>
          <t>리뷰 통과 후 CP1 canary·영수증·복구 검증</t>
        </is>
      </c>
      <c r="F9" s="131" t="inlineStr">
        <is>
          <t>ICR-D-NET-01-01</t>
        </is>
      </c>
      <c r="G9" s="131" t="inlineStr">
        <is>
          <t>PR #2 지적 해소·실행 결정·최신 inspect</t>
        </is>
      </c>
      <c r="H9" s="186" t="n">
        <v>0.5</v>
      </c>
      <c r="I9" s="186" t="n">
        <v>1</v>
      </c>
      <c r="J9" s="186">
        <f>SUMIFS($H$6:$H$59,$A$6:$A$59,A9,$C$6:$C$59,C9)</f>
        <v/>
      </c>
      <c r="K9" s="131">
        <f>IF(J9&gt;I9,"OVERBOOKED",IF(I9=0,"UNAVAILABLE","OK"))</f>
        <v/>
      </c>
      <c r="L9" s="131" t="inlineStr">
        <is>
          <t>2026-09-11 PM</t>
        </is>
      </c>
    </row>
    <row r="10" ht="60" customHeight="1">
      <c r="A10" s="183" t="n">
        <v>46276</v>
      </c>
      <c r="B10" s="130" t="inlineStr">
        <is>
          <t>PM</t>
        </is>
      </c>
      <c r="C10" s="130" t="inlineStr">
        <is>
          <t>이하영</t>
        </is>
      </c>
      <c r="D10" s="130" t="inlineStr">
        <is>
          <t>검증</t>
        </is>
      </c>
      <c r="E10" s="130" t="inlineStr">
        <is>
          <t>CP1 변경 후 Kubernetes 검증·Harbor 준비</t>
        </is>
      </c>
      <c r="F10" s="130" t="inlineStr">
        <is>
          <t>P1-K8S-01</t>
        </is>
      </c>
      <c r="G10" s="130" t="inlineStr">
        <is>
          <t>PR #2 지적 해소·실행 결정·최신 inspect</t>
        </is>
      </c>
      <c r="H10" s="184" t="n">
        <v>0.5</v>
      </c>
      <c r="I10" s="184" t="n">
        <v>1</v>
      </c>
      <c r="J10" s="184">
        <f>SUMIFS($H$6:$H$59,$A$6:$A$59,A10,$C$6:$C$59,C10)</f>
        <v/>
      </c>
      <c r="K10" s="130">
        <f>IF(J10&gt;I10,"OVERBOOKED",IF(I10=0,"UNAVAILABLE","OK"))</f>
        <v/>
      </c>
      <c r="L10" s="130" t="inlineStr">
        <is>
          <t>2026-09-11 PM</t>
        </is>
      </c>
    </row>
    <row r="11" ht="60" customHeight="1">
      <c r="A11" s="185" t="n">
        <v>46276</v>
      </c>
      <c r="B11" s="131" t="inlineStr">
        <is>
          <t>PM</t>
        </is>
      </c>
      <c r="C11" s="131" t="inlineStr">
        <is>
          <t>이재환</t>
        </is>
      </c>
      <c r="D11" s="131" t="inlineStr">
        <is>
          <t>인계</t>
        </is>
      </c>
      <c r="E11" s="131" t="inlineStr">
        <is>
          <t>MON Manifest·14+2 AC 및 HA/DR 케이스 인계</t>
        </is>
      </c>
      <c r="F11" s="131" t="inlineStr">
        <is>
          <t>P1-MON-01</t>
        </is>
      </c>
      <c r="G11" s="131" t="inlineStr">
        <is>
          <t>고정 Source·접근권한·실행/판정/복구 절차 확인; 환경 변경과 독립 진행</t>
        </is>
      </c>
      <c r="H11" s="186" t="n">
        <v>0.5</v>
      </c>
      <c r="I11" s="186" t="n">
        <v>1</v>
      </c>
      <c r="J11" s="186">
        <f>SUMIFS($H$6:$H$59,$A$6:$A$59,A11,$C$6:$C$59,C11)</f>
        <v/>
      </c>
      <c r="K11" s="131">
        <f>IF(J11&gt;I11,"OVERBOOKED",IF(I11=0,"UNAVAILABLE","OK"))</f>
        <v/>
      </c>
      <c r="L11" s="131" t="inlineStr">
        <is>
          <t>2026-09-11 PM</t>
        </is>
      </c>
    </row>
    <row r="12" ht="60" customHeight="1">
      <c r="A12" s="183" t="n">
        <v>46279</v>
      </c>
      <c r="B12" s="130" t="inlineStr">
        <is>
          <t>AM</t>
        </is>
      </c>
      <c r="C12" s="130" t="inlineStr">
        <is>
          <t>이권욱</t>
        </is>
      </c>
      <c r="D12" s="130" t="inlineStr">
        <is>
          <t>변경</t>
        </is>
      </c>
      <c r="E12" s="130" t="inlineStr">
        <is>
          <t>CP2/CP3 통신 보완 후 join 지원</t>
        </is>
      </c>
      <c r="F12" s="130" t="inlineStr">
        <is>
          <t>ICR-D-NET-01-01</t>
        </is>
      </c>
      <c r="G12" s="130" t="inlineStr">
        <is>
          <t>CP1 canary 검증</t>
        </is>
      </c>
      <c r="H12" s="184" t="n">
        <v>0.5</v>
      </c>
      <c r="I12" s="184" t="n">
        <v>1</v>
      </c>
      <c r="J12" s="184">
        <f>SUMIFS($H$6:$H$59,$A$6:$A$59,A12,$C$6:$C$59,C12)</f>
        <v/>
      </c>
      <c r="K12" s="130">
        <f>IF(J12&gt;I12,"OVERBOOKED",IF(I12=0,"UNAVAILABLE","OK"))</f>
        <v/>
      </c>
      <c r="L12" s="130" t="inlineStr">
        <is>
          <t>2026-09-14 AM</t>
        </is>
      </c>
    </row>
    <row r="13" ht="60" customHeight="1">
      <c r="A13" s="185" t="n">
        <v>46279</v>
      </c>
      <c r="B13" s="131" t="inlineStr">
        <is>
          <t>AM</t>
        </is>
      </c>
      <c r="C13" s="131" t="inlineStr">
        <is>
          <t>이하영</t>
        </is>
      </c>
      <c r="D13" s="131" t="inlineStr">
        <is>
          <t>변경</t>
        </is>
      </c>
      <c r="E13" s="131" t="inlineStr">
        <is>
          <t>통신 확인 후 CP2/CP3 잔여 구성·join</t>
        </is>
      </c>
      <c r="F13" s="131" t="inlineStr">
        <is>
          <t>P1-K8S-01</t>
        </is>
      </c>
      <c r="G13" s="131" t="inlineStr">
        <is>
          <t>CP1 canary 검증</t>
        </is>
      </c>
      <c r="H13" s="186" t="n">
        <v>0.5</v>
      </c>
      <c r="I13" s="186" t="n">
        <v>1</v>
      </c>
      <c r="J13" s="186">
        <f>SUMIFS($H$6:$H$59,$A$6:$A$59,A13,$C$6:$C$59,C13)</f>
        <v/>
      </c>
      <c r="K13" s="131">
        <f>IF(J13&gt;I13,"OVERBOOKED",IF(I13=0,"UNAVAILABLE","OK"))</f>
        <v/>
      </c>
      <c r="L13" s="131" t="inlineStr">
        <is>
          <t>2026-09-14 AM</t>
        </is>
      </c>
    </row>
    <row r="14" ht="60" customHeight="1">
      <c r="A14" s="187" t="n">
        <v>46279</v>
      </c>
      <c r="B14" s="132" t="inlineStr">
        <is>
          <t>AM</t>
        </is>
      </c>
      <c r="C14" s="132" t="inlineStr">
        <is>
          <t>이재환</t>
        </is>
      </c>
      <c r="D14" s="132" t="inlineStr">
        <is>
          <t>부재</t>
        </is>
      </c>
      <c r="E14" s="132" t="inlineStr">
        <is>
          <t>예비군 부재</t>
        </is>
      </c>
      <c r="F14" s="132" t="str"/>
      <c r="G14" s="132" t="inlineStr">
        <is>
          <t>수행 배정 없음</t>
        </is>
      </c>
      <c r="H14" s="188" t="n">
        <v>0</v>
      </c>
      <c r="I14" s="188" t="n">
        <v>0</v>
      </c>
      <c r="J14" s="188">
        <f>SUMIFS($H$6:$H$59,$A$6:$A$59,A14,$C$6:$C$59,C14)</f>
        <v/>
      </c>
      <c r="K14" s="132">
        <f>IF(J14&gt;I14,"OVERBOOKED",IF(I14=0,"UNAVAILABLE","OK"))</f>
        <v/>
      </c>
      <c r="L14" s="132" t="inlineStr">
        <is>
          <t>Unavailable</t>
        </is>
      </c>
    </row>
    <row r="15" ht="60" customHeight="1">
      <c r="A15" s="185" t="n">
        <v>46279</v>
      </c>
      <c r="B15" s="131" t="inlineStr">
        <is>
          <t>PM</t>
        </is>
      </c>
      <c r="C15" s="131" t="inlineStr">
        <is>
          <t>이권욱</t>
        </is>
      </c>
      <c r="D15" s="131" t="inlineStr">
        <is>
          <t>변경</t>
        </is>
      </c>
      <c r="E15" s="131" t="inlineStr">
        <is>
          <t>Worker 통신 보완·관리 경로 확인</t>
        </is>
      </c>
      <c r="F15" s="131" t="inlineStr">
        <is>
          <t>ICR-D-NET-01-01</t>
        </is>
      </c>
      <c r="G15" s="131" t="inlineStr">
        <is>
          <t>CP2/CP3 상태·etcd 확인</t>
        </is>
      </c>
      <c r="H15" s="186" t="n">
        <v>0.5</v>
      </c>
      <c r="I15" s="186" t="n">
        <v>1</v>
      </c>
      <c r="J15" s="186">
        <f>SUMIFS($H$6:$H$59,$A$6:$A$59,A15,$C$6:$C$59,C15)</f>
        <v/>
      </c>
      <c r="K15" s="131">
        <f>IF(J15&gt;I15,"OVERBOOKED",IF(I15=0,"UNAVAILABLE","OK"))</f>
        <v/>
      </c>
      <c r="L15" s="131" t="inlineStr">
        <is>
          <t>2026-09-14 PM</t>
        </is>
      </c>
    </row>
    <row r="16" ht="60" customHeight="1">
      <c r="A16" s="183" t="n">
        <v>46279</v>
      </c>
      <c r="B16" s="130" t="inlineStr">
        <is>
          <t>PM</t>
        </is>
      </c>
      <c r="C16" s="130" t="inlineStr">
        <is>
          <t>이하영</t>
        </is>
      </c>
      <c r="D16" s="130" t="inlineStr">
        <is>
          <t>변경</t>
        </is>
      </c>
      <c r="E16" s="130" t="inlineStr">
        <is>
          <t>Worker kubelet/join·노드 상태 확인</t>
        </is>
      </c>
      <c r="F16" s="130" t="inlineStr">
        <is>
          <t>P1-K8S-01</t>
        </is>
      </c>
      <c r="G16" s="130" t="inlineStr">
        <is>
          <t>CP2/CP3 상태·etcd 확인</t>
        </is>
      </c>
      <c r="H16" s="184" t="n">
        <v>0.5</v>
      </c>
      <c r="I16" s="184" t="n">
        <v>1</v>
      </c>
      <c r="J16" s="184">
        <f>SUMIFS($H$6:$H$59,$A$6:$A$59,A16,$C$6:$C$59,C16)</f>
        <v/>
      </c>
      <c r="K16" s="130">
        <f>IF(J16&gt;I16,"OVERBOOKED",IF(I16=0,"UNAVAILABLE","OK"))</f>
        <v/>
      </c>
      <c r="L16" s="130" t="inlineStr">
        <is>
          <t>2026-09-14 PM</t>
        </is>
      </c>
    </row>
    <row r="17" ht="60" customHeight="1">
      <c r="A17" s="187" t="n">
        <v>46279</v>
      </c>
      <c r="B17" s="132" t="inlineStr">
        <is>
          <t>PM</t>
        </is>
      </c>
      <c r="C17" s="132" t="inlineStr">
        <is>
          <t>이재환</t>
        </is>
      </c>
      <c r="D17" s="132" t="inlineStr">
        <is>
          <t>부재</t>
        </is>
      </c>
      <c r="E17" s="132" t="inlineStr">
        <is>
          <t>예비군 부재</t>
        </is>
      </c>
      <c r="F17" s="132" t="str"/>
      <c r="G17" s="132" t="inlineStr">
        <is>
          <t>수행 배정 없음</t>
        </is>
      </c>
      <c r="H17" s="188" t="n">
        <v>0</v>
      </c>
      <c r="I17" s="188" t="n">
        <v>0</v>
      </c>
      <c r="J17" s="188">
        <f>SUMIFS($H$6:$H$59,$A$6:$A$59,A17,$C$6:$C$59,C17)</f>
        <v/>
      </c>
      <c r="K17" s="132">
        <f>IF(J17&gt;I17,"OVERBOOKED",IF(I17=0,"UNAVAILABLE","OK"))</f>
        <v/>
      </c>
      <c r="L17" s="132" t="inlineStr">
        <is>
          <t>Unavailable</t>
        </is>
      </c>
    </row>
    <row r="18" ht="60" customHeight="1">
      <c r="A18" s="183" t="n">
        <v>46280</v>
      </c>
      <c r="B18" s="130" t="inlineStr">
        <is>
          <t>AM</t>
        </is>
      </c>
      <c r="C18" s="130" t="inlineStr">
        <is>
          <t>이권욱</t>
        </is>
      </c>
      <c r="D18" s="130" t="inlineStr">
        <is>
          <t>변경</t>
        </is>
      </c>
      <c r="E18" s="130" t="inlineStr">
        <is>
          <t>승인 NTP·IF-16 경로 적용 후 Calico 인계</t>
        </is>
      </c>
      <c r="F18" s="130" t="inlineStr">
        <is>
          <t>ICR-D-NET-01-01</t>
        </is>
      </c>
      <c r="G18" s="130" t="inlineStr">
        <is>
          <t>Worker 상태·NTP 승인값</t>
        </is>
      </c>
      <c r="H18" s="184" t="n">
        <v>0.5</v>
      </c>
      <c r="I18" s="184" t="n">
        <v>1</v>
      </c>
      <c r="J18" s="184">
        <f>SUMIFS($H$6:$H$59,$A$6:$A$59,A18,$C$6:$C$59,C18)</f>
        <v/>
      </c>
      <c r="K18" s="130">
        <f>IF(J18&gt;I18,"OVERBOOKED",IF(I18=0,"UNAVAILABLE","OK"))</f>
        <v/>
      </c>
      <c r="L18" s="130" t="inlineStr">
        <is>
          <t>2026-09-15 AM</t>
        </is>
      </c>
    </row>
    <row r="19" ht="60" customHeight="1">
      <c r="A19" s="185" t="n">
        <v>46280</v>
      </c>
      <c r="B19" s="131" t="inlineStr">
        <is>
          <t>AM</t>
        </is>
      </c>
      <c r="C19" s="131" t="inlineStr">
        <is>
          <t>이하영</t>
        </is>
      </c>
      <c r="D19" s="131" t="inlineStr">
        <is>
          <t>변경</t>
        </is>
      </c>
      <c r="E19" s="131" t="inlineStr">
        <is>
          <t>NTP·경로 확인 후 Calico HEP/GNP 단계 적용</t>
        </is>
      </c>
      <c r="F19" s="131" t="inlineStr">
        <is>
          <t>P1-K8S-01</t>
        </is>
      </c>
      <c r="G19" s="131" t="inlineStr">
        <is>
          <t>Worker 상태·NTP 승인값</t>
        </is>
      </c>
      <c r="H19" s="186" t="n">
        <v>0.5</v>
      </c>
      <c r="I19" s="186" t="n">
        <v>1</v>
      </c>
      <c r="J19" s="186">
        <f>SUMIFS($H$6:$H$59,$A$6:$A$59,A19,$C$6:$C$59,C19)</f>
        <v/>
      </c>
      <c r="K19" s="131">
        <f>IF(J19&gt;I19,"OVERBOOKED",IF(I19=0,"UNAVAILABLE","OK"))</f>
        <v/>
      </c>
      <c r="L19" s="131" t="inlineStr">
        <is>
          <t>2026-09-15 AM</t>
        </is>
      </c>
    </row>
    <row r="20" ht="60" customHeight="1">
      <c r="A20" s="187" t="n">
        <v>46280</v>
      </c>
      <c r="B20" s="132" t="inlineStr">
        <is>
          <t>AM</t>
        </is>
      </c>
      <c r="C20" s="132" t="inlineStr">
        <is>
          <t>이재환</t>
        </is>
      </c>
      <c r="D20" s="132" t="inlineStr">
        <is>
          <t>부재</t>
        </is>
      </c>
      <c r="E20" s="132" t="inlineStr">
        <is>
          <t>예비군 부재</t>
        </is>
      </c>
      <c r="F20" s="132" t="str"/>
      <c r="G20" s="132" t="inlineStr">
        <is>
          <t>수행 배정 없음</t>
        </is>
      </c>
      <c r="H20" s="188" t="n">
        <v>0</v>
      </c>
      <c r="I20" s="188" t="n">
        <v>0</v>
      </c>
      <c r="J20" s="188">
        <f>SUMIFS($H$6:$H$59,$A$6:$A$59,A20,$C$6:$C$59,C20)</f>
        <v/>
      </c>
      <c r="K20" s="132">
        <f>IF(J20&gt;I20,"OVERBOOKED",IF(I20=0,"UNAVAILABLE","OK"))</f>
        <v/>
      </c>
      <c r="L20" s="132" t="inlineStr">
        <is>
          <t>Unavailable</t>
        </is>
      </c>
    </row>
    <row r="21" ht="60" customHeight="1">
      <c r="A21" s="185" t="n">
        <v>46280</v>
      </c>
      <c r="B21" s="131" t="inlineStr">
        <is>
          <t>PM</t>
        </is>
      </c>
      <c r="C21" s="131" t="inlineStr">
        <is>
          <t>이권욱</t>
        </is>
      </c>
      <c r="D21" s="131" t="inlineStr">
        <is>
          <t>검증</t>
        </is>
      </c>
      <c r="E21" s="131" t="inlineStr">
        <is>
          <t>API LB Stage B·Backend/인증·장애조치</t>
        </is>
      </c>
      <c r="F21" s="131" t="inlineStr">
        <is>
          <t>P1-LB-01</t>
        </is>
      </c>
      <c r="G21" s="131" t="inlineStr">
        <is>
          <t>NTP·Calico·필수 관리 경로 정상</t>
        </is>
      </c>
      <c r="H21" s="186" t="n">
        <v>0.5</v>
      </c>
      <c r="I21" s="186" t="n">
        <v>1</v>
      </c>
      <c r="J21" s="186">
        <f>SUMIFS($H$6:$H$59,$A$6:$A$59,A21,$C$6:$C$59,C21)</f>
        <v/>
      </c>
      <c r="K21" s="131">
        <f>IF(J21&gt;I21,"OVERBOOKED",IF(I21=0,"UNAVAILABLE","OK"))</f>
        <v/>
      </c>
      <c r="L21" s="131" t="inlineStr">
        <is>
          <t>2026-09-15 PM</t>
        </is>
      </c>
    </row>
    <row r="22" ht="60" customHeight="1">
      <c r="A22" s="183" t="n">
        <v>46280</v>
      </c>
      <c r="B22" s="130" t="inlineStr">
        <is>
          <t>PM</t>
        </is>
      </c>
      <c r="C22" s="130" t="inlineStr">
        <is>
          <t>이하영</t>
        </is>
      </c>
      <c r="D22" s="130" t="inlineStr">
        <is>
          <t>구현</t>
        </is>
      </c>
      <c r="E22" s="130" t="inlineStr">
        <is>
          <t>Harbor CA/Robot/Scanner·Worker Pull 검증</t>
        </is>
      </c>
      <c r="F22" s="130" t="inlineStr">
        <is>
          <t>P1-HBR-01</t>
        </is>
      </c>
      <c r="G22" s="130" t="inlineStr">
        <is>
          <t>NTP·Calico·필수 관리 경로 정상</t>
        </is>
      </c>
      <c r="H22" s="184" t="n">
        <v>0.5</v>
      </c>
      <c r="I22" s="184" t="n">
        <v>1</v>
      </c>
      <c r="J22" s="184">
        <f>SUMIFS($H$6:$H$59,$A$6:$A$59,A22,$C$6:$C$59,C22)</f>
        <v/>
      </c>
      <c r="K22" s="130">
        <f>IF(J22&gt;I22,"OVERBOOKED",IF(I22=0,"UNAVAILABLE","OK"))</f>
        <v/>
      </c>
      <c r="L22" s="130" t="inlineStr">
        <is>
          <t>2026-09-15 PM</t>
        </is>
      </c>
    </row>
    <row r="23" ht="60" customHeight="1">
      <c r="A23" s="187" t="n">
        <v>46280</v>
      </c>
      <c r="B23" s="132" t="inlineStr">
        <is>
          <t>PM</t>
        </is>
      </c>
      <c r="C23" s="132" t="inlineStr">
        <is>
          <t>이재환</t>
        </is>
      </c>
      <c r="D23" s="132" t="inlineStr">
        <is>
          <t>부재</t>
        </is>
      </c>
      <c r="E23" s="132" t="inlineStr">
        <is>
          <t>예비군 부재</t>
        </is>
      </c>
      <c r="F23" s="132" t="str"/>
      <c r="G23" s="132" t="inlineStr">
        <is>
          <t>수행 배정 없음</t>
        </is>
      </c>
      <c r="H23" s="188" t="n">
        <v>0</v>
      </c>
      <c r="I23" s="188" t="n">
        <v>0</v>
      </c>
      <c r="J23" s="188">
        <f>SUMIFS($H$6:$H$59,$A$6:$A$59,A23,$C$6:$C$59,C23)</f>
        <v/>
      </c>
      <c r="K23" s="132">
        <f>IF(J23&gt;I23,"OVERBOOKED",IF(I23=0,"UNAVAILABLE","OK"))</f>
        <v/>
      </c>
      <c r="L23" s="132" t="inlineStr">
        <is>
          <t>Unavailable</t>
        </is>
      </c>
    </row>
    <row r="24" ht="60" customHeight="1">
      <c r="A24" s="183" t="n">
        <v>46281</v>
      </c>
      <c r="B24" s="130" t="inlineStr">
        <is>
          <t>AM</t>
        </is>
      </c>
      <c r="C24" s="130" t="inlineStr">
        <is>
          <t>이권욱</t>
        </is>
      </c>
      <c r="D24" s="130" t="inlineStr">
        <is>
          <t>구현</t>
        </is>
      </c>
      <c r="E24" s="130" t="inlineStr">
        <is>
          <t>CI Test/Build/Trivy·배포 차단 Gate</t>
        </is>
      </c>
      <c r="F24" s="130" t="inlineStr">
        <is>
          <t>P1-CICD-01</t>
        </is>
      </c>
      <c r="G24" s="130" t="inlineStr">
        <is>
          <t>플랫폼/Harbor 준비</t>
        </is>
      </c>
      <c r="H24" s="184" t="n">
        <v>0.5</v>
      </c>
      <c r="I24" s="184" t="n">
        <v>1</v>
      </c>
      <c r="J24" s="184">
        <f>SUMIFS($H$6:$H$59,$A$6:$A$59,A24,$C$6:$C$59,C24)</f>
        <v/>
      </c>
      <c r="K24" s="130">
        <f>IF(J24&gt;I24,"OVERBOOKED",IF(I24=0,"UNAVAILABLE","OK"))</f>
        <v/>
      </c>
      <c r="L24" s="130" t="inlineStr">
        <is>
          <t>2026-09-16 AM</t>
        </is>
      </c>
    </row>
    <row r="25" ht="60" customHeight="1">
      <c r="A25" s="185" t="n">
        <v>46281</v>
      </c>
      <c r="B25" s="131" t="inlineStr">
        <is>
          <t>AM</t>
        </is>
      </c>
      <c r="C25" s="131" t="inlineStr">
        <is>
          <t>이하영</t>
        </is>
      </c>
      <c r="D25" s="131" t="inlineStr">
        <is>
          <t>구현</t>
        </is>
      </c>
      <c r="E25" s="131" t="inlineStr">
        <is>
          <t>PSA/SC/RBAC/Secret·Default Deny 적용</t>
        </is>
      </c>
      <c r="F25" s="131" t="inlineStr">
        <is>
          <t>P1-SEC-01</t>
        </is>
      </c>
      <c r="G25" s="131" t="inlineStr">
        <is>
          <t>플랫폼/Harbor 준비</t>
        </is>
      </c>
      <c r="H25" s="186" t="n">
        <v>0.5</v>
      </c>
      <c r="I25" s="186" t="n">
        <v>1</v>
      </c>
      <c r="J25" s="186">
        <f>SUMIFS($H$6:$H$59,$A$6:$A$59,A25,$C$6:$C$59,C25)</f>
        <v/>
      </c>
      <c r="K25" s="131">
        <f>IF(J25&gt;I25,"OVERBOOKED",IF(I25=0,"UNAVAILABLE","OK"))</f>
        <v/>
      </c>
      <c r="L25" s="131" t="inlineStr">
        <is>
          <t>2026-09-16 AM</t>
        </is>
      </c>
    </row>
    <row r="26" ht="60" customHeight="1">
      <c r="A26" s="187" t="n">
        <v>46281</v>
      </c>
      <c r="B26" s="132" t="inlineStr">
        <is>
          <t>AM</t>
        </is>
      </c>
      <c r="C26" s="132" t="inlineStr">
        <is>
          <t>이재환</t>
        </is>
      </c>
      <c r="D26" s="132" t="inlineStr">
        <is>
          <t>부재</t>
        </is>
      </c>
      <c r="E26" s="132" t="inlineStr">
        <is>
          <t>예비군 부재</t>
        </is>
      </c>
      <c r="F26" s="132" t="str"/>
      <c r="G26" s="132" t="inlineStr">
        <is>
          <t>수행 배정 없음</t>
        </is>
      </c>
      <c r="H26" s="188" t="n">
        <v>0</v>
      </c>
      <c r="I26" s="188" t="n">
        <v>0</v>
      </c>
      <c r="J26" s="188">
        <f>SUMIFS($H$6:$H$59,$A$6:$A$59,A26,$C$6:$C$59,C26)</f>
        <v/>
      </c>
      <c r="K26" s="132">
        <f>IF(J26&gt;I26,"OVERBOOKED",IF(I26=0,"UNAVAILABLE","OK"))</f>
        <v/>
      </c>
      <c r="L26" s="132" t="inlineStr">
        <is>
          <t>Unavailable</t>
        </is>
      </c>
    </row>
    <row r="27" ht="60" customHeight="1">
      <c r="A27" s="185" t="n">
        <v>46281</v>
      </c>
      <c r="B27" s="131" t="inlineStr">
        <is>
          <t>PM</t>
        </is>
      </c>
      <c r="C27" s="131" t="inlineStr">
        <is>
          <t>이권욱</t>
        </is>
      </c>
      <c r="D27" s="131" t="inlineStr">
        <is>
          <t>검증</t>
        </is>
      </c>
      <c r="E27" s="131" t="inlineStr">
        <is>
          <t>승인 플랫폼 Deploy·Digest·Health·인계 MON 배치 준비</t>
        </is>
      </c>
      <c r="F27" s="131" t="inlineStr">
        <is>
          <t>P1-CICD-01</t>
        </is>
      </c>
      <c r="G27" s="131" t="inlineStr">
        <is>
          <t>배포·보안 필수 통제 정상</t>
        </is>
      </c>
      <c r="H27" s="186" t="n">
        <v>0.5</v>
      </c>
      <c r="I27" s="186" t="n">
        <v>1</v>
      </c>
      <c r="J27" s="186">
        <f>SUMIFS($H$6:$H$59,$A$6:$A$59,A27,$C$6:$C$59,C27)</f>
        <v/>
      </c>
      <c r="K27" s="131">
        <f>IF(J27&gt;I27,"OVERBOOKED",IF(I27=0,"UNAVAILABLE","OK"))</f>
        <v/>
      </c>
      <c r="L27" s="131" t="inlineStr">
        <is>
          <t>2026-09-16 PM</t>
        </is>
      </c>
    </row>
    <row r="28" ht="60" customHeight="1">
      <c r="A28" s="183" t="n">
        <v>46281</v>
      </c>
      <c r="B28" s="130" t="inlineStr">
        <is>
          <t>PM</t>
        </is>
      </c>
      <c r="C28" s="130" t="inlineStr">
        <is>
          <t>이하영</t>
        </is>
      </c>
      <c r="D28" s="130" t="inlineStr">
        <is>
          <t>검증</t>
        </is>
      </c>
      <c r="E28" s="130" t="inlineStr">
        <is>
          <t>Harbor 4/4 Digest 대조·보안/배치 확인</t>
        </is>
      </c>
      <c r="F28" s="130" t="inlineStr">
        <is>
          <t>P1-HBR-01</t>
        </is>
      </c>
      <c r="G28" s="130" t="inlineStr">
        <is>
          <t>배포·보안 필수 통제 정상</t>
        </is>
      </c>
      <c r="H28" s="184" t="n">
        <v>0.5</v>
      </c>
      <c r="I28" s="184" t="n">
        <v>1</v>
      </c>
      <c r="J28" s="184">
        <f>SUMIFS($H$6:$H$59,$A$6:$A$59,A28,$C$6:$C$59,C28)</f>
        <v/>
      </c>
      <c r="K28" s="130">
        <f>IF(J28&gt;I28,"OVERBOOKED",IF(I28=0,"UNAVAILABLE","OK"))</f>
        <v/>
      </c>
      <c r="L28" s="130" t="inlineStr">
        <is>
          <t>2026-09-16 PM</t>
        </is>
      </c>
    </row>
    <row r="29" ht="60" customHeight="1">
      <c r="A29" s="187" t="n">
        <v>46281</v>
      </c>
      <c r="B29" s="132" t="inlineStr">
        <is>
          <t>PM</t>
        </is>
      </c>
      <c r="C29" s="132" t="inlineStr">
        <is>
          <t>이재환</t>
        </is>
      </c>
      <c r="D29" s="132" t="inlineStr">
        <is>
          <t>부재</t>
        </is>
      </c>
      <c r="E29" s="132" t="inlineStr">
        <is>
          <t>예비군 부재</t>
        </is>
      </c>
      <c r="F29" s="132" t="str"/>
      <c r="G29" s="132" t="inlineStr">
        <is>
          <t>수행 배정 없음</t>
        </is>
      </c>
      <c r="H29" s="188" t="n">
        <v>0</v>
      </c>
      <c r="I29" s="188" t="n">
        <v>0</v>
      </c>
      <c r="J29" s="188">
        <f>SUMIFS($H$6:$H$59,$A$6:$A$59,A29,$C$6:$C$59,C29)</f>
        <v/>
      </c>
      <c r="K29" s="132">
        <f>IF(J29&gt;I29,"OVERBOOKED",IF(I29=0,"UNAVAILABLE","OK"))</f>
        <v/>
      </c>
      <c r="L29" s="132" t="inlineStr">
        <is>
          <t>Unavailable</t>
        </is>
      </c>
    </row>
    <row r="30" ht="60" customHeight="1">
      <c r="A30" s="183" t="n">
        <v>46282</v>
      </c>
      <c r="B30" s="130" t="inlineStr">
        <is>
          <t>AM</t>
        </is>
      </c>
      <c r="C30" s="130" t="inlineStr">
        <is>
          <t>이권욱</t>
        </is>
      </c>
      <c r="D30" s="130" t="inlineStr">
        <is>
          <t>검증</t>
        </is>
      </c>
      <c r="E30" s="130" t="inlineStr">
        <is>
          <t>인계 DB 경로·Schema 검증, MON/PVC 배치 지원</t>
        </is>
      </c>
      <c r="F30" s="130" t="inlineStr">
        <is>
          <t>P1-DB-01</t>
        </is>
      </c>
      <c r="G30" s="130" t="inlineStr">
        <is>
          <t>고정 인계 패키지·보호/복구 절차</t>
        </is>
      </c>
      <c r="H30" s="184" t="n">
        <v>0.5</v>
      </c>
      <c r="I30" s="184" t="n">
        <v>1</v>
      </c>
      <c r="J30" s="184">
        <f>SUMIFS($H$6:$H$59,$A$6:$A$59,A30,$C$6:$C$59,C30)</f>
        <v/>
      </c>
      <c r="K30" s="130">
        <f>IF(J30&gt;I30,"OVERBOOKED",IF(I30=0,"UNAVAILABLE","OK"))</f>
        <v/>
      </c>
      <c r="L30" s="130" t="inlineStr">
        <is>
          <t>2026-09-17 AM</t>
        </is>
      </c>
    </row>
    <row r="31" ht="60" customHeight="1">
      <c r="A31" s="185" t="n">
        <v>46282</v>
      </c>
      <c r="B31" s="131" t="inlineStr">
        <is>
          <t>AM</t>
        </is>
      </c>
      <c r="C31" s="131" t="inlineStr">
        <is>
          <t>이하영</t>
        </is>
      </c>
      <c r="D31" s="131" t="inlineStr">
        <is>
          <t>검증</t>
        </is>
      </c>
      <c r="E31" s="131" t="inlineStr">
        <is>
          <t>보호 인계·Reboot/복구 회귀·정본 배치 검수</t>
        </is>
      </c>
      <c r="F31" s="131" t="inlineStr">
        <is>
          <t>P1-SEC-01</t>
        </is>
      </c>
      <c r="G31" s="131" t="inlineStr">
        <is>
          <t>고정 인계 패키지·보호/복구 절차</t>
        </is>
      </c>
      <c r="H31" s="186" t="n">
        <v>0.5</v>
      </c>
      <c r="I31" s="186" t="n">
        <v>1</v>
      </c>
      <c r="J31" s="186">
        <f>SUMIFS($H$6:$H$59,$A$6:$A$59,A31,$C$6:$C$59,C31)</f>
        <v/>
      </c>
      <c r="K31" s="131">
        <f>IF(J31&gt;I31,"OVERBOOKED",IF(I31=0,"UNAVAILABLE","OK"))</f>
        <v/>
      </c>
      <c r="L31" s="131" t="inlineStr">
        <is>
          <t>2026-09-17 AM</t>
        </is>
      </c>
    </row>
    <row r="32" ht="60" customHeight="1">
      <c r="A32" s="187" t="n">
        <v>46282</v>
      </c>
      <c r="B32" s="132" t="inlineStr">
        <is>
          <t>AM</t>
        </is>
      </c>
      <c r="C32" s="132" t="inlineStr">
        <is>
          <t>이재환</t>
        </is>
      </c>
      <c r="D32" s="132" t="inlineStr">
        <is>
          <t>부재</t>
        </is>
      </c>
      <c r="E32" s="132" t="inlineStr">
        <is>
          <t>예비군 부재</t>
        </is>
      </c>
      <c r="F32" s="132" t="str"/>
      <c r="G32" s="132" t="inlineStr">
        <is>
          <t>수행 배정 없음</t>
        </is>
      </c>
      <c r="H32" s="188" t="n">
        <v>0</v>
      </c>
      <c r="I32" s="188" t="n">
        <v>0</v>
      </c>
      <c r="J32" s="188">
        <f>SUMIFS($H$6:$H$59,$A$6:$A$59,A32,$C$6:$C$59,C32)</f>
        <v/>
      </c>
      <c r="K32" s="132">
        <f>IF(J32&gt;I32,"OVERBOOKED",IF(I32=0,"UNAVAILABLE","OK"))</f>
        <v/>
      </c>
      <c r="L32" s="132" t="inlineStr">
        <is>
          <t>Unavailable</t>
        </is>
      </c>
    </row>
    <row r="33" ht="60" customHeight="1">
      <c r="A33" s="185" t="n">
        <v>46282</v>
      </c>
      <c r="B33" s="131" t="inlineStr">
        <is>
          <t>PM</t>
        </is>
      </c>
      <c r="C33" s="131" t="inlineStr">
        <is>
          <t>이권욱</t>
        </is>
      </c>
      <c r="D33" s="131" t="inlineStr">
        <is>
          <t>인수</t>
        </is>
      </c>
      <c r="E33" s="131" t="inlineStr">
        <is>
          <t>G1 인수 점검·잔여 Source/증적/Runbook 정리</t>
        </is>
      </c>
      <c r="F33" s="131" t="inlineStr">
        <is>
          <t>MS-G1-01</t>
        </is>
      </c>
      <c r="G33" s="131" t="inlineStr">
        <is>
          <t>G1 필수 증적 충족</t>
        </is>
      </c>
      <c r="H33" s="186" t="n">
        <v>0.5</v>
      </c>
      <c r="I33" s="186" t="n">
        <v>1</v>
      </c>
      <c r="J33" s="186">
        <f>SUMIFS($H$6:$H$59,$A$6:$A$59,A33,$C$6:$C$59,C33)</f>
        <v/>
      </c>
      <c r="K33" s="131">
        <f>IF(J33&gt;I33,"OVERBOOKED",IF(I33=0,"UNAVAILABLE","OK"))</f>
        <v/>
      </c>
      <c r="L33" s="131" t="inlineStr">
        <is>
          <t>2026-09-17 PM</t>
        </is>
      </c>
    </row>
    <row r="34" ht="60" customHeight="1">
      <c r="A34" s="183" t="n">
        <v>46282</v>
      </c>
      <c r="B34" s="130" t="inlineStr">
        <is>
          <t>PM</t>
        </is>
      </c>
      <c r="C34" s="130" t="inlineStr">
        <is>
          <t>이하영</t>
        </is>
      </c>
      <c r="D34" s="130" t="inlineStr">
        <is>
          <t>검토</t>
        </is>
      </c>
      <c r="E34" s="130" t="inlineStr">
        <is>
          <t>G1 독립 대조·MON 제한 권한/망정책 검토</t>
        </is>
      </c>
      <c r="F34" s="130" t="inlineStr">
        <is>
          <t>P1-K8S-01</t>
        </is>
      </c>
      <c r="G34" s="130" t="inlineStr">
        <is>
          <t>G1 필수 증적 충족</t>
        </is>
      </c>
      <c r="H34" s="184" t="n">
        <v>0.5</v>
      </c>
      <c r="I34" s="184" t="n">
        <v>1</v>
      </c>
      <c r="J34" s="184">
        <f>SUMIFS($H$6:$H$59,$A$6:$A$59,A34,$C$6:$C$59,C34)</f>
        <v/>
      </c>
      <c r="K34" s="130">
        <f>IF(J34&gt;I34,"OVERBOOKED",IF(I34=0,"UNAVAILABLE","OK"))</f>
        <v/>
      </c>
      <c r="L34" s="130" t="inlineStr">
        <is>
          <t>2026-09-17 PM</t>
        </is>
      </c>
    </row>
    <row r="35" ht="60" customHeight="1">
      <c r="A35" s="187" t="n">
        <v>46282</v>
      </c>
      <c r="B35" s="132" t="inlineStr">
        <is>
          <t>PM</t>
        </is>
      </c>
      <c r="C35" s="132" t="inlineStr">
        <is>
          <t>이재환</t>
        </is>
      </c>
      <c r="D35" s="132" t="inlineStr">
        <is>
          <t>부재</t>
        </is>
      </c>
      <c r="E35" s="132" t="inlineStr">
        <is>
          <t>예비군 부재</t>
        </is>
      </c>
      <c r="F35" s="132" t="str"/>
      <c r="G35" s="132" t="inlineStr">
        <is>
          <t>수행 배정 없음</t>
        </is>
      </c>
      <c r="H35" s="188" t="n">
        <v>0</v>
      </c>
      <c r="I35" s="188" t="n">
        <v>0</v>
      </c>
      <c r="J35" s="188">
        <f>SUMIFS($H$6:$H$59,$A$6:$A$59,A35,$C$6:$C$59,C35)</f>
        <v/>
      </c>
      <c r="K35" s="132">
        <f>IF(J35&gt;I35,"OVERBOOKED",IF(I35=0,"UNAVAILABLE","OK"))</f>
        <v/>
      </c>
      <c r="L35" s="132" t="inlineStr">
        <is>
          <t>Unavailable</t>
        </is>
      </c>
    </row>
    <row r="36" ht="60" customHeight="1">
      <c r="A36" s="183" t="n">
        <v>46283</v>
      </c>
      <c r="B36" s="130" t="inlineStr">
        <is>
          <t>AM</t>
        </is>
      </c>
      <c r="C36" s="130" t="inlineStr">
        <is>
          <t>이권욱</t>
        </is>
      </c>
      <c r="D36" s="130" t="inlineStr">
        <is>
          <t>지원</t>
        </is>
      </c>
      <c r="E36" s="130" t="inlineStr">
        <is>
          <t>CI·IF-06B/monitor01 통합 및 증적</t>
        </is>
      </c>
      <c r="F36" s="130" t="inlineStr">
        <is>
          <t>P1-CICD-01</t>
        </is>
      </c>
      <c r="G36" s="130" t="inlineStr">
        <is>
          <t>G1 인수·이재환 복귀</t>
        </is>
      </c>
      <c r="H36" s="184" t="n">
        <v>0.5</v>
      </c>
      <c r="I36" s="184" t="n">
        <v>1</v>
      </c>
      <c r="J36" s="184">
        <f>SUMIFS($H$6:$H$59,$A$6:$A$59,A36,$C$6:$C$59,C36)</f>
        <v/>
      </c>
      <c r="K36" s="130">
        <f>IF(J36&gt;I36,"OVERBOOKED",IF(I36=0,"UNAVAILABLE","OK"))</f>
        <v/>
      </c>
      <c r="L36" s="130" t="inlineStr">
        <is>
          <t>2026-09-18 AM</t>
        </is>
      </c>
    </row>
    <row r="37" ht="60" customHeight="1">
      <c r="A37" s="185" t="n">
        <v>46283</v>
      </c>
      <c r="B37" s="131" t="inlineStr">
        <is>
          <t>AM</t>
        </is>
      </c>
      <c r="C37" s="131" t="inlineStr">
        <is>
          <t>이하영</t>
        </is>
      </c>
      <c r="D37" s="131" t="inlineStr">
        <is>
          <t>지원</t>
        </is>
      </c>
      <c r="E37" s="131" t="inlineStr">
        <is>
          <t>APP/MON 보안·권한·배치 검증</t>
        </is>
      </c>
      <c r="F37" s="131" t="inlineStr">
        <is>
          <t>P1-SEC-01</t>
        </is>
      </c>
      <c r="G37" s="131" t="inlineStr">
        <is>
          <t>G1 인수·이재환 복귀</t>
        </is>
      </c>
      <c r="H37" s="186" t="n">
        <v>0.5</v>
      </c>
      <c r="I37" s="186" t="n">
        <v>1</v>
      </c>
      <c r="J37" s="186">
        <f>SUMIFS($H$6:$H$59,$A$6:$A$59,A37,$C$6:$C$59,C37)</f>
        <v/>
      </c>
      <c r="K37" s="131">
        <f>IF(J37&gt;I37,"OVERBOOKED",IF(I37=0,"UNAVAILABLE","OK"))</f>
        <v/>
      </c>
      <c r="L37" s="131" t="inlineStr">
        <is>
          <t>2026-09-18 AM</t>
        </is>
      </c>
    </row>
    <row r="38" ht="60" customHeight="1">
      <c r="A38" s="183" t="n">
        <v>46283</v>
      </c>
      <c r="B38" s="130" t="inlineStr">
        <is>
          <t>AM</t>
        </is>
      </c>
      <c r="C38" s="130" t="inlineStr">
        <is>
          <t>이재환</t>
        </is>
      </c>
      <c r="D38" s="130" t="inlineStr">
        <is>
          <t>통합</t>
        </is>
      </c>
      <c r="E38" s="130" t="inlineStr">
        <is>
          <t>복귀 인수·APP/DB/MON Runtime 통합</t>
        </is>
      </c>
      <c r="F38" s="130" t="inlineStr">
        <is>
          <t>P1-APP-01</t>
        </is>
      </c>
      <c r="G38" s="130" t="inlineStr">
        <is>
          <t>G1 인수·이재환 복귀</t>
        </is>
      </c>
      <c r="H38" s="184" t="n">
        <v>0.5</v>
      </c>
      <c r="I38" s="184" t="n">
        <v>1</v>
      </c>
      <c r="J38" s="184">
        <f>SUMIFS($H$6:$H$59,$A$6:$A$59,A38,$C$6:$C$59,C38)</f>
        <v/>
      </c>
      <c r="K38" s="130">
        <f>IF(J38&gt;I38,"OVERBOOKED",IF(I38=0,"UNAVAILABLE","OK"))</f>
        <v/>
      </c>
      <c r="L38" s="130" t="inlineStr">
        <is>
          <t>2026-09-18 AM</t>
        </is>
      </c>
    </row>
    <row r="39" ht="60" customHeight="1">
      <c r="A39" s="185" t="n">
        <v>46283</v>
      </c>
      <c r="B39" s="131" t="inlineStr">
        <is>
          <t>PM</t>
        </is>
      </c>
      <c r="C39" s="131" t="inlineStr">
        <is>
          <t>이권욱</t>
        </is>
      </c>
      <c r="D39" s="131" t="inlineStr">
        <is>
          <t>검증</t>
        </is>
      </c>
      <c r="E39" s="131" t="inlineStr">
        <is>
          <t>고정 환경의 IF-06B/Source/Return Path 관찰</t>
        </is>
      </c>
      <c r="F39" s="131" t="inlineStr">
        <is>
          <t>ICR-D-NET-01-01</t>
        </is>
      </c>
      <c r="G39" s="131" t="inlineStr">
        <is>
          <t>APP/DB/MON 정상·시험 순서/환경 동결</t>
        </is>
      </c>
      <c r="H39" s="186" t="n">
        <v>0.5</v>
      </c>
      <c r="I39" s="186" t="n">
        <v>1</v>
      </c>
      <c r="J39" s="186">
        <f>SUMIFS($H$6:$H$59,$A$6:$A$59,A39,$C$6:$C$59,C39)</f>
        <v/>
      </c>
      <c r="K39" s="131">
        <f>IF(J39&gt;I39,"OVERBOOKED",IF(I39=0,"UNAVAILABLE","OK"))</f>
        <v/>
      </c>
      <c r="L39" s="131" t="inlineStr">
        <is>
          <t>2026-09-18 PM</t>
        </is>
      </c>
    </row>
    <row r="40" ht="60" customHeight="1">
      <c r="A40" s="183" t="n">
        <v>46283</v>
      </c>
      <c r="B40" s="130" t="inlineStr">
        <is>
          <t>PM</t>
        </is>
      </c>
      <c r="C40" s="130" t="inlineStr">
        <is>
          <t>이하영</t>
        </is>
      </c>
      <c r="D40" s="130" t="inlineStr">
        <is>
          <t>검증</t>
        </is>
      </c>
      <c r="E40" s="130" t="inlineStr">
        <is>
          <t>합의된 순서로 보안 Positive/Negative 시험</t>
        </is>
      </c>
      <c r="F40" s="130" t="inlineStr">
        <is>
          <t>P1-SEC-01</t>
        </is>
      </c>
      <c r="G40" s="130" t="inlineStr">
        <is>
          <t>APP/DB/MON 정상·시험 순서/환경 동결</t>
        </is>
      </c>
      <c r="H40" s="184" t="n">
        <v>0.5</v>
      </c>
      <c r="I40" s="184" t="n">
        <v>1</v>
      </c>
      <c r="J40" s="184">
        <f>SUMIFS($H$6:$H$59,$A$6:$A$59,A40,$C$6:$C$59,C40)</f>
        <v/>
      </c>
      <c r="K40" s="130">
        <f>IF(J40&gt;I40,"OVERBOOKED",IF(I40=0,"UNAVAILABLE","OK"))</f>
        <v/>
      </c>
      <c r="L40" s="130" t="inlineStr">
        <is>
          <t>2026-09-18 PM</t>
        </is>
      </c>
    </row>
    <row r="41" ht="60" customHeight="1">
      <c r="A41" s="185" t="n">
        <v>46283</v>
      </c>
      <c r="B41" s="131" t="inlineStr">
        <is>
          <t>PM</t>
        </is>
      </c>
      <c r="C41" s="131" t="inlineStr">
        <is>
          <t>이재환</t>
        </is>
      </c>
      <c r="D41" s="131" t="inlineStr">
        <is>
          <t>검증</t>
        </is>
      </c>
      <c r="E41" s="131" t="inlineStr">
        <is>
          <t>Initial E2E·MON 14+2 AC·Alert/Watchdog 검증</t>
        </is>
      </c>
      <c r="F41" s="131" t="inlineStr">
        <is>
          <t>P1-MON-01</t>
        </is>
      </c>
      <c r="G41" s="131" t="inlineStr">
        <is>
          <t>APP/DB/MON 정상·시험 순서/환경 동결</t>
        </is>
      </c>
      <c r="H41" s="186" t="n">
        <v>0.5</v>
      </c>
      <c r="I41" s="186" t="n">
        <v>1</v>
      </c>
      <c r="J41" s="186">
        <f>SUMIFS($H$6:$H$59,$A$6:$A$59,A41,$C$6:$C$59,C41)</f>
        <v/>
      </c>
      <c r="K41" s="131">
        <f>IF(J41&gt;I41,"OVERBOOKED",IF(I41=0,"UNAVAILABLE","OK"))</f>
        <v/>
      </c>
      <c r="L41" s="131" t="inlineStr">
        <is>
          <t>2026-09-18 PM</t>
        </is>
      </c>
    </row>
    <row r="42" ht="60" customHeight="1">
      <c r="A42" s="183" t="n">
        <v>46286</v>
      </c>
      <c r="B42" s="130" t="inlineStr">
        <is>
          <t>AM</t>
        </is>
      </c>
      <c r="C42" s="130" t="inlineStr">
        <is>
          <t>이권욱</t>
        </is>
      </c>
      <c r="D42" s="130" t="inlineStr">
        <is>
          <t>지원</t>
        </is>
      </c>
      <c r="E42" s="130" t="inlineStr">
        <is>
          <t>Drain 창의 LB/CI/통신·증적 관찰</t>
        </is>
      </c>
      <c r="F42" s="130" t="inlineStr">
        <is>
          <t>P1-HA-01</t>
        </is>
      </c>
      <c r="G42" s="130" t="inlineStr">
        <is>
          <t>Initial E2E·보안·분산 배치 정상</t>
        </is>
      </c>
      <c r="H42" s="184" t="n">
        <v>0.5</v>
      </c>
      <c r="I42" s="184" t="n">
        <v>1</v>
      </c>
      <c r="J42" s="184">
        <f>SUMIFS($H$6:$H$59,$A$6:$A$59,A42,$C$6:$C$59,C42)</f>
        <v/>
      </c>
      <c r="K42" s="130">
        <f>IF(J42&gt;I42,"OVERBOOKED",IF(I42=0,"UNAVAILABLE","OK"))</f>
        <v/>
      </c>
      <c r="L42" s="130" t="inlineStr">
        <is>
          <t>2026-09-21 AM</t>
        </is>
      </c>
    </row>
    <row r="43" ht="60" customHeight="1">
      <c r="A43" s="185" t="n">
        <v>46286</v>
      </c>
      <c r="B43" s="131" t="inlineStr">
        <is>
          <t>AM</t>
        </is>
      </c>
      <c r="C43" s="131" t="inlineStr">
        <is>
          <t>이하영</t>
        </is>
      </c>
      <c r="D43" s="131" t="inlineStr">
        <is>
          <t>지원</t>
        </is>
      </c>
      <c r="E43" s="131" t="inlineStr">
        <is>
          <t>Drain 복구·노드/보안 회귀 검증</t>
        </is>
      </c>
      <c r="F43" s="131" t="inlineStr">
        <is>
          <t>P1-SEC-01</t>
        </is>
      </c>
      <c r="G43" s="131" t="inlineStr">
        <is>
          <t>Initial E2E·보안·분산 배치 정상</t>
        </is>
      </c>
      <c r="H43" s="186" t="n">
        <v>0.5</v>
      </c>
      <c r="I43" s="186" t="n">
        <v>1</v>
      </c>
      <c r="J43" s="186">
        <f>SUMIFS($H$6:$H$59,$A$6:$A$59,A43,$C$6:$C$59,C43)</f>
        <v/>
      </c>
      <c r="K43" s="131">
        <f>IF(J43&gt;I43,"OVERBOOKED",IF(I43=0,"UNAVAILABLE","OK"))</f>
        <v/>
      </c>
      <c r="L43" s="131" t="inlineStr">
        <is>
          <t>2026-09-21 AM</t>
        </is>
      </c>
    </row>
    <row r="44" ht="60" customHeight="1">
      <c r="A44" s="183" t="n">
        <v>46286</v>
      </c>
      <c r="B44" s="130" t="inlineStr">
        <is>
          <t>AM</t>
        </is>
      </c>
      <c r="C44" s="130" t="inlineStr">
        <is>
          <t>이재환</t>
        </is>
      </c>
      <c r="D44" s="130" t="inlineStr">
        <is>
          <t>시험</t>
        </is>
      </c>
      <c r="E44" s="130" t="inlineStr">
        <is>
          <t>Worker Drain→복구→E2E, Restore 동시 실행 금지</t>
        </is>
      </c>
      <c r="F44" s="130" t="inlineStr">
        <is>
          <t>P1-HA-01</t>
        </is>
      </c>
      <c r="G44" s="130" t="inlineStr">
        <is>
          <t>Initial E2E·보안·분산 배치 정상</t>
        </is>
      </c>
      <c r="H44" s="184" t="n">
        <v>0.5</v>
      </c>
      <c r="I44" s="184" t="n">
        <v>1</v>
      </c>
      <c r="J44" s="184">
        <f>SUMIFS($H$6:$H$59,$A$6:$A$59,A44,$C$6:$C$59,C44)</f>
        <v/>
      </c>
      <c r="K44" s="130">
        <f>IF(J44&gt;I44,"OVERBOOKED",IF(I44=0,"UNAVAILABLE","OK"))</f>
        <v/>
      </c>
      <c r="L44" s="130" t="inlineStr">
        <is>
          <t>2026-09-21 AM</t>
        </is>
      </c>
    </row>
    <row r="45" ht="60" customHeight="1">
      <c r="A45" s="185" t="n">
        <v>46286</v>
      </c>
      <c r="B45" s="131" t="inlineStr">
        <is>
          <t>PM</t>
        </is>
      </c>
      <c r="C45" s="131" t="inlineStr">
        <is>
          <t>이권욱</t>
        </is>
      </c>
      <c r="D45" s="131" t="inlineStr">
        <is>
          <t>인수</t>
        </is>
      </c>
      <c r="E45" s="131" t="inlineStr">
        <is>
          <t>Restore 증적 대조·ICR 잔여·G2 인수 준비</t>
        </is>
      </c>
      <c r="F45" s="131" t="inlineStr">
        <is>
          <t>ICR-D-NET-01-01</t>
        </is>
      </c>
      <c r="G45" s="131" t="inlineStr">
        <is>
          <t>Drain 복구 확인·격리 Restore 승인 대상</t>
        </is>
      </c>
      <c r="H45" s="186" t="n">
        <v>0.5</v>
      </c>
      <c r="I45" s="186" t="n">
        <v>1</v>
      </c>
      <c r="J45" s="186">
        <f>SUMIFS($H$6:$H$59,$A$6:$A$59,A45,$C$6:$C$59,C45)</f>
        <v/>
      </c>
      <c r="K45" s="131">
        <f>IF(J45&gt;I45,"OVERBOOKED",IF(I45=0,"UNAVAILABLE","OK"))</f>
        <v/>
      </c>
      <c r="L45" s="131" t="inlineStr">
        <is>
          <t>2026-09-21 PM</t>
        </is>
      </c>
    </row>
    <row r="46" ht="60" customHeight="1">
      <c r="A46" s="183" t="n">
        <v>46286</v>
      </c>
      <c r="B46" s="130" t="inlineStr">
        <is>
          <t>PM</t>
        </is>
      </c>
      <c r="C46" s="130" t="inlineStr">
        <is>
          <t>이하영</t>
        </is>
      </c>
      <c r="D46" s="130" t="inlineStr">
        <is>
          <t>인수</t>
        </is>
      </c>
      <c r="E46" s="130" t="inlineStr">
        <is>
          <t>Restore 후 보안 회귀·G2 인수 판단</t>
        </is>
      </c>
      <c r="F46" s="130" t="inlineStr">
        <is>
          <t>MS-G2-01</t>
        </is>
      </c>
      <c r="G46" s="130" t="inlineStr">
        <is>
          <t>Drain 복구 확인·격리 Restore 승인 대상</t>
        </is>
      </c>
      <c r="H46" s="184" t="n">
        <v>0.5</v>
      </c>
      <c r="I46" s="184" t="n">
        <v>1</v>
      </c>
      <c r="J46" s="184">
        <f>SUMIFS($H$6:$H$59,$A$6:$A$59,A46,$C$6:$C$59,C46)</f>
        <v/>
      </c>
      <c r="K46" s="130">
        <f>IF(J46&gt;I46,"OVERBOOKED",IF(I46=0,"UNAVAILABLE","OK"))</f>
        <v/>
      </c>
      <c r="L46" s="130" t="inlineStr">
        <is>
          <t>2026-09-21 PM</t>
        </is>
      </c>
    </row>
    <row r="47" ht="60" customHeight="1">
      <c r="A47" s="185" t="n">
        <v>46286</v>
      </c>
      <c r="B47" s="131" t="inlineStr">
        <is>
          <t>PM</t>
        </is>
      </c>
      <c r="C47" s="131" t="inlineStr">
        <is>
          <t>이재환</t>
        </is>
      </c>
      <c r="D47" s="131" t="inlineStr">
        <is>
          <t>시험</t>
        </is>
      </c>
      <c r="E47" s="131" t="inlineStr">
        <is>
          <t>격리 Restore→최종 E2E·DB 정합성</t>
        </is>
      </c>
      <c r="F47" s="131" t="inlineStr">
        <is>
          <t>P1-DR-01</t>
        </is>
      </c>
      <c r="G47" s="131" t="inlineStr">
        <is>
          <t>Drain 복구 확인·격리 Restore 승인 대상</t>
        </is>
      </c>
      <c r="H47" s="186" t="n">
        <v>0.5</v>
      </c>
      <c r="I47" s="186" t="n">
        <v>1</v>
      </c>
      <c r="J47" s="186">
        <f>SUMIFS($H$6:$H$59,$A$6:$A$59,A47,$C$6:$C$59,C47)</f>
        <v/>
      </c>
      <c r="K47" s="131">
        <f>IF(J47&gt;I47,"OVERBOOKED",IF(I47=0,"UNAVAILABLE","OK"))</f>
        <v/>
      </c>
      <c r="L47" s="131" t="inlineStr">
        <is>
          <t>2026-09-21 PM</t>
        </is>
      </c>
    </row>
    <row r="48" ht="60" customHeight="1">
      <c r="A48" s="183" t="n">
        <v>46287</v>
      </c>
      <c r="B48" s="130" t="inlineStr">
        <is>
          <t>AM</t>
        </is>
      </c>
      <c r="C48" s="130" t="inlineStr">
        <is>
          <t>이권욱</t>
        </is>
      </c>
      <c r="D48" s="130" t="inlineStr">
        <is>
          <t>동결</t>
        </is>
      </c>
      <c r="E48" s="130" t="inlineStr">
        <is>
          <t>Final Evidence/Runbook·Critical Issue·G3</t>
        </is>
      </c>
      <c r="F48" s="130" t="inlineStr">
        <is>
          <t>P1-DOC-01</t>
        </is>
      </c>
      <c r="G48" s="130" t="inlineStr">
        <is>
          <t>Restore 후 E2E·G2 통과</t>
        </is>
      </c>
      <c r="H48" s="184" t="n">
        <v>0.5</v>
      </c>
      <c r="I48" s="184" t="n">
        <v>1</v>
      </c>
      <c r="J48" s="184">
        <f>SUMIFS($H$6:$H$59,$A$6:$A$59,A48,$C$6:$C$59,C48)</f>
        <v/>
      </c>
      <c r="K48" s="130">
        <f>IF(J48&gt;I48,"OVERBOOKED",IF(I48=0,"UNAVAILABLE","OK"))</f>
        <v/>
      </c>
      <c r="L48" s="130" t="inlineStr">
        <is>
          <t>2026-09-22 AM</t>
        </is>
      </c>
    </row>
    <row r="49" ht="60" customHeight="1">
      <c r="A49" s="185" t="n">
        <v>46287</v>
      </c>
      <c r="B49" s="131" t="inlineStr">
        <is>
          <t>AM</t>
        </is>
      </c>
      <c r="C49" s="131" t="inlineStr">
        <is>
          <t>이하영</t>
        </is>
      </c>
      <c r="D49" s="131" t="inlineStr">
        <is>
          <t>검토</t>
        </is>
      </c>
      <c r="E49" s="131" t="inlineStr">
        <is>
          <t>최종 회귀 및 보안·구성 Source 대조</t>
        </is>
      </c>
      <c r="F49" s="131" t="inlineStr">
        <is>
          <t>P1-SEC-01</t>
        </is>
      </c>
      <c r="G49" s="131" t="inlineStr">
        <is>
          <t>Restore 후 E2E·G2 통과</t>
        </is>
      </c>
      <c r="H49" s="186" t="n">
        <v>0.5</v>
      </c>
      <c r="I49" s="186" t="n">
        <v>1</v>
      </c>
      <c r="J49" s="186">
        <f>SUMIFS($H$6:$H$59,$A$6:$A$59,A49,$C$6:$C$59,C49)</f>
        <v/>
      </c>
      <c r="K49" s="131">
        <f>IF(J49&gt;I49,"OVERBOOKED",IF(I49=0,"UNAVAILABLE","OK"))</f>
        <v/>
      </c>
      <c r="L49" s="131" t="inlineStr">
        <is>
          <t>2026-09-22 AM</t>
        </is>
      </c>
    </row>
    <row r="50" ht="60" customHeight="1">
      <c r="A50" s="183" t="n">
        <v>46287</v>
      </c>
      <c r="B50" s="130" t="inlineStr">
        <is>
          <t>AM</t>
        </is>
      </c>
      <c r="C50" s="130" t="inlineStr">
        <is>
          <t>이재환</t>
        </is>
      </c>
      <c r="D50" s="130" t="inlineStr">
        <is>
          <t>시험</t>
        </is>
      </c>
      <c r="E50" s="130" t="inlineStr">
        <is>
          <t>Final E2E/Regression·데모 재현</t>
        </is>
      </c>
      <c r="F50" s="130" t="inlineStr">
        <is>
          <t>P1-E2E-01</t>
        </is>
      </c>
      <c r="G50" s="130" t="inlineStr">
        <is>
          <t>Restore 후 E2E·G2 통과</t>
        </is>
      </c>
      <c r="H50" s="184" t="n">
        <v>0.5</v>
      </c>
      <c r="I50" s="184" t="n">
        <v>1</v>
      </c>
      <c r="J50" s="184">
        <f>SUMIFS($H$6:$H$59,$A$6:$A$59,A50,$C$6:$C$59,C50)</f>
        <v/>
      </c>
      <c r="K50" s="130">
        <f>IF(J50&gt;I50,"OVERBOOKED",IF(I50=0,"UNAVAILABLE","OK"))</f>
        <v/>
      </c>
      <c r="L50" s="130" t="inlineStr">
        <is>
          <t>2026-09-22 AM</t>
        </is>
      </c>
    </row>
    <row r="51" ht="60" customHeight="1">
      <c r="A51" s="185" t="n">
        <v>46287</v>
      </c>
      <c r="B51" s="131" t="inlineStr">
        <is>
          <t>PM</t>
        </is>
      </c>
      <c r="C51" s="131" t="inlineStr">
        <is>
          <t>이권욱</t>
        </is>
      </c>
      <c r="D51" s="131" t="inlineStr">
        <is>
          <t>리뷰</t>
        </is>
      </c>
      <c r="E51" s="131" t="inlineStr">
        <is>
          <t>평일 Review 진행·Action 기록</t>
        </is>
      </c>
      <c r="F51" s="131" t="inlineStr">
        <is>
          <t>MS-P1-REVIEW-01</t>
        </is>
      </c>
      <c r="G51" s="131" t="inlineStr">
        <is>
          <t>G3 통과·참석자/시간 확정</t>
        </is>
      </c>
      <c r="H51" s="186" t="n">
        <v>0.5</v>
      </c>
      <c r="I51" s="186" t="n">
        <v>1</v>
      </c>
      <c r="J51" s="186">
        <f>SUMIFS($H$6:$H$59,$A$6:$A$59,A51,$C$6:$C$59,C51)</f>
        <v/>
      </c>
      <c r="K51" s="131">
        <f>IF(J51&gt;I51,"OVERBOOKED",IF(I51=0,"UNAVAILABLE","OK"))</f>
        <v/>
      </c>
      <c r="L51" s="131" t="inlineStr">
        <is>
          <t>2026-09-22 PM</t>
        </is>
      </c>
    </row>
    <row r="52" ht="60" customHeight="1">
      <c r="A52" s="183" t="n">
        <v>46287</v>
      </c>
      <c r="B52" s="130" t="inlineStr">
        <is>
          <t>PM</t>
        </is>
      </c>
      <c r="C52" s="130" t="inlineStr">
        <is>
          <t>이하영</t>
        </is>
      </c>
      <c r="D52" s="130" t="inlineStr">
        <is>
          <t>리뷰</t>
        </is>
      </c>
      <c r="E52" s="130" t="inlineStr">
        <is>
          <t>Review·보안/플랫폼 질의 대응</t>
        </is>
      </c>
      <c r="F52" s="130" t="inlineStr">
        <is>
          <t>MS-P1-REVIEW-01</t>
        </is>
      </c>
      <c r="G52" s="130" t="inlineStr">
        <is>
          <t>G3 통과·참석자/시간 확정</t>
        </is>
      </c>
      <c r="H52" s="184" t="n">
        <v>0.5</v>
      </c>
      <c r="I52" s="184" t="n">
        <v>1</v>
      </c>
      <c r="J52" s="184">
        <f>SUMIFS($H$6:$H$59,$A$6:$A$59,A52,$C$6:$C$59,C52)</f>
        <v/>
      </c>
      <c r="K52" s="130">
        <f>IF(J52&gt;I52,"OVERBOOKED",IF(I52=0,"UNAVAILABLE","OK"))</f>
        <v/>
      </c>
      <c r="L52" s="130" t="inlineStr">
        <is>
          <t>2026-09-22 PM</t>
        </is>
      </c>
    </row>
    <row r="53" ht="60" customHeight="1">
      <c r="A53" s="185" t="n">
        <v>46287</v>
      </c>
      <c r="B53" s="131" t="inlineStr">
        <is>
          <t>PM</t>
        </is>
      </c>
      <c r="C53" s="131" t="inlineStr">
        <is>
          <t>이재환</t>
        </is>
      </c>
      <c r="D53" s="131" t="inlineStr">
        <is>
          <t>리뷰</t>
        </is>
      </c>
      <c r="E53" s="131" t="inlineStr">
        <is>
          <t>Demo·앱/DB/모니터링 질의 대응</t>
        </is>
      </c>
      <c r="F53" s="131" t="inlineStr">
        <is>
          <t>MS-P1-REVIEW-01</t>
        </is>
      </c>
      <c r="G53" s="131" t="inlineStr">
        <is>
          <t>G3 통과·참석자/시간 확정</t>
        </is>
      </c>
      <c r="H53" s="186" t="n">
        <v>0.5</v>
      </c>
      <c r="I53" s="186" t="n">
        <v>1</v>
      </c>
      <c r="J53" s="186">
        <f>SUMIFS($H$6:$H$59,$A$6:$A$59,A53,$C$6:$C$59,C53)</f>
        <v/>
      </c>
      <c r="K53" s="131">
        <f>IF(J53&gt;I53,"OVERBOOKED",IF(I53=0,"UNAVAILABLE","OK"))</f>
        <v/>
      </c>
      <c r="L53" s="131" t="inlineStr">
        <is>
          <t>2026-09-22 PM</t>
        </is>
      </c>
    </row>
    <row r="54" ht="60" customHeight="1">
      <c r="A54" s="189" t="n">
        <v>46288</v>
      </c>
      <c r="B54" s="133" t="inlineStr">
        <is>
          <t>AM</t>
        </is>
      </c>
      <c r="C54" s="133" t="inlineStr">
        <is>
          <t>이권욱</t>
        </is>
      </c>
      <c r="D54" s="133" t="inlineStr">
        <is>
          <t>버퍼</t>
        </is>
      </c>
      <c r="E54" s="133" t="inlineStr">
        <is>
          <t>Review Action·결함 보완/재시험 예비 창</t>
        </is>
      </c>
      <c r="F54" s="133" t="inlineStr">
        <is>
          <t>P1-REV-01</t>
        </is>
      </c>
      <c r="G54" s="133" t="inlineStr">
        <is>
          <t>Review Action 목록</t>
        </is>
      </c>
      <c r="H54" s="190" t="n">
        <v>0.5</v>
      </c>
      <c r="I54" s="190" t="n">
        <v>1</v>
      </c>
      <c r="J54" s="190">
        <f>SUMIFS($H$6:$H$59,$A$6:$A$59,A54,$C$6:$C$59,C54)</f>
        <v/>
      </c>
      <c r="K54" s="133">
        <f>IF(J54&gt;I54,"OVERBOOKED",IF(I54=0,"UNAVAILABLE","OK"))</f>
        <v/>
      </c>
      <c r="L54" s="133" t="inlineStr">
        <is>
          <t>2026-09-23 AM</t>
        </is>
      </c>
    </row>
    <row r="55" ht="60" customHeight="1">
      <c r="A55" s="189" t="n">
        <v>46288</v>
      </c>
      <c r="B55" s="133" t="inlineStr">
        <is>
          <t>AM</t>
        </is>
      </c>
      <c r="C55" s="133" t="inlineStr">
        <is>
          <t>이하영</t>
        </is>
      </c>
      <c r="D55" s="133" t="inlineStr">
        <is>
          <t>버퍼</t>
        </is>
      </c>
      <c r="E55" s="133" t="inlineStr">
        <is>
          <t>Review Action·결함 보완/재시험 예비 창</t>
        </is>
      </c>
      <c r="F55" s="133" t="inlineStr">
        <is>
          <t>P1-REV-01</t>
        </is>
      </c>
      <c r="G55" s="133" t="inlineStr">
        <is>
          <t>Review Action 목록</t>
        </is>
      </c>
      <c r="H55" s="190" t="n">
        <v>0.5</v>
      </c>
      <c r="I55" s="190" t="n">
        <v>1</v>
      </c>
      <c r="J55" s="190">
        <f>SUMIFS($H$6:$H$59,$A$6:$A$59,A55,$C$6:$C$59,C55)</f>
        <v/>
      </c>
      <c r="K55" s="133">
        <f>IF(J55&gt;I55,"OVERBOOKED",IF(I55=0,"UNAVAILABLE","OK"))</f>
        <v/>
      </c>
      <c r="L55" s="133" t="inlineStr">
        <is>
          <t>2026-09-23 AM</t>
        </is>
      </c>
    </row>
    <row r="56" ht="60" customHeight="1">
      <c r="A56" s="189" t="n">
        <v>46288</v>
      </c>
      <c r="B56" s="133" t="inlineStr">
        <is>
          <t>AM</t>
        </is>
      </c>
      <c r="C56" s="133" t="inlineStr">
        <is>
          <t>이재환</t>
        </is>
      </c>
      <c r="D56" s="133" t="inlineStr">
        <is>
          <t>버퍼</t>
        </is>
      </c>
      <c r="E56" s="133" t="inlineStr">
        <is>
          <t>Review Action·결함 보완/재시험 예비 창</t>
        </is>
      </c>
      <c r="F56" s="133" t="inlineStr">
        <is>
          <t>P1-REV-01</t>
        </is>
      </c>
      <c r="G56" s="133" t="inlineStr">
        <is>
          <t>Review Action 목록</t>
        </is>
      </c>
      <c r="H56" s="190" t="n">
        <v>0.5</v>
      </c>
      <c r="I56" s="190" t="n">
        <v>1</v>
      </c>
      <c r="J56" s="190">
        <f>SUMIFS($H$6:$H$59,$A$6:$A$59,A56,$C$6:$C$59,C56)</f>
        <v/>
      </c>
      <c r="K56" s="133">
        <f>IF(J56&gt;I56,"OVERBOOKED",IF(I56=0,"UNAVAILABLE","OK"))</f>
        <v/>
      </c>
      <c r="L56" s="133" t="inlineStr">
        <is>
          <t>2026-09-23 AM</t>
        </is>
      </c>
    </row>
    <row r="57" ht="60" customHeight="1">
      <c r="A57" s="185" t="n">
        <v>46288</v>
      </c>
      <c r="B57" s="131" t="inlineStr">
        <is>
          <t>PM</t>
        </is>
      </c>
      <c r="C57" s="131" t="inlineStr">
        <is>
          <t>이권욱</t>
        </is>
      </c>
      <c r="D57" s="131" t="inlineStr">
        <is>
          <t>종료</t>
        </is>
      </c>
      <c r="E57" s="131" t="inlineStr">
        <is>
          <t>P0 Sign-off·P1 Owner/Due 이관·Phase 1 Close</t>
        </is>
      </c>
      <c r="F57" s="131" t="inlineStr">
        <is>
          <t>MS-P1-CLOSE-01</t>
        </is>
      </c>
      <c r="G57" s="131" t="inlineStr">
        <is>
          <t>P0 전부 충족·Critical 0·인수 승인</t>
        </is>
      </c>
      <c r="H57" s="186" t="n">
        <v>0.5</v>
      </c>
      <c r="I57" s="186" t="n">
        <v>1</v>
      </c>
      <c r="J57" s="186">
        <f>SUMIFS($H$6:$H$59,$A$6:$A$59,A57,$C$6:$C$59,C57)</f>
        <v/>
      </c>
      <c r="K57" s="131">
        <f>IF(J57&gt;I57,"OVERBOOKED",IF(I57=0,"UNAVAILABLE","OK"))</f>
        <v/>
      </c>
      <c r="L57" s="131" t="inlineStr">
        <is>
          <t>2026-09-23 PM</t>
        </is>
      </c>
    </row>
    <row r="58" ht="60" customHeight="1">
      <c r="A58" s="183" t="n">
        <v>46288</v>
      </c>
      <c r="B58" s="130" t="inlineStr">
        <is>
          <t>PM</t>
        </is>
      </c>
      <c r="C58" s="130" t="inlineStr">
        <is>
          <t>이하영</t>
        </is>
      </c>
      <c r="D58" s="130" t="inlineStr">
        <is>
          <t>종료</t>
        </is>
      </c>
      <c r="E58" s="130" t="inlineStr">
        <is>
          <t>보안/플랫폼 Runbook·Known Issue 인계</t>
        </is>
      </c>
      <c r="F58" s="130" t="inlineStr">
        <is>
          <t>MS-P1-CLOSE-01</t>
        </is>
      </c>
      <c r="G58" s="130" t="inlineStr">
        <is>
          <t>P0 전부 충족·Critical 0·인수 승인</t>
        </is>
      </c>
      <c r="H58" s="184" t="n">
        <v>0.5</v>
      </c>
      <c r="I58" s="184" t="n">
        <v>1</v>
      </c>
      <c r="J58" s="184">
        <f>SUMIFS($H$6:$H$59,$A$6:$A$59,A58,$C$6:$C$59,C58)</f>
        <v/>
      </c>
      <c r="K58" s="130">
        <f>IF(J58&gt;I58,"OVERBOOKED",IF(I58=0,"UNAVAILABLE","OK"))</f>
        <v/>
      </c>
      <c r="L58" s="130" t="inlineStr">
        <is>
          <t>2026-09-23 PM</t>
        </is>
      </c>
    </row>
    <row r="59" ht="60" customHeight="1">
      <c r="A59" s="185" t="n">
        <v>46288</v>
      </c>
      <c r="B59" s="131" t="inlineStr">
        <is>
          <t>PM</t>
        </is>
      </c>
      <c r="C59" s="131" t="inlineStr">
        <is>
          <t>이재환</t>
        </is>
      </c>
      <c r="D59" s="131" t="inlineStr">
        <is>
          <t>종료</t>
        </is>
      </c>
      <c r="E59" s="131" t="inlineStr">
        <is>
          <t>APP/DB/MON Runbook·Known Issue 인계</t>
        </is>
      </c>
      <c r="F59" s="131" t="inlineStr">
        <is>
          <t>MS-P1-CLOSE-01</t>
        </is>
      </c>
      <c r="G59" s="131" t="inlineStr">
        <is>
          <t>P0 전부 충족·Critical 0·인수 승인</t>
        </is>
      </c>
      <c r="H59" s="186" t="n">
        <v>0.5</v>
      </c>
      <c r="I59" s="186" t="n">
        <v>1</v>
      </c>
      <c r="J59" s="186">
        <f>SUMIFS($H$6:$H$59,$A$6:$A$59,A59,$C$6:$C$59,C59)</f>
        <v/>
      </c>
      <c r="K59" s="131">
        <f>IF(J59&gt;I59,"OVERBOOKED",IF(I59=0,"UNAVAILABLE","OK"))</f>
        <v/>
      </c>
      <c r="L59" s="131" t="inlineStr">
        <is>
          <t>2026-09-23 PM</t>
        </is>
      </c>
    </row>
  </sheetData>
  <mergeCells count="3">
    <mergeCell ref="A3:L3"/>
    <mergeCell ref="A2:L2"/>
    <mergeCell ref="A1:L1"/>
  </mergeCells>
  <conditionalFormatting sqref="K6:K59">
    <cfRule type="containsText" priority="1" operator="containsText" dxfId="3" text="OVERBOOKED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2026-09-22T16:30:56Z</dcterms:created>
  <dcterms:modified xmlns:dcterms="http://purl.org/dc/terms/" xmlns:xsi="http://www.w3.org/2001/XMLSchema-instance" xsi:type="dcterms:W3CDTF">2026-09-22T16:30:57Z</dcterms:modified>
</cp:coreProperties>
</file>