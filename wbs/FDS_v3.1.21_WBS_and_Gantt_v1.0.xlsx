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bc1bdc0cf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c4904ef6c724dd7"/>
    <x:sheet xmlns:r="http://schemas.openxmlformats.org/officeDocument/2006/relationships" name="WBS" sheetId="2" r:id="Rdba9609e192e4f12"/>
    <x:sheet xmlns:r="http://schemas.openxmlformats.org/officeDocument/2006/relationships" name="Phase 1 Gantt" sheetId="3" r:id="R9f8c687080eb4e9e"/>
    <x:sheet xmlns:r="http://schemas.openxmlformats.org/officeDocument/2006/relationships" name="Phase 2 Gantt" sheetId="4" r:id="R73e6ec60812a48ef"/>
    <x:sheet xmlns:r="http://schemas.openxmlformats.org/officeDocument/2006/relationships" name="Milestones &amp; Decisions" sheetId="5" r:id="R0b71209e74b54d2f"/>
    <x:sheet xmlns:r="http://schemas.openxmlformats.org/officeDocument/2006/relationships" name="Risks &amp; Assumptions" sheetId="6" r:id="Rfd7ae984f4844dc5"/>
    <x:sheet xmlns:r="http://schemas.openxmlformats.org/officeDocument/2006/relationships" name="Sources &amp; Change Log" sheetId="7" r:id="R131edd1bd6ad40be"/>
    <x:sheet xmlns:r="http://schemas.openxmlformats.org/officeDocument/2006/relationships" name="Team Calendar" sheetId="8" r:id="R11f6dba4dcba46ae"/>
    <x:sheet xmlns:r="http://schemas.openxmlformats.org/officeDocument/2006/relationships" name="Fast Track Plan" sheetId="9" r:id="Re1c71349dfb84326"/>
    <x:sheet xmlns:r="http://schemas.openxmlformats.org/officeDocument/2006/relationships" name="Test Strategy" sheetId="10" r:id="Rcf8050671aa4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m/d"/>
    <x:numFmt numFmtId="166" formatCode=";;;"/>
    <x:numFmt numFmtId="167" formatCode="mm-dd"/>
    <x:numFmt numFmtId="168" formatCode="0.0"/>
    <x:numFmt numFmtId="200" formatCode="@"/>
  </x:numFmts>
  <x:fonts count="31">
    <x:font>
      <x:sz val="11"/>
      <x:name val="Carlito"/>
    </x:font>
    <x:font>
      <x:b/>
      <x:sz val="20"/>
      <x:color rgb="FFFFFFFF"/>
      <x:name val="NanumGothic"/>
    </x:font>
    <x:font>
      <x:b/>
      <x:sz val="10"/>
      <x:color rgb="FFFFFFFF"/>
      <x:name val="NanumGothic"/>
    </x:font>
    <x:font>
      <x:sz val="9"/>
      <x:color rgb="FF16283A"/>
      <x:name val="NanumGothic"/>
    </x:font>
    <x:font>
      <x:b/>
      <x:sz val="9"/>
      <x:color rgb="FF16283A"/>
      <x:name val="NanumGothic"/>
    </x:font>
    <x:font>
      <x:b/>
      <x:sz val="11"/>
      <x:color rgb="FFFFFFFF"/>
      <x:name val="NanumGothic"/>
    </x:font>
    <x:font>
      <x:i/>
      <x:sz val="9"/>
      <x:color rgb="FF5E7184"/>
      <x:name val="NanumGothic"/>
    </x:font>
    <x:font>
      <x:b/>
      <x:sz val="16"/>
      <x:color rgb="FFFFFFFF"/>
      <x:name val="Carlito"/>
    </x:font>
    <x:font>
      <x:i/>
      <x:sz val="9"/>
      <x:color rgb="FF16283A"/>
      <x:name val="Carlito"/>
    </x:font>
    <x:font>
      <x:b/>
      <x:sz val="9"/>
      <x:color rgb="FFFFFFFF"/>
      <x:name val="Carlito"/>
    </x:font>
    <x:font>
      <x:sz val="9"/>
      <x:color rgb="FF16283A"/>
      <x:name val="Carlito"/>
    </x:font>
    <x:font>
      <x:b/>
      <x:sz val="9"/>
      <x:color rgb="FF16283A"/>
      <x:name val="Carlito"/>
    </x:font>
    <x:font>
      <x:b/>
      <x:sz val="9"/>
      <x:color rgb="FF7F6000"/>
      <x:name val="Carlito"/>
    </x:font>
    <x:font>
      <x:b/>
      <x:sz val="9"/>
      <x:color rgb="FF7F6000"/>
      <x:name val="NanumGothic"/>
    </x:font>
    <x:font>
      <x:b/>
      <x:sz val="9"/>
      <x:color rgb="FF7A4E00"/>
      <x:name val="NanumGothic"/>
    </x:font>
    <x:font>
      <x:sz val="11"/>
      <x:color rgb="FF9FB4C5"/>
      <x:name val="Carlito"/>
    </x:font>
    <x:font>
      <x:b/>
      <x:sz val="17"/>
      <x:color rgb="FFFFFFFF"/>
      <x:name val="Noto Sans CJK KR"/>
    </x:font>
    <x:font>
      <x:sz val="9"/>
      <x:color rgb="FF183C5A"/>
      <x:name val="Calibri"/>
    </x:font>
    <x:font>
      <x:b/>
      <x:sz val="9"/>
      <x:color rgb="FF183C5A"/>
      <x:name val="Calibri"/>
    </x:font>
    <x:font>
      <x:b/>
      <x:sz val="9"/>
      <x:color rgb="FF566577"/>
      <x:name val="Noto Sans CJK KR"/>
    </x:font>
    <x:font>
      <x:b/>
      <x:sz val="16"/>
      <x:color rgb="FFFFFFFF"/>
      <x:name val="Noto Sans CJK KR"/>
    </x:font>
    <x:font>
      <x:b/>
      <x:sz val="10"/>
      <x:color rgb="FFFFFFFF"/>
      <x:name val="Noto Sans CJK KR"/>
    </x:font>
    <x:font>
      <x:sz val="9"/>
      <x:color rgb="FF183C5A"/>
      <x:name val="Noto Sans CJK KR"/>
    </x:font>
    <x:font>
      <x:sz val="10"/>
      <x:color rgb="FF25486C"/>
      <x:name val="Arial"/>
    </x:font>
    <x:font>
      <x:b/>
      <x:sz val="9"/>
      <x:color rgb="FFFFFFFF"/>
      <x:name val="Noto Sans CJK KR"/>
    </x:font>
    <x:font>
      <x:b/>
      <x:sz val="11"/>
      <x:color rgb="FFFFFFFF"/>
      <x:name val="Carlito"/>
    </x:font>
    <x:font>
      <x:b/>
      <x:sz val="15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73B60"/>
      <x:name val="Arial"/>
    </x:font>
    <x:font>
      <x:b/>
      <x:sz val="12"/>
      <x:color rgb="FF173B60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  <x:fill>
      <x:patternFill patternType="solid">
        <x:fgColor rgb="FFEEF7FB"/>
      </x:patternFill>
    </x:fill>
    <x:fill>
      <x:patternFill patternType="solid">
        <x:fgColor rgb="FFF3F6F8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F4B740"/>
      </x:patternFill>
    </x:fill>
    <x:fill>
      <x:patternFill patternType="solid">
        <x:fgColor rgb="FFFFF3CD"/>
      </x:patternFill>
    </x:fill>
    <x:fill>
      <x:patternFill patternType="solid">
        <x:fgColor rgb="FFF4C145"/>
      </x:patternFill>
    </x:fill>
    <x:fill>
      <x:patternFill patternType="solid">
        <x:fgColor rgb="FF9FB4C5"/>
      </x:patternFill>
    </x:fill>
    <x:fill>
      <x:patternFill patternType="solid">
        <x:fgColor rgb="FF183C5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  <x:fill>
      <x:patternFill patternType="solid">
        <x:fgColor rgb="FF183C5A"/>
      </x:patternFill>
    </x:fill>
    <x:fill>
      <x:patternFill patternType="solid">
        <x:fgColor rgb="FFF1F6FA"/>
      </x:patternFill>
    </x:fill>
    <x:fill>
      <x:patternFill patternType="solid">
        <x:fgColor rgb="FFECEFF2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73B60"/>
      </x:patternFill>
    </x:fill>
  </x:fills>
  <x:borders count="5">
    <x:border/>
    <x:border>
      <x:left style="thin">
        <x:color rgb="FFCCD8E2"/>
      </x:left>
      <x:right style="thin">
        <x:color rgb="FFCCD8E2"/>
      </x:right>
      <x:top style="thin">
        <x:color rgb="FFCCD8E2"/>
      </x:top>
      <x:bottom style="thin">
        <x:color rgb="FFCCD8E2"/>
      </x:bottom>
    </x:border>
    <x:border>
      <x:left style="medium">
        <x:color rgb="FF3D8DFF"/>
      </x:left>
      <x:right style="medium">
        <x:color rgb="FF3D8DFF"/>
      </x:right>
      <x:top style="thin">
        <x:color rgb="FFCCD8E2"/>
      </x:top>
      <x:bottom style="thin">
        <x:color rgb="FFCCD8E2"/>
      </x:bottom>
    </x:border>
    <x:border>
      <x:left style="thin">
        <x:color rgb="FFC7D8E8"/>
      </x:left>
      <x:right style="thin">
        <x:color rgb="FFC7D8E8"/>
      </x:right>
      <x:top style="thin">
        <x:color rgb="FFC7D8E8"/>
      </x:top>
      <x:bottom style="thin">
        <x:color rgb="FFC7D8E8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top" wrapText="1"/>
    </x:xf>
    <x:xf numFmtId="0" fontId="1" fillId="3" borderId="0" xfId="0" applyAlignment="1">
      <x:alignment vertical="center"/>
    </x:xf>
    <x:xf numFmtId="164" fontId="0" fillId="0" borderId="0" xfId="0"/>
    <x:xf numFmtId="0" fontId="0" fillId="4" borderId="0" xfId="0"/>
    <x:xf numFmtId="0" fontId="4" fillId="4" borderId="0" xfId="0"/>
    <x:xf numFmtId="164" fontId="4" fillId="4" borderId="0" xfId="0"/>
    <x:xf numFmtId="164" fontId="3" fillId="0" borderId="1" xfId="0" applyAlignment="1">
      <x:alignment vertical="top" wrapText="1"/>
    </x:xf>
    <x:xf numFmtId="0" fontId="5" fillId="3" borderId="0" xfId="0"/>
    <x:xf numFmtId="0" fontId="6" fillId="4" borderId="0" xfId="0"/>
    <x:xf numFmtId="165" fontId="2" fillId="3" borderId="1" xfId="0" applyAlignment="1">
      <x:alignment horizontal="center" vertical="center" wrapText="1"/>
    </x:xf>
    <x:xf numFmtId="166" fontId="3" fillId="0" borderId="1" xfId="0" applyAlignment="1">
      <x:alignment vertical="top" wrapText="1"/>
    </x:xf>
    <x:xf numFmtId="165" fontId="2" fillId="5" borderId="1" xfId="0" applyAlignment="1">
      <x:alignment horizontal="center" vertical="center" wrapText="1"/>
    </x:xf>
    <x:xf numFmtId="166" fontId="3" fillId="5" borderId="1" xfId="0" applyAlignment="1">
      <x:alignment vertical="top" wrapText="1"/>
    </x:xf>
    <x:xf numFmtId="165" fontId="2" fillId="3" borderId="2" xfId="0" applyAlignment="1">
      <x:alignment horizontal="center" vertical="center" wrapText="1"/>
    </x:xf>
    <x:xf numFmtId="166" fontId="3" fillId="0" borderId="2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vertical="center"/>
    </x:xf>
    <x:xf numFmtId="0" fontId="0" fillId="7" borderId="0" xfId="0"/>
    <x:xf numFmtId="0" fontId="8" fillId="7" borderId="0" xfId="0"/>
    <x:xf numFmtId="0" fontId="8" fillId="7" borderId="0" xfId="0" applyAlignment="1">
      <x:alignment wrapText="1"/>
    </x:xf>
    <x:xf numFmtId="0" fontId="0" fillId="8" borderId="0" xfId="0"/>
    <x:xf numFmtId="0" fontId="9" fillId="8" borderId="0" xfId="0"/>
    <x:xf numFmtId="0" fontId="9" fillId="8" borderId="0" xfId="0"/>
    <x:xf numFmtId="0" fontId="9" fillId="8" borderId="0" xfId="0" applyAlignment="1">
      <x:alignment wrapText="1"/>
    </x:xf>
    <x:xf numFmtId="0" fontId="9" fillId="8" borderId="0" xfId="0" applyAlignment="1">
      <x:alignment horizontal="center" wrapText="1"/>
    </x:xf>
    <x:xf numFmtId="0" fontId="9" fillId="8" borderId="0" xfId="0" applyAlignment="1">
      <x:alignment horizontal="center" vertical="center" wrapText="1"/>
    </x:xf>
    <x:xf numFmtId="0" fontId="0" fillId="9" borderId="0" xfId="0"/>
    <x:xf numFmtId="0" fontId="10" fillId="9" borderId="0" xfId="0"/>
    <x:xf numFmtId="0" fontId="10" fillId="9" borderId="0" xfId="0"/>
    <x:xf numFmtId="0" fontId="10" fillId="9" borderId="0" xfId="0" applyAlignment="1">
      <x:alignment wrapText="1"/>
    </x:xf>
    <x:xf numFmtId="0" fontId="10" fillId="9" borderId="0" xfId="0" applyAlignment="1">
      <x:alignment vertical="center" wrapText="1"/>
    </x:xf>
    <x:xf numFmtId="0" fontId="10" fillId="10" borderId="0" xfId="0" applyAlignment="1">
      <x:alignment vertical="center" wrapText="1"/>
    </x:xf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0" fontId="10" fillId="0" borderId="0" xfId="0"/>
    <x:xf numFmtId="0" fontId="10" fillId="0" borderId="0" xfId="0"/>
    <x:xf numFmtId="0" fontId="10" fillId="0" borderId="0" xfId="0" applyAlignment="1">
      <x:alignment wrapText="1"/>
    </x:xf>
    <x:xf numFmtId="0" fontId="10" fillId="0" borderId="0" xfId="0" applyAlignment="1">
      <x:alignment vertical="center" wrapText="1"/>
    </x:xf>
    <x:xf numFmtId="0" fontId="11" fillId="7" borderId="0" xfId="0"/>
    <x:xf numFmtId="0" fontId="11" fillId="7" borderId="0" xfId="0"/>
    <x:xf numFmtId="0" fontId="11" fillId="7" borderId="0" xfId="0" applyAlignment="1">
      <x:alignment wrapText="1"/>
    </x:xf>
    <x:xf numFmtId="164" fontId="11" fillId="7" borderId="0" xfId="0" applyAlignment="1">
      <x:alignment wrapText="1"/>
    </x:xf>
    <x:xf numFmtId="0" fontId="0" fillId="10" borderId="0" xfId="0"/>
    <x:xf numFmtId="0" fontId="10" fillId="10" borderId="0" xfId="0"/>
    <x:xf numFmtId="0" fontId="10" fillId="10" borderId="0" xfId="0"/>
    <x:xf numFmtId="0" fontId="10" fillId="10" borderId="0" xfId="0" applyAlignment="1">
      <x:alignment wrapText="1"/>
    </x:xf>
    <x:xf numFmtId="0" fontId="12" fillId="10" borderId="0" xfId="0" applyAlignment="1">
      <x:alignment vertical="center" wrapText="1"/>
    </x:xf>
    <x:xf numFmtId="1" fontId="3" fillId="0" borderId="1" xfId="0" applyAlignment="1">
      <x:alignment vertical="top" wrapText="1"/>
    </x:xf>
    <x:xf numFmtId="166" fontId="3" fillId="11" borderId="1" xfId="0" applyAlignment="1">
      <x:alignment vertical="top" wrapText="1"/>
    </x:xf>
    <x:xf numFmtId="166" fontId="13" fillId="11" borderId="1" xfId="0" applyAlignment="1">
      <x:alignment vertical="top" wrapText="1"/>
    </x:xf>
    <x:xf numFmtId="49" fontId="13" fillId="11" borderId="1" xfId="0" applyAlignment="1">
      <x:alignment vertical="top" wrapText="1"/>
    </x:xf>
    <x:xf numFmtId="49" fontId="13" fillId="11" borderId="1" xfId="0" applyAlignment="1">
      <x:alignment horizontal="center" vertical="top" wrapText="1"/>
    </x:xf>
    <x:xf numFmtId="49" fontId="13" fillId="11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12" borderId="0" xfId="0"/>
    <x:xf numFmtId="164" fontId="0" fillId="12" borderId="0" xfId="0"/>
    <x:xf numFmtId="0" fontId="0" fillId="12" borderId="0" xfId="0" applyAlignment="1">
      <x:alignment wrapText="1"/>
    </x:xf>
    <x:xf numFmtId="164" fontId="0" fillId="12" borderId="0" xfId="0" applyAlignment="1">
      <x:alignment wrapText="1"/>
    </x:xf>
    <x:xf numFmtId="166" fontId="3" fillId="13" borderId="1" xfId="0" applyAlignment="1">
      <x:alignment vertical="top" wrapText="1"/>
    </x:xf>
    <x:xf numFmtId="166" fontId="14" fillId="13" borderId="1" xfId="0" applyAlignment="1">
      <x:alignment vertical="top" wrapText="1"/>
    </x:xf>
    <x:xf numFmtId="166" fontId="14" fillId="13" borderId="1" xfId="0" applyAlignment="1">
      <x:alignment horizontal="center" vertical="top" wrapText="1"/>
    </x:xf>
    <x:xf numFmtId="0" fontId="0" fillId="14" borderId="0" xfId="0"/>
    <x:xf numFmtId="0" fontId="15" fillId="14" borderId="0" xfId="0"/>
    <x:xf numFmtId="0" fontId="1" fillId="15" borderId="0" xfId="0" applyAlignment="1">
      <x:alignment vertical="center"/>
    </x:xf>
    <x:xf numFmtId="0" fontId="16" fillId="15" borderId="0" xfId="0" applyAlignment="1">
      <x:alignment vertical="center"/>
    </x:xf>
    <x:xf numFmtId="0" fontId="7" fillId="15" borderId="0" xfId="0" applyAlignment="1">
      <x:alignment vertical="center"/>
    </x:xf>
    <x:xf numFmtId="0" fontId="0" fillId="0" borderId="0" xfId="0" applyAlignment="1">
      <x:alignment vertical="center" wrapText="1"/>
    </x:xf>
    <x:xf numFmtId="0" fontId="17" fillId="0" borderId="0" xfId="0" applyAlignment="1">
      <x:alignment vertical="center" wrapText="1"/>
    </x:xf>
    <x:xf numFmtId="0" fontId="17" fillId="0" borderId="3" xfId="0" applyAlignment="1">
      <x:alignment vertical="center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7" fontId="3" fillId="0" borderId="1" xfId="0" applyAlignment="1">
      <x:alignment vertical="top" wrapText="1"/>
    </x:xf>
    <x:xf numFmtId="167" fontId="0" fillId="0" borderId="0" xfId="0"/>
    <x:xf numFmtId="166" fontId="0" fillId="0" borderId="0" xfId="0"/>
    <x:xf numFmtId="166" fontId="15" fillId="14" borderId="0" xfId="0"/>
    <x:xf numFmtId="164" fontId="0" fillId="0" borderId="0" xfId="0" applyAlignment="1">
      <x:alignment vertical="center" wrapText="1"/>
    </x:xf>
    <x:xf numFmtId="164" fontId="17" fillId="0" borderId="0" xfId="0" applyAlignment="1">
      <x:alignment vertical="center" wrapText="1"/>
    </x:xf>
    <x:xf numFmtId="164" fontId="9" fillId="3" borderId="0" xfId="0" applyAlignment="1">
      <x:alignment horizontal="center" vertical="center" wrapText="1"/>
    </x:xf>
    <x:xf numFmtId="0" fontId="9" fillId="3" borderId="0" xfId="0" applyAlignment="1">
      <x:alignment horizontal="center" vertical="center" wrapText="1"/>
    </x:xf>
    <x:xf numFmtId="0" fontId="9" fillId="16" borderId="0" xfId="0" applyAlignment="1">
      <x:alignment horizontal="center" vertical="center" wrapText="1"/>
    </x:xf>
    <x:xf numFmtId="164" fontId="9" fillId="16" borderId="0" xfId="0" applyAlignment="1">
      <x:alignment horizontal="center" vertical="center" wrapText="1"/>
    </x:xf>
    <x:xf numFmtId="0" fontId="0" fillId="16" borderId="0" xfId="0" applyAlignment="1">
      <x:alignment wrapText="1"/>
    </x:xf>
    <x:xf numFmtId="0" fontId="18" fillId="16" borderId="0" xfId="0" applyAlignment="1">
      <x:alignment horizontal="center" vertical="center" wrapText="1"/>
    </x:xf>
    <x:xf numFmtId="164" fontId="18" fillId="16" borderId="0" xfId="0" applyAlignment="1">
      <x:alignment horizontal="center" vertical="center" wrapText="1"/>
    </x:xf>
    <x:xf numFmtId="0" fontId="17" fillId="16" borderId="0" xfId="0" applyAlignment="1">
      <x:alignment wrapText="1"/>
    </x:xf>
    <x:xf numFmtId="166" fontId="3" fillId="17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49" fontId="13" fillId="17" borderId="1" xfId="0" applyAlignment="1">
      <x:alignment horizontal="center" vertical="center" wrapText="1"/>
    </x:xf>
    <x:xf numFmtId="166" fontId="0" fillId="17" borderId="0" xfId="0"/>
    <x:xf numFmtId="166" fontId="15" fillId="17" borderId="0" xfId="0"/>
    <x:xf numFmtId="166" fontId="13" fillId="17" borderId="1" xfId="0" applyAlignment="1">
      <x:alignment horizontal="center" vertical="center" wrapText="1"/>
    </x:xf>
    <x:xf numFmtId="166" fontId="3" fillId="18" borderId="1" xfId="0" applyAlignment="1">
      <x:alignment vertical="top" wrapText="1"/>
    </x:xf>
    <x:xf numFmtId="166" fontId="0" fillId="18" borderId="0" xfId="0"/>
    <x:xf numFmtId="165" fontId="19" fillId="5" borderId="1" xfId="0" applyAlignment="1">
      <x:alignment horizontal="center" vertical="center" wrapText="1"/>
    </x:xf>
    <x:xf numFmtId="0" fontId="0" fillId="19" borderId="0" xfId="0"/>
    <x:xf numFmtId="0" fontId="20" fillId="19" borderId="0" xfId="0"/>
    <x:xf numFmtId="0" fontId="21" fillId="19" borderId="0" xfId="0"/>
    <x:xf numFmtId="0" fontId="0" fillId="17" borderId="0" xfId="0"/>
    <x:xf numFmtId="0" fontId="0" fillId="20" borderId="0" xfId="0"/>
    <x:xf numFmtId="0" fontId="0" fillId="21" borderId="0" xfId="0"/>
    <x:xf numFmtId="0" fontId="0" fillId="22" borderId="0" xfId="0"/>
    <x:xf numFmtId="0" fontId="22" fillId="17" borderId="0" xfId="0"/>
    <x:xf numFmtId="0" fontId="22" fillId="20" borderId="0" xfId="0"/>
    <x:xf numFmtId="0" fontId="22" fillId="21" borderId="0" xfId="0"/>
    <x:xf numFmtId="0" fontId="22" fillId="22" borderId="0" xfId="0"/>
    <x:xf numFmtId="0" fontId="22" fillId="17" borderId="0" xfId="0" applyAlignment="1">
      <x:alignment wrapText="1"/>
    </x:xf>
    <x:xf numFmtId="0" fontId="22" fillId="20" borderId="0" xfId="0" applyAlignment="1">
      <x:alignment wrapText="1"/>
    </x:xf>
    <x:xf numFmtId="0" fontId="22" fillId="21" borderId="0" xfId="0" applyAlignment="1">
      <x:alignment wrapText="1"/>
    </x:xf>
    <x:xf numFmtId="0" fontId="22" fillId="22" borderId="0" xfId="0" applyAlignment="1">
      <x:alignment wrapText="1"/>
    </x:xf>
    <x:xf numFmtId="0" fontId="22" fillId="17" borderId="0" xfId="0" applyAlignment="1">
      <x:alignment vertical="center" wrapText="1"/>
    </x:xf>
    <x:xf numFmtId="0" fontId="22" fillId="20" borderId="0" xfId="0" applyAlignment="1">
      <x:alignment vertical="center" wrapText="1"/>
    </x:xf>
    <x:xf numFmtId="0" fontId="22" fillId="21" borderId="0" xfId="0" applyAlignment="1">
      <x:alignment vertical="center" wrapText="1"/>
    </x:xf>
    <x:xf numFmtId="0" fontId="22" fillId="22" borderId="0" xfId="0" applyAlignment="1">
      <x:alignment vertical="center" wrapText="1"/>
    </x:xf>
    <x:xf numFmtId="0" fontId="21" fillId="19" borderId="3" xfId="0"/>
    <x:xf numFmtId="0" fontId="22" fillId="17" borderId="3" xfId="0" applyAlignment="1">
      <x:alignment vertical="center" wrapText="1"/>
    </x:xf>
    <x:xf numFmtId="0" fontId="22" fillId="20" borderId="3" xfId="0" applyAlignment="1">
      <x:alignment vertical="center" wrapText="1"/>
    </x:xf>
    <x:xf numFmtId="0" fontId="22" fillId="21" borderId="3" xfId="0" applyAlignment="1">
      <x:alignment vertical="center" wrapText="1"/>
    </x:xf>
    <x:xf numFmtId="0" fontId="22" fillId="22" borderId="3" xfId="0" applyAlignment="1">
      <x:alignment vertical="center" wrapText="1"/>
    </x:xf>
    <x:xf numFmtId="164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0" fontId="23" fillId="0" borderId="0" xfId="0"/>
    <x:xf numFmtId="164" fontId="23" fillId="0" borderId="0" xfId="0"/>
    <x:xf numFmtId="0" fontId="23" fillId="0" borderId="0" xfId="0" applyAlignment="1">
      <x:alignment wrapText="1"/>
    </x:xf>
    <x:xf numFmtId="164" fontId="23" fillId="0" borderId="0" xfId="0" applyAlignment="1">
      <x:alignment wrapText="1"/>
    </x:xf>
    <x:xf numFmtId="0" fontId="23" fillId="0" borderId="0" xfId="0" applyAlignment="1">
      <x:alignment vertical="center" wrapText="1"/>
    </x:xf>
    <x:xf numFmtId="164" fontId="23" fillId="0" borderId="0" xfId="0" applyAlignment="1">
      <x:alignment vertical="center" wrapText="1"/>
    </x:xf>
    <x:xf numFmtId="0" fontId="23" fillId="0" borderId="4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0" fontId="23" fillId="0" borderId="0" xfId="0" applyAlignment="1">
      <x:alignment vertical="center"/>
    </x:xf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3" fillId="0" borderId="1" xfId="0" applyAlignment="1">
      <x:alignment vertical="top" wrapText="1"/>
    </x:xf>
    <x:xf numFmtId="164" fontId="4" fillId="4" borderId="0" xfId="0"/>
    <x:xf numFmtId="1" fontId="3" fillId="0" borderId="1" xfId="0" applyAlignment="1">
      <x:alignment vertical="top" wrapText="1"/>
    </x:xf>
    <x:xf numFmtId="164" fontId="17" fillId="0" borderId="3" xfId="0" applyAlignment="1">
      <x:alignment vertical="center" wrapText="1"/>
    </x:xf>
    <x:xf numFmtId="1" fontId="17" fillId="0" borderId="3" xfId="0" applyAlignment="1">
      <x:alignment vertical="center" wrapText="1"/>
    </x:xf>
    <x:xf numFmtId="164" fontId="23" fillId="0" borderId="4" xfId="0" applyAlignment="1">
      <x:alignment vertical="center" wrapText="1"/>
    </x:xf>
    <x:xf numFmtId="1" fontId="23" fillId="0" borderId="4" xfId="0" applyAlignment="1">
      <x:alignment vertical="center" wrapText="1"/>
    </x:xf>
    <x:xf numFmtId="165" fontId="2" fillId="3" borderId="1" xfId="0" applyAlignment="1">
      <x:alignment horizontal="center" vertical="center" wrapText="1"/>
    </x:xf>
    <x:xf numFmtId="165" fontId="19" fillId="5" borderId="1" xfId="0" applyAlignment="1">
      <x:alignment horizontal="center" vertical="center" wrapText="1"/>
    </x:xf>
    <x:xf numFmtId="165" fontId="2" fillId="3" borderId="2" xfId="0" applyAlignment="1">
      <x:alignment horizontal="center" vertical="center" wrapText="1"/>
    </x:xf>
    <x:xf numFmtId="167" fontId="3" fillId="0" borderId="1" xfId="0" applyAlignment="1">
      <x:alignment vertical="top" wrapText="1"/>
    </x:xf>
    <x:xf numFmtId="166" fontId="3" fillId="17" borderId="1" xfId="0" applyAlignment="1">
      <x:alignment vertical="top" wrapText="1"/>
    </x:xf>
    <x:xf numFmtId="166" fontId="3" fillId="18" borderId="1" xfId="0" applyAlignment="1">
      <x:alignment vertical="top" wrapText="1"/>
    </x:xf>
    <x:xf numFmtId="166" fontId="3" fillId="17" borderId="2" xfId="0" applyAlignment="1">
      <x:alignment vertical="top" wrapText="1"/>
    </x:xf>
    <x:xf numFmtId="166" fontId="14" fillId="17" borderId="1" xfId="0" applyAlignment="1">
      <x:alignment horizontal="center" vertical="top" wrapText="1"/>
    </x:xf>
    <x:xf numFmtId="166" fontId="13" fillId="17" borderId="1" xfId="0" applyAlignment="1">
      <x:alignment horizontal="center" vertical="center" wrapText="1"/>
    </x:xf>
    <x:xf numFmtId="167" fontId="0" fillId="0" borderId="0" xfId="0"/>
    <x:xf numFmtId="166" fontId="0" fillId="17" borderId="0" xfId="0"/>
    <x:xf numFmtId="166" fontId="0" fillId="18" borderId="0" xfId="0"/>
    <x:xf numFmtId="166" fontId="15" fillId="17" borderId="0" xfId="0"/>
    <x:xf numFmtId="167" fontId="23" fillId="0" borderId="0" xfId="0" applyAlignment="1">
      <x:alignment vertical="center" wrapText="1"/>
    </x:xf>
    <x:xf numFmtId="166" fontId="23" fillId="0" borderId="0" xfId="0" applyAlignment="1">
      <x:alignment vertical="center"/>
    </x:xf>
    <x:xf numFmtId="164" fontId="0" fillId="0" borderId="0" xfId="0" applyAlignment="1">
      <x:alignment wrapText="1"/>
    </x:xf>
    <x:xf numFmtId="164" fontId="0" fillId="0" borderId="0" xfId="0"/>
    <x:xf numFmtId="164" fontId="10" fillId="9" borderId="0" xfId="0" applyAlignment="1">
      <x:alignment vertical="center" wrapText="1"/>
    </x:xf>
    <x:xf numFmtId="164" fontId="10" fillId="10" borderId="0" xfId="0" applyAlignment="1">
      <x:alignment vertical="center" wrapText="1"/>
    </x:xf>
    <x:xf numFmtId="164" fontId="0" fillId="12" borderId="0" xfId="0" applyAlignment="1">
      <x:alignment wrapText="1"/>
    </x:xf>
    <x:xf numFmtId="164" fontId="18" fillId="16" borderId="0" xfId="0" applyAlignment="1">
      <x:alignment horizontal="center" vertical="center" wrapText="1"/>
    </x:xf>
    <x:xf numFmtId="164" fontId="11" fillId="7" borderId="0" xfId="0" applyAlignment="1">
      <x:alignment wrapText="1"/>
    </x:xf>
    <x:xf numFmtId="164" fontId="22" fillId="17" borderId="3" xfId="0" applyAlignment="1">
      <x:alignment vertical="center" wrapText="1"/>
    </x:xf>
    <x:xf numFmtId="168" fontId="22" fillId="17" borderId="3" xfId="0" applyAlignment="1">
      <x:alignment vertical="center" wrapText="1"/>
    </x:xf>
    <x:xf numFmtId="164" fontId="22" fillId="20" borderId="3" xfId="0" applyAlignment="1">
      <x:alignment vertical="center" wrapText="1"/>
    </x:xf>
    <x:xf numFmtId="168" fontId="22" fillId="20" borderId="3" xfId="0" applyAlignment="1">
      <x:alignment vertical="center" wrapText="1"/>
    </x:xf>
    <x:xf numFmtId="164" fontId="22" fillId="21" borderId="3" xfId="0" applyAlignment="1">
      <x:alignment vertical="center" wrapText="1"/>
    </x:xf>
    <x:xf numFmtId="168" fontId="22" fillId="21" borderId="3" xfId="0" applyAlignment="1">
      <x:alignment vertical="center" wrapText="1"/>
    </x:xf>
    <x:xf numFmtId="164" fontId="22" fillId="22" borderId="3" xfId="0" applyAlignment="1">
      <x:alignment vertical="center" wrapText="1"/>
    </x:xf>
    <x:xf numFmtId="168" fontId="22" fillId="22" borderId="3" xfId="0" applyAlignment="1">
      <x:alignment vertical="center" wrapText="1"/>
    </x:xf>
    <x:xf numFmtId="164" fontId="3" fillId="0" borderId="1" xfId="0" applyNumberFormat="1" applyFont="1" applyFill="1" applyBorder="1" applyAlignment="1">
      <x:alignment vertical="top" wrapText="1"/>
    </x:xf>
    <x:xf numFmtId="164" fontId="17" fillId="0" borderId="3" xfId="0" applyNumberFormat="1" applyFont="1" applyFill="1" applyBorder="1" applyAlignment="1">
      <x:alignment vertical="center" wrapText="1"/>
    </x:xf>
    <x:xf numFmtId="164" fontId="23" fillId="0" borderId="4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center" wrapText="1"/>
    </x:xf>
    <x:xf numFmtId="0" fontId="23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165" fontId="2" fillId="23" borderId="1" xfId="0" applyNumberFormat="1" applyFont="1" applyFill="1" applyBorder="1" applyAlignment="1">
      <x:alignment horizontal="center" vertical="center" wrapText="1"/>
    </x:xf>
    <x:xf numFmtId="165" fontId="19" fillId="23" borderId="1" xfId="0" applyNumberFormat="1" applyFont="1" applyFill="1" applyBorder="1" applyAlignment="1">
      <x:alignment horizontal="center" vertical="center" wrapText="1"/>
    </x:xf>
    <x:xf numFmtId="165" fontId="2" fillId="23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166" fontId="3" fillId="23" borderId="1" xfId="0" applyNumberFormat="1" applyFont="1" applyFill="1" applyBorder="1" applyAlignment="1">
      <x:alignment vertical="top" wrapText="1"/>
    </x:xf>
    <x:xf numFmtId="166" fontId="3" fillId="23" borderId="2" xfId="0" applyNumberFormat="1" applyFont="1" applyFill="1" applyBorder="1" applyAlignment="1">
      <x:alignment vertical="top" wrapText="1"/>
    </x:xf>
    <x:xf numFmtId="166" fontId="14" fillId="23" borderId="1" xfId="0" applyNumberFormat="1" applyFont="1" applyFill="1" applyBorder="1" applyAlignment="1">
      <x:alignment horizontal="center" vertical="top" wrapText="1"/>
    </x:xf>
    <x:xf numFmtId="166" fontId="13" fillId="23" borderId="1" xfId="0" applyNumberFormat="1" applyFont="1" applyFill="1" applyBorder="1" applyAlignment="1">
      <x:alignment horizontal="center" vertical="center" wrapText="1"/>
    </x:xf>
    <x:xf numFmtId="166" fontId="0" fillId="23" borderId="0" xfId="0" applyNumberFormat="1" applyFont="1" applyFill="1" applyBorder="1"/>
    <x:xf numFmtId="166" fontId="15" fillId="23" borderId="0" xfId="0" applyNumberFormat="1" applyFont="1" applyFill="1" applyBorder="1"/>
    <x:xf numFmtId="166" fontId="23" fillId="23" borderId="0" xfId="0" applyNumberFormat="1" applyFont="1" applyFill="1" applyBorder="1" applyAlignment="1">
      <x:alignment vertical="center"/>
    </x:xf>
    <x:xf numFmtId="165" fontId="0" fillId="23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1"/>
    </x:xf>
    <x:xf numFmtId="165" fontId="19" fillId="24" borderId="1" xfId="0" applyNumberFormat="1" applyFont="1" applyFill="1" applyBorder="1" applyAlignment="1">
      <x:alignment horizontal="center" vertical="center" wrapText="1"/>
    </x:xf>
    <x:xf numFmtId="165" fontId="2" fillId="24" borderId="2" xfId="0" applyNumberFormat="1" applyFont="1" applyFill="1" applyBorder="1" applyAlignment="1">
      <x:alignment horizontal="center" vertical="center" wrapText="1"/>
    </x:xf>
    <x:xf numFmtId="165" fontId="0" fillId="24" borderId="0" xfId="0" applyNumberFormat="1" applyFont="1" applyFill="1" applyBorder="1"/>
    <x:xf numFmtId="165" fontId="24" fillId="24" borderId="1" xfId="0" applyNumberFormat="1" applyFont="1" applyFill="1" applyBorder="1" applyAlignment="1">
      <x:alignment horizontal="center" vertical="center" wrapText="1"/>
    </x:xf>
    <x:xf numFmtId="165" fontId="25" fillId="24" borderId="0" xfId="0" applyNumberFormat="1" applyFont="1" applyFill="1" applyBorder="1"/>
    <x:xf numFmtId="165" fontId="2" fillId="24" borderId="1" xfId="0" applyNumberFormat="1" applyFont="1" applyFill="1" applyBorder="1" applyAlignment="1">
      <x:alignment horizontal="center" vertical="center" wrapText="0"/>
    </x:xf>
    <x:xf numFmtId="165" fontId="24" fillId="24" borderId="1" xfId="0" applyNumberFormat="1" applyFont="1" applyFill="1" applyBorder="1" applyAlignment="1">
      <x:alignment horizontal="center" vertical="center" wrapText="0"/>
    </x:xf>
    <x:xf numFmtId="165" fontId="2" fillId="24" borderId="2" xfId="0" applyNumberFormat="1" applyFont="1" applyFill="1" applyBorder="1" applyAlignment="1">
      <x:alignment horizontal="center" vertical="center" wrapText="0"/>
    </x:xf>
    <x:xf numFmtId="165" fontId="25" fillId="24" borderId="0" xfId="0" applyNumberFormat="1" applyFont="1" applyFill="1" applyBorder="1" applyAlignment="1">
      <x:alignment wrapText="0"/>
    </x:xf>
    <x:xf numFmtId="167" fontId="3" fillId="0" borderId="1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23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7" fillId="0" borderId="0" xfId="0" applyNumberFormat="1" applyFont="1" applyFill="1" applyBorder="1"/>
    <x:xf numFmtId="0" fontId="27" fillId="24" borderId="0" xfId="0" applyNumberFormat="1" applyFont="1" applyFill="1" applyBorder="1"/>
    <x:xf numFmtId="0" fontId="28" fillId="24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vertical="top" wrapText="1"/>
    </x:xf>
    <x:xf numFmtId="0" fontId="16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 applyAlignment="1">
      <x:alignment vertical="center"/>
    </x:xf>
    <x:xf numFmtId="0" fontId="29" fillId="23" borderId="0" xfId="0" applyNumberFormat="1" applyFont="1" applyFill="1" applyBorder="1"/>
    <x:xf numFmtId="0" fontId="30" fillId="3" borderId="0" xfId="0" applyNumberFormat="1" applyFont="1" applyFill="1" applyBorder="1"/>
    <x:xf numFmtId="0" fontId="30" fillId="0" borderId="0" xfId="0" applyNumberFormat="1" applyFont="1" applyFill="1" applyBorder="1"/>
  </x:cellXfs>
  <x:cellStyles count="1">
    <x:cellStyle name="Normal" xfId="0"/>
  </x:cellStyles>
  <x:dxfs count="52"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ill>
        <x:patternFill>
          <x:bgColor rgb="FF3D8DFF"/>
        </x:patternFill>
      </x:fill>
    </x:dxf>
    <x:dxf>
      <x:fill>
        <x:patternFill>
          <x:bgColor rgb="FFF4B740"/>
        </x:patternFill>
      </x:fill>
    </x:dxf>
    <x:dxf>
      <x:fill>
        <x:patternFill>
          <x:bgColor rgb="FF9CB0C3"/>
        </x:patternFill>
      </x:fill>
    </x:dxf>
    <x:dxf>
      <x:fill>
        <x:patternFill>
          <x:bgColor rgb="FFE45C72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40B883"/>
        </x:patternFill>
      </x:fill>
    </x:dxf>
    <x:dxf>
      <x:font>
        <x:b/>
        <x:color rgb="FF167A52"/>
      </x:font>
      <x:fill>
        <x:patternFill>
          <x:bgColor rgb="FFDDF5E8"/>
        </x:patternFill>
      </x:fill>
    </x:dxf>
    <x:dxf>
      <x:fill>
        <x:patternFill>
          <x:bgColor rgb="FF3D8DFF"/>
        </x:patternFill>
      </x:fill>
    </x:dxf>
    <x:dxf>
      <x:font>
        <x:b/>
        <x:color rgb="FF146CAA"/>
      </x:font>
      <x:fill>
        <x:patternFill>
          <x:bgColor rgb="FFDDF4FF"/>
        </x:patternFill>
      </x:fill>
    </x:dxf>
    <x:dxf>
      <x:fill>
        <x:patternFill>
          <x:bgColor rgb="FFF4B740"/>
        </x:patternFill>
      </x:fill>
    </x:dxf>
    <x:dxf>
      <x:font>
        <x:b/>
        <x:color rgb="FFA86400"/>
      </x:font>
      <x:fill>
        <x:patternFill>
          <x:bgColor rgb="FFFFF1CC"/>
        </x:patternFill>
      </x:fill>
    </x:dxf>
    <x:dxf>
      <x:fill>
        <x:patternFill>
          <x:bgColor rgb="FFE45C72"/>
        </x:patternFill>
      </x:fill>
    </x:dxf>
    <x:dxf>
      <x:fill>
        <x:patternFill>
          <x:bgColor rgb="FF9CB0C3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ont>
        <x:b/>
        <x:color rgb="FFB4233D"/>
      </x:font>
      <x:fill>
        <x:patternFill>
          <x:bgColor rgb="FFFDE3E7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3AB588"/>
        </x:patternFill>
      </x:fill>
    </x:dxf>
    <x:dxf>
      <x:fill>
        <x:patternFill>
          <x:bgColor rgb="FFDDF4EA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8EADC4"/>
        </x:patternFill>
      </x:fill>
    </x:dxf>
    <x:dxf>
      <x:fill>
        <x:patternFill>
          <x:bgColor rgb="FF8EADC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56f71a5c344f6" /><Relationship Type="http://schemas.openxmlformats.org/officeDocument/2006/relationships/theme" Target="/xl/theme/theme1.xml" Id="R66862451dd2a4c13" /><Relationship Type="http://schemas.openxmlformats.org/officeDocument/2006/relationships/sharedStrings" Target="/xl/sharedStrings.xml" Id="R30b79ab1cdfd4a3e" /><Relationship Type="http://schemas.openxmlformats.org/officeDocument/2006/relationships/worksheet" Target="/xl/worksheets/sheet1.xml" Id="R4c4904ef6c724dd7" /><Relationship Type="http://schemas.openxmlformats.org/officeDocument/2006/relationships/worksheet" Target="/xl/worksheets/sheet2.xml" Id="Rdba9609e192e4f12" /><Relationship Type="http://schemas.openxmlformats.org/officeDocument/2006/relationships/worksheet" Target="/xl/worksheets/sheet3.xml" Id="R9f8c687080eb4e9e" /><Relationship Type="http://schemas.openxmlformats.org/officeDocument/2006/relationships/worksheet" Target="/xl/worksheets/sheet4.xml" Id="R73e6ec60812a48ef" /><Relationship Type="http://schemas.openxmlformats.org/officeDocument/2006/relationships/worksheet" Target="/xl/worksheets/sheet5.xml" Id="R0b71209e74b54d2f" /><Relationship Type="http://schemas.openxmlformats.org/officeDocument/2006/relationships/worksheet" Target="/xl/worksheets/sheet6.xml" Id="Rfd7ae984f4844dc5" /><Relationship Type="http://schemas.openxmlformats.org/officeDocument/2006/relationships/worksheet" Target="/xl/worksheets/sheet7.xml" Id="R131edd1bd6ad40be" /><Relationship Type="http://schemas.openxmlformats.org/officeDocument/2006/relationships/worksheet" Target="/xl/worksheets/sheet8.xml" Id="R11f6dba4dcba46ae" /><Relationship Type="http://schemas.openxmlformats.org/officeDocument/2006/relationships/worksheet" Target="/xl/worksheets/sheet9.xml" Id="Re1c71349dfb84326" /><Relationship Type="http://schemas.openxmlformats.org/officeDocument/2006/relationships/worksheet" Target="/xl/worksheets/sheet10.xml" Id="Rcf8050671aa44f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cc0c2516d54aac" /><Relationship Type="http://schemas.openxmlformats.org/officeDocument/2006/relationships/chart" Target="/xl/drawings/charts/chart2.xml" Id="Rc4cd9c90fc24479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Summary'!$A$12:$A$15</c:f>
              <c:strCache>
                <c:ptCount val="0"/>
              </c:strCache>
            </c:strRef>
          </c:cat>
          <c:val>
            <c:numRef>
              <c:f>'Executive Summary'!$B$12:$B$15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 record load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ln xmlns:a="http://schemas.openxmlformats.org/drawingml/2006/main">
              <a:prstDash val="solid"/>
            </a:ln>
          </c:spPr>
          <c:cat>
            <c:strRef>
              <c:f>'Executive Summary'!$D$12:$D$14</c:f>
              <c:strCache>
                <c:ptCount val="0"/>
              </c:strCache>
            </c:strRef>
          </c:cat>
          <c:val>
            <c:numRef>
              <c:f>'Executive Summary'!$E$12:$E$14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c0c2516d54aac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cd9c90fc2447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DSWBS" displayName="FDSWBS" ref="A3:S81" headerRowCount="1" totalsRowCount="0" totalsRowShown="0">
  <x:autoFilter ref="A3:S81"/>
  <x:tableColumns count="19">
    <x:tableColumn id="1" name="WBS ID"/>
    <x:tableColumn id="2" name="Title"/>
    <x:tableColumn id="3" name="Phase"/>
    <x:tableColumn id="4" name="Category"/>
    <x:tableColumn id="5" name="Type"/>
    <x:tableColumn id="6" name="Priority"/>
    <x:tableColumn id="7" name="Status"/>
    <x:tableColumn id="8" name="Plan Start"/>
    <x:tableColumn id="9" name="Plan End"/>
    <x:tableColumn id="10" name="Calendar Days"/>
    <x:tableColumn id="11" name="Lead Workdays"/>
    <x:tableColumn id="12" name="Lead"/>
    <x:tableColumn id="13" name="Support"/>
    <x:tableColumn id="14" name="Dependencies / Decisions"/>
    <x:tableColumn id="15" name="Risks"/>
    <x:tableColumn id="16" name="Description / Exit Criteria"/>
    <x:tableColumn id="17" name="Schedule Note"/>
    <x:tableColumn id="18" name="Source"/>
    <x:tableColumn id="19" name="Schedule 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4b48de65f84f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a010d7c98e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2" customWidth="1"/>
    <x:col min="3" max="3" width="58" customWidth="1"/>
    <x:col min="4" max="4" width="16" customWidth="1"/>
    <x:col min="5" max="5" width="32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</x:cols>
  <x:sheetData>
    <x:row r="1" ht="32" customHeight="1">
      <x:c r="A1" s="237" t="str">
        <x:v>FDS v3.1.21 · Executive Summary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</x:row>
    <x:row r="2"/>
    <x:row r="3">
      <x:c r="A3" s="9" t="inlineStr">
        <x:is>
          <x:t xml:space="preserve">Metric</x:t>
        </x:is>
      </x:c>
      <x:c r="B3" s="9" t="inlineStr">
        <x:is>
          <x:t xml:space="preserve">Value</x:t>
        </x:is>
      </x:c>
      <x:c r="D3" s="9" t="inlineStr">
        <x:is>
          <x:t xml:space="preserve">Current gate / control</x:t>
        </x:is>
      </x:c>
      <x:c r="E3" s="9" t="inlineStr">
        <x:is>
          <x:t xml:space="preserve">Result</x:t>
        </x:is>
      </x:c>
    </x:row>
    <x:row r="4">
      <x:c r="A4" s="13" t="inlineStr">
        <x:is>
          <x:t xml:space="preserve">As of</x:t>
        </x:is>
      </x:c>
      <x:c r="B4" s="154" t="n">
        <x:v>46298</x:v>
      </x:c>
      <x:c r="D4" s="13" t="str">
        <x:v>P1 Close</x:v>
      </x:c>
      <x:c r="E4" s="199" t="str">
        <x:v>HOLD · 10/6 review</x:v>
      </x:c>
    </x:row>
    <x:row r="5" ht="32" customHeight="1">
      <x:c r="A5" s="13" t="inlineStr">
        <x:is>
          <x:t xml:space="preserve">Canonical version</x:t>
        </x:is>
      </x:c>
      <x:c r="B5" s="195" t="str">
        <x:v>v3.1.21 RELEASED</x:v>
      </x:c>
      <x:c r="D5" s="13" t="str">
        <x:v>D21 decision</x:v>
      </x:c>
      <x:c r="E5" s="199" t="str">
        <x:v>FINAL · 10/3</x:v>
      </x:c>
    </x:row>
    <x:row r="6">
      <x:c r="A6" s="13" t="inlineStr">
        <x:is>
          <x:t xml:space="preserve">Planning records</x:t>
        </x:is>
      </x:c>
      <x:c r="B6" s="13" t="n">
        <x:f>COUNTA(WBS!A4:A81)</x:f>
        <x:v>78</x:v>
      </x:c>
      <x:c r="D6" s="13" t="str">
        <x:v>D21 publication</x:v>
      </x:c>
      <x:c r="E6" s="199" t="str">
        <x:v>HOLD · raw intake</x:v>
      </x:c>
    </x:row>
    <x:row r="7">
      <x:c r="A7" s="13" t="inlineStr">
        <x:is>
          <x:t xml:space="preserve">Tasks + CR</x:t>
        </x:is>
      </x:c>
      <x:c r="B7" s="13" t="n">
        <x:f>COUNTIF(WBS!E4:E81,"Task")+COUNTIF(WBS!E4:E81,"Change Request")</x:f>
        <x:v>46</x:v>
      </x:c>
      <x:c r="D7" s="13" t="str">
        <x:v>Architecture Freeze</x:v>
      </x:c>
      <x:c r="E7" s="199" t="str">
        <x:v>HOLD</x:v>
      </x:c>
    </x:row>
    <x:row r="8">
      <x:c r="A8" s="13" t="inlineStr">
        <x:is>
          <x:t xml:space="preserve">Milestones</x:t>
        </x:is>
      </x:c>
      <x:c r="B8" s="13" t="n">
        <x:f>COUNTIF(WBS!E4:E81,"Milestone")</x:f>
        <x:v>13</x:v>
      </x:c>
      <x:c r="D8" s="13" t="str">
        <x:v>Stage-A</x:v>
      </x:c>
      <x:c r="E8" s="199" t="str">
        <x:v>NOT_READY</x:v>
      </x:c>
    </x:row>
    <x:row r="9">
      <x:c r="A9" t="str">
        <x:v>Rows / Milestone</x:v>
      </x:c>
      <x:c r="B9" t="str">
        <x:v>78 / 76</x:v>
      </x:c>
      <x:c r="D9" s="67" t="str">
        <x:v>G4 / G5 / G6 targets</x:v>
      </x:c>
      <x:c r="E9" s="200" t="str">
        <x:v>10/14 · 10/20 · 10/22</x:v>
      </x:c>
    </x:row>
    <x:row r="11">
      <x:c r="A11" s="9" t="inlineStr">
        <x:is>
          <x:t xml:space="preserve">Status</x:t>
        </x:is>
      </x:c>
      <x:c r="B11" s="9" t="inlineStr">
        <x:is>
          <x:t xml:space="preserve">Count</x:t>
        </x:is>
      </x:c>
      <x:c r="D11" s="9" t="inlineStr">
        <x:is>
          <x:t xml:space="preserve">Lead</x:t>
        </x:is>
      </x:c>
      <x:c r="E11" s="9" t="inlineStr">
        <x:is>
          <x:t xml:space="preserve">Records</x:t>
        </x:is>
      </x:c>
    </x:row>
    <x:row r="12">
      <x:c r="A12" s="13" t="inlineStr">
        <x:is>
          <x:t xml:space="preserve">Done</x:t>
        </x:is>
      </x:c>
      <x:c r="B12" s="13" t="n">
        <x:f>COUNTIF(WBS!$G$4:$G$81,A12)</x:f>
        <x:v>27</x:v>
      </x:c>
      <x:c r="D12" s="13" t="inlineStr">
        <x:is>
          <x:t xml:space="preserve">이권욱</x:t>
        </x:is>
      </x:c>
      <x:c r="E12" s="13" t="n">
        <x:f>COUNTIF(WBS!$L$4:$L$81,D12)</x:f>
        <x:v>40</x:v>
      </x:c>
    </x:row>
    <x:row r="13">
      <x:c r="A13" s="13" t="inlineStr">
        <x:is>
          <x:t xml:space="preserve">In Progress</x:t>
        </x:is>
      </x:c>
      <x:c r="B13" s="13" t="n">
        <x:f>COUNTIF(WBS!$G$4:$G$81,A13)</x:f>
        <x:v>12</x:v>
      </x:c>
      <x:c r="D13" s="13" t="inlineStr">
        <x:is>
          <x:t xml:space="preserve">이하영</x:t>
        </x:is>
      </x:c>
      <x:c r="E13" s="13" t="n">
        <x:f>COUNTIF(WBS!$L$4:$L$81,D13)</x:f>
        <x:v>23</x:v>
      </x:c>
    </x:row>
    <x:row r="14">
      <x:c r="A14" s="13" t="inlineStr">
        <x:is>
          <x:t xml:space="preserve">In Review</x:t>
        </x:is>
      </x:c>
      <x:c r="B14" s="13" t="n">
        <x:f>COUNTIF(WBS!$G$4:$G$81,A14)</x:f>
        <x:v>0</x:v>
      </x:c>
      <x:c r="D14" s="13" t="inlineStr">
        <x:is>
          <x:t xml:space="preserve">이재환</x:t>
        </x:is>
      </x:c>
      <x:c r="E14" s="13" t="n">
        <x:f>COUNTIF(WBS!$L$4:$L$81,D14)</x:f>
        <x:v>15</x:v>
      </x:c>
    </x:row>
    <x:row r="15">
      <x:c r="A15" s="13" t="inlineStr">
        <x:is>
          <x:t xml:space="preserve">To Do</x:t>
        </x:is>
      </x:c>
      <x:c r="B15" s="13" t="n">
        <x:f>COUNTIF(WBS!$G$4:$G$81,A15)</x:f>
        <x:v>38</x:v>
      </x:c>
    </x:row>
    <x:row r="16">
      <x:c r="A16" t="str">
        <x:v>Todo (source drift)</x:v>
      </x:c>
      <x:c r="B16" t="n">
        <x:f>COUNTIF(WBS!$G$4:$G$81,"Todo")</x:f>
        <x:v>1</x:v>
      </x:c>
    </x:row>
    <x:row r="18">
      <x:c r="A18" s="239" t="inlineStr">
        <x:is>
          <x:t xml:space="preserve">Lead decisions / schedule alerts</x:t>
        </x:is>
      </x:c>
      <x:c r="B18" s="240"/>
      <x:c r="C18" s="240"/>
      <x:c r="D18" s="240"/>
      <x:c r="E18" s="240"/>
      <x:c r="F18" s="240"/>
      <x:c r="G18" s="240"/>
      <x:c r="H18" s="240"/>
      <x:c r="I18" s="240"/>
      <x:c r="J18" s="240"/>
      <x:c r="K18" s="240"/>
      <x:c r="L18" s="240"/>
      <x:c r="M18" s="240"/>
      <x:c r="N18" s="240"/>
      <x:c r="O18" s="240"/>
      <x:c r="P18" s="240"/>
      <x:c r="Q18" s="240"/>
      <x:c r="R18" s="240"/>
      <x:c r="S18" s="240"/>
      <x:c r="T18" s="240"/>
      <x:c r="U18" s="240"/>
      <x:c r="V18" s="240"/>
    </x:row>
    <x:row r="19">
      <x:c r="A19" s="9" t="inlineStr">
        <x:is>
          <x:t xml:space="preserve">Priority</x:t>
        </x:is>
      </x:c>
      <x:c r="B19" s="9" t="inlineStr">
        <x:is>
          <x:t xml:space="preserve">Decision / Alert</x:t>
        </x:is>
      </x:c>
      <x:c r="C19" s="9" t="inlineStr">
        <x:is>
          <x:t xml:space="preserve">Impact</x:t>
        </x:is>
      </x:c>
      <x:c r="D19" s="9" t="inlineStr">
        <x:is>
          <x:t xml:space="preserve">Owner</x:t>
        </x:is>
      </x:c>
    </x:row>
    <x:row r="20" ht="44" customHeight="1">
      <x:c r="A20" s="13" t="str">
        <x:v>P0</x:v>
      </x:c>
      <x:c r="B20" s="13" t="str">
        <x:v>Freeze prerequisites</x:v>
      </x:c>
      <x:c r="C20" s="13" t="str">
        <x:v>10/8 goal; capacity before first Freeze. 10/12 proposal not adopted.</x:v>
      </x:c>
      <x:c r="D20" s="195" t="str">
        <x:v>이권욱/이하영/이재환</x:v>
      </x:c>
    </x:row>
    <x:row r="21" ht="44" customHeight="1">
      <x:c r="A21" s="13" t="str">
        <x:v>P0</x:v>
      </x:c>
      <x:c r="B21" s="13" t="str">
        <x:v>P1 Close</x:v>
      </x:c>
      <x:c r="C21" s="13" t="str">
        <x:v>#15 endpoint, #16 delivery, #19 rollback unresolved.</x:v>
      </x:c>
      <x:c r="D21" s="195" t="str">
        <x:v>각 P1 Lead</x:v>
      </x:c>
    </x:row>
    <x:row r="22" ht="44" customHeight="1">
      <x:c r="A22" s="13" t="str">
        <x:v>P0</x:v>
      </x:c>
      <x:c r="B22" s="13" t="str">
        <x:v>Pre-create / post-create</x:v>
      </x:c>
      <x:c r="C22" s="13" t="str">
        <x:v>Design readiness and actual Runtime acceptance are separate.</x:v>
      </x:c>
      <x:c r="D22" s="195" t="str">
        <x:v>각 Phase 2 Lead</x:v>
      </x:c>
    </x:row>
    <x:row r="23" ht="44" customHeight="1">
      <x:c r="A23" s="13" t="str">
        <x:v>P0</x:v>
      </x:c>
      <x:c r="B23" s="13" t="str">
        <x:v>D21 evidence</x:v>
      </x:c>
      <x:c r="C23" s="13" t="str">
        <x:v>Final raw 8706 B; received rehash / publication pending.</x:v>
      </x:c>
      <x:c r="D23" s="195" t="str">
        <x:v>이권욱</x:v>
      </x:c>
    </x:row>
    <x:row r="24" ht="44" customHeight="1">
      <x:c r="A24" s="13" t="str">
        <x:v>P0</x:v>
      </x:c>
      <x:c r="B24" s="13" t="str">
        <x:v>Source / CA / DNS</x:v>
      </x:c>
      <x:c r="C24" s="13" t="str">
        <x:v>Model, reconciliation SLA, bilateral DNS and trust pending.</x:v>
      </x:c>
      <x:c r="D24" s="195" t="str">
        <x:v>#34/#38/#42/#47</x:v>
      </x:c>
    </x:row>
    <x:row r="25" ht="44" customHeight="1">
      <x:c r="A25" s="60" t="str">
        <x:v>P0</x:v>
      </x:c>
      <x:c r="B25" s="45" t="str">
        <x:v>Cost-to-complete</x:v>
      </x:c>
      <x:c r="C25" s="45" t="str">
        <x:v>Education limit / full resource cost / daily report pending.</x:v>
      </x:c>
      <x:c r="D25" s="201" t="str">
        <x:v>이권욱/이하영</x:v>
      </x:c>
    </x:row>
    <x:row r="26" ht="44" customHeight="1">
      <x:c r="A26" s="71" t="str">
        <x:v>P0</x:v>
      </x:c>
      <x:c r="B26" s="71" t="str">
        <x:v>Same-run evidence</x:v>
      </x:c>
      <x:c r="C26" s="71" t="str">
        <x:v>Producer #16 / consumer #13; retain 4/4 acceptance.</x:v>
      </x:c>
      <x:c r="D26" s="202" t="str">
        <x:v>#16/#13</x:v>
      </x:c>
    </x:row>
    <x:row r="27" ht="44" customHeight="1">
      <x:c r="A27" t="str">
        <x:v>P0</x:v>
      </x:c>
      <x:c r="B27" t="str">
        <x:v>Publication</x:v>
      </x:c>
      <x:c r="C27" s="67" t="str">
        <x:v>Content merged; finalization and GitHub Asset verification tracked separately.</x:v>
      </x:c>
      <x:c r="D27" s="198" t="str">
        <x:v>정본 Lead</x:v>
      </x:c>
    </x:row>
    <x:row r="28" ht="44" customHeight="1">
      <x:c r="A28" t="str">
        <x:v>P1</x:v>
      </x:c>
      <x:c r="B28" t="str">
        <x:v>Deferred enhancements</x:v>
      </x:c>
      <x:c r="C28" s="67" t="str">
        <x:v>P0-first; no full ROSA recreate added to P0.</x:v>
      </x:c>
      <x:c r="D28" s="198" t="str">
        <x:v>각 Lead</x:v>
      </x:c>
    </x:row>
    <x:row r="29" ht="44" customHeight="1">
      <x:c r="A29" t="str">
        <x:v>Info</x:v>
      </x:c>
      <x:c r="B29" t="str">
        <x:v>Lifecycle / Runtime</x:v>
      </x:c>
      <x:c r="C29" s="67" t="str">
        <x:v>Body Status is preserved; closed/not_planned is recorded in WBS notes.</x:v>
      </x:c>
      <x:c r="D29" s="198" t="str">
        <x:v>정본 Lead</x:v>
      </x:c>
    </x:row>
  </x:sheetData>
  <x:mergeCells>
    <x:mergeCell ref="A18:V18"/>
  </x:mergeCells>
  <x:pageMargins left="0.7" right="0.7" top="0.75" bottom="0.75" header="0.3" footer="0.3"/>
  <x:drawing xmlns:r="http://schemas.openxmlformats.org/officeDocument/2006/relationships" r:id="R5c4b48de65f84f5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42" customWidth="1"/>
    <x:col min="3" max="3" width="13" customWidth="1"/>
    <x:col min="4" max="4" width="28" customWidth="1"/>
    <x:col min="5" max="5" width="16" customWidth="1"/>
    <x:col min="6" max="6" width="10" customWidth="1"/>
    <x:col min="7" max="7" width="16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4" customWidth="1"/>
    <x:col min="13" max="13" width="20" customWidth="1"/>
    <x:col min="14" max="14" width="30" customWidth="1"/>
    <x:col min="15" max="15" width="22" customWidth="1"/>
    <x:col min="16" max="16" width="75" hidden="0" customWidth="1"/>
    <x:col min="17" max="17" width="75" hidden="0" customWidth="1"/>
    <x:col min="18" max="18" width="46" customWidth="1"/>
    <x:col min="19" max="19" width="16" customWidth="1"/>
  </x:cols>
  <x:sheetData>
    <x:row r="1" ht="32" customHeight="1">
      <x:c r="A1" s="237" t="str">
        <x:v>FDS v3.1.21 · WBS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</x:row>
    <x:row r="2">
      <x:c r="A2" s="17" t="inlineStr">
        <x:is>
          <x:t xml:space="preserve">As of</x:t>
        </x:is>
      </x:c>
      <x:c r="B2" s="155" t="n">
        <x:v>46298</x:v>
      </x:c>
      <x:c r="C2" s="17" t="inlineStr">
        <x:is>
          <x:t xml:space="preserve">Canonical</x:t>
        </x:is>
      </x:c>
      <x:c r="D2" s="17" t="str">
        <x:v>v3.1.21 RELEASED</x:v>
      </x:c>
      <x:c r="E2" s="17" t="inlineStr">
        <x:is>
          <x:t xml:space="preserve">Records</x:t>
        </x:is>
      </x:c>
      <x:c r="F2" s="17" t="n">
        <x:f>COUNTA(A4:A81)</x:f>
        <x:v>78</x:v>
      </x:c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</x:row>
    <x:row r="3">
      <x:c r="A3" s="9" t="inlineStr">
        <x:is>
          <x:t xml:space="preserve">WBS ID</x:t>
        </x:is>
      </x:c>
      <x:c r="B3" s="9" t="inlineStr">
        <x:is>
          <x:t xml:space="preserve">Title</x:t>
        </x:is>
      </x:c>
      <x:c r="C3" s="9" t="inlineStr">
        <x:is>
          <x:t xml:space="preserve">Phase</x:t>
        </x:is>
      </x:c>
      <x:c r="D3" s="9" t="inlineStr">
        <x:is>
          <x:t xml:space="preserve">Category</x:t>
        </x:is>
      </x:c>
      <x:c r="E3" s="9" t="inlineStr">
        <x:is>
          <x:t xml:space="preserve">Type</x:t>
        </x:is>
      </x:c>
      <x:c r="F3" s="9" t="inlineStr">
        <x:is>
          <x:t xml:space="preserve">Priority</x:t>
        </x:is>
      </x:c>
      <x:c r="G3" s="9" t="inlineStr">
        <x:is>
          <x:t xml:space="preserve">Status</x:t>
        </x:is>
      </x:c>
      <x:c r="H3" s="9" t="inlineStr">
        <x:is>
          <x:t xml:space="preserve">Plan Start</x:t>
        </x:is>
      </x:c>
      <x:c r="I3" s="9" t="inlineStr">
        <x:is>
          <x:t xml:space="preserve">Plan End</x:t>
        </x:is>
      </x:c>
      <x:c r="J3" s="9" t="inlineStr">
        <x:is>
          <x:t xml:space="preserve">Calendar Days</x:t>
        </x:is>
      </x:c>
      <x:c r="K3" s="9" t="inlineStr">
        <x:is>
          <x:t xml:space="preserve">Lead Workdays</x:t>
        </x:is>
      </x:c>
      <x:c r="L3" s="9" t="inlineStr">
        <x:is>
          <x:t xml:space="preserve">Lead</x:t>
        </x:is>
      </x:c>
      <x:c r="M3" s="9" t="inlineStr">
        <x:is>
          <x:t xml:space="preserve">Support</x:t>
        </x:is>
      </x:c>
      <x:c r="N3" s="9" t="inlineStr">
        <x:is>
          <x:t xml:space="preserve">Dependencies / Decisions</x:t>
        </x:is>
      </x:c>
      <x:c r="O3" s="9" t="inlineStr">
        <x:is>
          <x:t xml:space="preserve">Risks</x:t>
        </x:is>
      </x:c>
      <x:c r="P3" s="9" t="inlineStr">
        <x:is>
          <x:t xml:space="preserve">Description / Exit Criteria</x:t>
        </x:is>
      </x:c>
      <x:c r="Q3" s="9" t="inlineStr">
        <x:is>
          <x:t xml:space="preserve">Schedule Note</x:t>
        </x:is>
      </x:c>
      <x:c r="R3" s="9" t="inlineStr">
        <x:is>
          <x:t xml:space="preserve">Source</x:t>
        </x:is>
      </x:c>
      <x:c r="S3" s="9" t="inlineStr">
        <x:is>
          <x:t xml:space="preserve">Schedule Health</x:t>
        </x:is>
      </x:c>
    </x:row>
    <x:row r="4" ht="110" customHeight="1">
      <x:c r="A4" s="13" t="str">
        <x:v>D-SEC-01</x:v>
      </x:c>
      <x:c r="B4" s="13" t="str">
        <x:v>Security Design Scope / Approval Review</x:v>
      </x:c>
      <x:c r="C4" s="13" t="str">
        <x:v>Design</x:v>
      </x:c>
      <x:c r="D4" s="13" t="str">
        <x:v>Security / Governance</x:v>
      </x:c>
      <x:c r="E4" s="13" t="str">
        <x:v>Decision</x:v>
      </x:c>
      <x:c r="F4" s="13" t="str">
        <x:v>P0</x:v>
      </x:c>
      <x:c r="G4" s="13" t="str">
        <x:v>Done</x:v>
      </x:c>
      <x:c r="H4" s="191" t="n">
        <x:v>46260</x:v>
      </x:c>
      <x:c r="I4" s="191" t="n">
        <x:v>46266</x:v>
      </x:c>
      <x:c r="J4" s="156" t="n">
        <x:f>IF(OR(H4="",I4=""),"",I4-H4+1)</x:f>
        <x:v>7</x:v>
      </x:c>
      <x:c r="K4" s="156" t="n">
        <x:f>IF(OR(H4="",I4=""),"",NETWORKDAYS(H4,I4,'Sources &amp; Change Log'!$J$2:$J$5)-COUNTIFS('Team Calendar'!$A$5:$A$14,L4,'Team Calendar'!$C$5:$C$14,"&gt;="&amp;H4,'Team Calendar'!$C$5:$C$14,"&lt;="&amp;I4,'Team Calendar'!$F$5:$F$14,"Personal absence"))</x:f>
        <x:v>4</x:v>
      </x:c>
      <x:c r="L4" s="13" t="str">
        <x:v>이하영</x:v>
      </x:c>
      <x:c r="M4" s="13" t="str">
        <x:v>이권욱, 이재환</x:v>
      </x:c>
      <x:c r="N4" s="13" t="str">
        <x:v>D17; D28</x:v>
      </x:c>
      <x:c r="O4" s="13" t="str">
        <x:v>RISK-05; RISK-07</x:v>
      </x:c>
      <x:c r="P4" s="195" t="str">
        <x:v>승인권자 지정, D-SEC-01 검토 범위·산출물·Exit Criteria 승인, P1-SEC-01과의 경계 승인, 요구사항과 검증 증적 연결 후 Done 판정</x:v>
      </x:c>
      <x:c r="Q4" s="195" t="str">
        <x:v>v3.1.14 최종 승인·정본 반영 완료. 구현은 P1-SEC-01로 이관.
GitHub closed/completed</x:v>
      </x:c>
      <x:c r="R4" s="13" t="str">
        <x:v>https://github.com/321Team/fds-project-baseline/issues/7</x:v>
      </x:c>
      <x:c r="S4" s="13" t="str">
        <x:f>IF(G4="Done","Done",IF(I4="","End TBD",IF(I4&lt;'Executive Summary'!$B$4,"Target elapsed",IF(H4&gt;'Executive Summary'!$B$4,"Upcoming","Active window"))))</x:f>
        <x:v>Done</x:v>
      </x:c>
    </x:row>
    <x:row r="5" ht="110" customHeight="1">
      <x:c r="A5" s="13" t="str">
        <x:v>MS-G0-01</x:v>
      </x:c>
      <x:c r="B5" s="13" t="str">
        <x:v>G0 Design Freeze</x:v>
      </x:c>
      <x:c r="C5" s="13" t="str">
        <x:v>Design</x:v>
      </x:c>
      <x:c r="D5" s="13" t="str">
        <x:v>Milestone / Design Freeze</x:v>
      </x:c>
      <x:c r="E5" s="13" t="str">
        <x:v>Milestone</x:v>
      </x:c>
      <x:c r="F5" s="13" t="str">
        <x:v>P0</x:v>
      </x:c>
      <x:c r="G5" s="13" t="str">
        <x:v>Done</x:v>
      </x:c>
      <x:c r="H5" s="191" t="n">
        <x:v>46260</x:v>
      </x:c>
      <x:c r="I5" s="191" t="n">
        <x:v>46266</x:v>
      </x:c>
      <x:c r="J5" s="156" t="n">
        <x:f>IF(OR(H5="",I5=""),"",I5-H5+1)</x:f>
        <x:v>7</x:v>
      </x:c>
      <x:c r="K5" s="156" t="n">
        <x:f>IF(OR(H5="",I5=""),"",NETWORKDAYS(H5,I5,'Sources &amp; Change Log'!$J$2:$J$5)-COUNTIFS('Team Calendar'!$A$5:$A$14,L5,'Team Calendar'!$C$5:$C$14,"&gt;="&amp;H5,'Team Calendar'!$C$5:$C$14,"&lt;="&amp;I5,'Team Calendar'!$F$5:$F$14,"Personal absence"))</x:f>
        <x:v>5</x:v>
      </x:c>
      <x:c r="L5" s="13" t="str">
        <x:v>이권욱</x:v>
      </x:c>
      <x:c r="M5" s="13" t="str">
        <x:v>이하영, 이재환</x:v>
      </x:c>
      <x:c r="N5" s="13" t="str">
        <x:v>D17; D28; D32; D34; D35</x:v>
      </x:c>
      <x:c r="O5" s="13" t="str">
        <x:v>RISK-05; RISK-07</x:v>
      </x:c>
      <x:c r="P5" s="195" t="str">
        <x:v>D-ARC-01·D-NET-01·D-WBS-01·D-SEC-01 승인과 정본 Evidence를 확인하고 G0 FULL PASS 기록 확보</x:v>
      </x:c>
      <x:c r="Q5" s="195" t="str">
        <x:v>G0 Design Freeze FULL PASS (2026-09-01).
GitHub closed/completed</x:v>
      </x:c>
      <x:c r="R5" s="13" t="str">
        <x:v>https://github.com/321Team/fds-project-baseline/issues/8</x:v>
      </x:c>
      <x:c r="S5" s="13" t="str">
        <x:f>IF(G5="Done","Done",IF(I5="","End TBD",IF(I5&lt;'Executive Summary'!$B$4,"Target elapsed",IF(H5&gt;'Executive Summary'!$B$4,"Upcoming","Active window"))))</x:f>
        <x:v>Done</x:v>
      </x:c>
    </x:row>
    <x:row r="6" ht="110" customHeight="1">
      <x:c r="A6" s="13" t="str">
        <x:v>P1-LB-01</x:v>
      </x:c>
      <x:c r="B6" s="13" t="str">
        <x:v>Kubernetes API Load Balancer</x:v>
      </x:c>
      <x:c r="C6" s="13" t="str">
        <x:v>Phase 1</x:v>
      </x:c>
      <x:c r="D6" s="13" t="str">
        <x:v>Infrastructure / Load Balancer</x:v>
      </x:c>
      <x:c r="E6" s="13" t="str">
        <x:v>Task</x:v>
      </x:c>
      <x:c r="F6" s="13" t="str">
        <x:v>P0</x:v>
      </x:c>
      <x:c r="G6" s="13" t="str">
        <x:v>In Progress</x:v>
      </x:c>
      <x:c r="H6" s="191" t="n">
        <x:v>46261</x:v>
      </x:c>
      <x:c r="I6" s="191" t="n">
        <x:v>46282</x:v>
      </x:c>
      <x:c r="J6" s="156" t="n">
        <x:f>IF(OR(H6="",I6=""),"",I6-H6+1)</x:f>
        <x:v>22</x:v>
      </x:c>
      <x:c r="K6" s="156" t="n">
        <x:f>IF(OR(H6="",I6=""),"",NETWORKDAYS(H6,I6,'Sources &amp; Change Log'!$J$2:$J$5)-COUNTIFS('Team Calendar'!$A$5:$A$14,L6,'Team Calendar'!$C$5:$C$14,"&gt;="&amp;H6,'Team Calendar'!$C$5:$C$14,"&lt;="&amp;I6,'Team Calendar'!$F$5:$F$14,"Personal absence"))</x:f>
        <x:v>16</x:v>
      </x:c>
      <x:c r="L6" s="13" t="str">
        <x:v>이권욱</x:v>
      </x:c>
      <x:c r="M6" s="13" t="str">
        <x:v>이하영</x:v>
      </x:c>
      <x:c r="N6" s="13" t="str">
        <x:v>D02; D05; D27; D31; D34; D35</x:v>
      </x:c>
      <x:c r="O6" s="13" t="str">
        <x:v>RISK-02; RISK-03; RISK-04</x:v>
      </x:c>
      <x:c r="P6" s="195" t="str">
        <x:v>IF-11/IF-11A/IF-06A Source Allowlist, `.109:6443→.102~.104:6443` Stage A Listener/Handoff와 Stage B Backend Health/API/Failover Evidence</x:v>
      </x:c>
      <x:c r="Q6" s="195" t="str">
        <x:v>Stage B는 3CP API 기동 후 검증하며 09-17 G1 인수에 연결한다. 실제 상태·완료 판정은 유지한다. 세부 배정: Fast Track Plan 시트.
GitHub open/-</x:v>
      </x:c>
      <x:c r="R6" s="13" t="str">
        <x:v>https://github.com/321Team/fds-project-baseline/issues/9</x:v>
      </x:c>
      <x:c r="S6" s="13" t="str">
        <x:f>IF(G6="Done","Done",IF(I6="","End TBD",IF(I6&lt;'Executive Summary'!$B$4,"Target elapsed",IF(H6&gt;'Executive Summary'!$B$4,"Upcoming","Active window"))))</x:f>
        <x:v>Target elapsed</x:v>
      </x:c>
    </x:row>
    <x:row r="7" ht="110" customHeight="1">
      <x:c r="A7" s="13" t="str">
        <x:v>P1-K8S-01</x:v>
      </x:c>
      <x:c r="B7" s="13" t="str">
        <x:v>kubeadm 3CP + 3Worker / Calico</x:v>
      </x:c>
      <x:c r="C7" s="13" t="str">
        <x:v>Phase 1</x:v>
      </x:c>
      <x:c r="D7" s="13" t="str">
        <x:v>Kubernetes / Platform</x:v>
      </x:c>
      <x:c r="E7" s="13" t="str">
        <x:v>Task</x:v>
      </x:c>
      <x:c r="F7" s="13" t="str">
        <x:v>P0</x:v>
      </x:c>
      <x:c r="G7" s="13" t="str">
        <x:v>In Progress</x:v>
      </x:c>
      <x:c r="H7" s="191" t="n">
        <x:v>46261</x:v>
      </x:c>
      <x:c r="I7" s="191" t="n">
        <x:v>46282</x:v>
      </x:c>
      <x:c r="J7" s="156" t="n">
        <x:f>IF(OR(H7="",I7=""),"",I7-H7+1)</x:f>
        <x:v>22</x:v>
      </x:c>
      <x:c r="K7" s="156" t="n">
        <x:f>IF(OR(H7="",I7=""),"",NETWORKDAYS(H7,I7,'Sources &amp; Change Log'!$J$2:$J$5)-COUNTIFS('Team Calendar'!$A$5:$A$14,L7,'Team Calendar'!$C$5:$C$14,"&gt;="&amp;H7,'Team Calendar'!$C$5:$C$14,"&lt;="&amp;I7,'Team Calendar'!$F$5:$F$14,"Personal absence"))</x:f>
        <x:v>13</x:v>
      </x:c>
      <x:c r="L7" s="13" t="str">
        <x:v>이하영</x:v>
      </x:c>
      <x:c r="M7" s="13" t="str">
        <x:v>이권욱</x:v>
      </x:c>
      <x:c r="N7" s="13" t="str">
        <x:v>D01; D02; D05; D27; D31; D34; D35</x:v>
      </x:c>
      <x:c r="O7" s="13" t="str">
        <x:v>RISK-02; RISK-03; RISK-04; RISK-07; RISK-14</x:v>
      </x:c>
      <x:c r="P7" s="195" t="str">
        <x:v>LB Stage A 확인, 6개 Node의 보호 공백 없는 firewalld→named HEP/GNP 전환, containerd/kubelet·SELinux·identity·Port Matrix, BGP Disabled+VXLANCrossSubnet Calico, 6/6 Ready, CoreDNS, static local PV Evidence</x:v>
      </x:c>
      <x:c r="Q7" s="195" t="str">
        <x:v>09-11 CP1, 09-14 CP2/3·Worker, 09-15 NTP·Calico, 09-17 증적 인수를 조건부 목표로 둔다. 실제 상태·완료 판정은 유지한다. 세부 배정: Fast Track Plan 시트.
GitHub open/-</x:v>
      </x:c>
      <x:c r="R7" s="13" t="str">
        <x:v>https://github.com/321Team/fds-project-baseline/issues/10</x:v>
      </x:c>
      <x:c r="S7" s="13" t="str">
        <x:f>IF(G7="Done","Done",IF(I7="","End TBD",IF(I7&lt;'Executive Summary'!$B$4,"Target elapsed",IF(H7&gt;'Executive Summary'!$B$4,"Upcoming","Active window"))))</x:f>
        <x:v>Target elapsed</x:v>
      </x:c>
    </x:row>
    <x:row r="8" ht="110" customHeight="1">
      <x:c r="A8" s="13" t="str">
        <x:v>P1-DB-01</x:v>
      </x:c>
      <x:c r="B8" s="13" t="str">
        <x:v>PostgreSQL External VM</x:v>
      </x:c>
      <x:c r="C8" s="13" t="str">
        <x:v>Phase 1</x:v>
      </x:c>
      <x:c r="D8" s="13" t="str">
        <x:v>Data / Database</x:v>
      </x:c>
      <x:c r="E8" s="13" t="str">
        <x:v>Task</x:v>
      </x:c>
      <x:c r="F8" s="13" t="str">
        <x:v>P0</x:v>
      </x:c>
      <x:c r="G8" s="13" t="str">
        <x:v>In Progress</x:v>
      </x:c>
      <x:c r="H8" s="191" t="n">
        <x:v>46262</x:v>
      </x:c>
      <x:c r="I8" s="191" t="n">
        <x:v>46282</x:v>
      </x:c>
      <x:c r="J8" s="156" t="n">
        <x:f>IF(OR(H8="",I8=""),"",I8-H8+1)</x:f>
        <x:v>21</x:v>
      </x:c>
      <x:c r="K8" s="156" t="n">
        <x:f>IF(OR(H8="",I8=""),"",NETWORKDAYS(H8,I8,'Sources &amp; Change Log'!$J$2:$J$5)-COUNTIFS('Team Calendar'!$A$5:$A$14,L8,'Team Calendar'!$C$5:$C$14,"&gt;="&amp;H8,'Team Calendar'!$C$5:$C$14,"&lt;="&amp;I8,'Team Calendar'!$F$5:$F$14,"Personal absence"))</x:f>
        <x:v>10</x:v>
      </x:c>
      <x:c r="L8" s="13" t="str">
        <x:v>이재환</x:v>
      </x:c>
      <x:c r="M8" s="13" t="str">
        <x:v>이권욱</x:v>
      </x:c>
      <x:c r="N8" s="13" t="str">
        <x:v>D04; D05</x:v>
      </x:c>
      <x:c r="O8" s="13" t="str">
        <x:v>RISK-04; RISK-07; RISK-09</x:v>
      </x:c>
      <x:c r="P8" s="195" t="str">
        <x:v>db01 10.1.93.55:5432 구축, Schema/Migration 적용, transaction-api 승인 Source 접속·저장·조회 및 접근차단 Evidence 확보</x:v>
      </x:c>
      <x:c r="Q8" s="195" t="str">
        <x:v>09-11 이재환의 고정 Source·Schema·검증/복구 절차 인계가 선행돼야 한다. 기존 Support 이권욱이 부재 중 검증을 지원하며 실제 인수 권한은 기존 통제를 따른다. 실제 상태·완료 판정은 유지한다. 세부 배정: Fast Track Plan 시트.
GitHub open/-</x:v>
      </x:c>
      <x:c r="R8" s="13" t="str">
        <x:v>https://github.com/321Team/fds-project-baseline/issues/11</x:v>
      </x:c>
      <x:c r="S8" s="13" t="str">
        <x:f>IF(G8="Done","Done",IF(I8="","End TBD",IF(I8&lt;'Executive Summary'!$B$4,"Target elapsed",IF(H8&gt;'Executive Summary'!$B$4,"Upcoming","Active window"))))</x:f>
        <x:v>Target elapsed</x:v>
      </x:c>
    </x:row>
    <x:row r="9" ht="110" customHeight="1">
      <x:c r="A9" s="13" t="str">
        <x:v>P1-DNS-01</x:v>
      </x:c>
      <x:c r="B9" s="13" t="str">
        <x:v>Internal DNS Primary/Secondary</x:v>
      </x:c>
      <x:c r="C9" s="13" t="str">
        <x:v>Phase 1</x:v>
      </x:c>
      <x:c r="D9" s="13" t="str">
        <x:v>DNS / Supporting Service</x:v>
      </x:c>
      <x:c r="E9" s="13" t="str">
        <x:v>Task</x:v>
      </x:c>
      <x:c r="F9" s="13" t="str">
        <x:v>P1</x:v>
      </x:c>
      <x:c r="G9" s="13" t="str">
        <x:v>Done</x:v>
      </x:c>
      <x:c r="H9" s="191" t="n">
        <x:v>46262</x:v>
      </x:c>
      <x:c r="I9" s="191" t="n">
        <x:v>46268</x:v>
      </x:c>
      <x:c r="J9" s="156" t="n">
        <x:f>IF(OR(H9="",I9=""),"",I9-H9+1)</x:f>
        <x:v>7</x:v>
      </x:c>
      <x:c r="K9" s="156" t="n">
        <x:f>IF(OR(H9="",I9=""),"",NETWORKDAYS(H9,I9,'Sources &amp; Change Log'!$J$2:$J$5)-COUNTIFS('Team Calendar'!$A$5:$A$14,L9,'Team Calendar'!$C$5:$C$14,"&gt;="&amp;H9,'Team Calendar'!$C$5:$C$14,"&lt;="&amp;I9,'Team Calendar'!$F$5:$F$14,"Personal absence"))</x:f>
        <x:v>5</x:v>
      </x:c>
      <x:c r="L9" s="13" t="str">
        <x:v>이권욱</x:v>
      </x:c>
      <x:c r="M9" s="13" t="str">
        <x:v>이하영</x:v>
      </x:c>
      <x:c r="N9" s="13" t="str">
        <x:v>D08; D09; D34; D35</x:v>
      </x:c>
      <x:c r="O9" s="13" t="str">
        <x:v>RISK-02; RISK-04; RISK-07</x:v>
      </x:c>
      <x:c r="P9" s="195" t="str">
        <x:v>Primary/Secondary·TSIG·제한 Query/Recursion·Failover Evidence와 k8s-api-lb01 `.109` Resolver/ACL/IPSet 검증 및 Support Review 승인</x:v>
      </x:c>
      <x:c r="Q9" s="195" t="str">
        <x:v>기술 검증·Support Review·.109 ACL/Resolver/Failover Delta 확인 완료. 2026-09-03 Done 승인.
GitHub closed/completed</x:v>
      </x:c>
      <x:c r="R9" s="13" t="str">
        <x:v>https://github.com/321Team/fds-project-baseline/issues/12</x:v>
      </x:c>
      <x:c r="S9" s="13" t="str">
        <x:f>IF(G9="Done","Done",IF(I9="","End TBD",IF(I9&lt;'Executive Summary'!$B$4,"Target elapsed",IF(H9&gt;'Executive Summary'!$B$4,"Upcoming","Active window"))))</x:f>
        <x:v>Done</x:v>
      </x:c>
    </x:row>
    <x:row r="10" ht="110" customHeight="1">
      <x:c r="A10" s="13" t="str">
        <x:v>P1-HBR-01</x:v>
      </x:c>
      <x:c r="B10" s="13" t="str">
        <x:v>Harbor / Trivy Registry</x:v>
      </x:c>
      <x:c r="C10" s="13" t="str">
        <x:v>Phase 1</x:v>
      </x:c>
      <x:c r="D10" s="13" t="str">
        <x:v>Registry / Supply Chain</x:v>
      </x:c>
      <x:c r="E10" s="13" t="str">
        <x:v>Task</x:v>
      </x:c>
      <x:c r="F10" s="13" t="str">
        <x:v>P0</x:v>
      </x:c>
      <x:c r="G10" s="13" t="str">
        <x:v>In Progress</x:v>
      </x:c>
      <x:c r="H10" s="191" t="n">
        <x:v>46265</x:v>
      </x:c>
      <x:c r="I10" s="191" t="n">
        <x:v>46282</x:v>
      </x:c>
      <x:c r="J10" s="156" t="n">
        <x:f>IF(OR(H10="",I10=""),"",I10-H10+1)</x:f>
        <x:v>18</x:v>
      </x:c>
      <x:c r="K10" s="156" t="n">
        <x:f>IF(OR(H10="",I10=""),"",NETWORKDAYS(H10,I10,'Sources &amp; Change Log'!$J$2:$J$5)-COUNTIFS('Team Calendar'!$A$5:$A$14,L10,'Team Calendar'!$C$5:$C$14,"&gt;="&amp;H10,'Team Calendar'!$C$5:$C$14,"&lt;="&amp;I10,'Team Calendar'!$F$5:$F$14,"Personal absence"))</x:f>
        <x:v>12</x:v>
      </x:c>
      <x:c r="L10" s="13" t="str">
        <x:v>이하영</x:v>
      </x:c>
      <x:c r="M10" s="13" t="str">
        <x:v>이권욱</x:v>
      </x:c>
      <x:c r="N10" s="13" t="str">
        <x:v>D04; D17; D19; D35</x:v>
      </x:c>
      <x:c r="O10" s="13" t="str">
        <x:v>RISK-04; RISK-06; RISK-07</x:v>
      </x:c>
      <x:c r="P10" s="195" t="str">
        <x:v>harbor01 `.54:443`, Private CA Trust, 최소권한 Robot Account, IF-09 Runner Push·IF-10 Worker Pull/Pod Start, 비승인 Push/Pull DENY, Trivy/Digest/Evidence PASS</x:v>
      </x:c>
      <x:c r="Q10" s="195" t="str">
        <x:v>Harbor 준비는 CP 후속과 병행하고 09-16 CI Scan Digest까지 4/4 대조 후 09-17 인수 목표다. 실제 상태·완료 판정은 유지한다. 세부 배정: Fast Track Plan 시트.
GitHub open/-</x:v>
      </x:c>
      <x:c r="R10" s="13" t="str">
        <x:v>https://github.com/321Team/fds-project-baseline/issues/13</x:v>
      </x:c>
      <x:c r="S10" s="13" t="str">
        <x:f>IF(G10="Done","Done",IF(I10="","End TBD",IF(I10&lt;'Executive Summary'!$B$4,"Target elapsed",IF(H10&gt;'Executive Summary'!$B$4,"Upcoming","Active window"))))</x:f>
        <x:v>Target elapsed</x:v>
      </x:c>
    </x:row>
    <x:row r="11" ht="110" customHeight="1">
      <x:c r="A11" s="13" t="str">
        <x:v>ICR-D-NET-01-01</x:v>
      </x:c>
      <x:c r="B11" s="13" t="str">
        <x:v>Kubernetes Node Host Firewall / Monitoring Route</x:v>
      </x:c>
      <x:c r="C11" s="13" t="str">
        <x:v>Phase 1</x:v>
      </x:c>
      <x:c r="D11" s="13" t="str">
        <x:v>Network / Interface Change Control</x:v>
      </x:c>
      <x:c r="E11" s="13" t="str">
        <x:v>Change Request</x:v>
      </x:c>
      <x:c r="F11" s="13" t="str">
        <x:v>P0</x:v>
      </x:c>
      <x:c r="G11" s="13" t="str">
        <x:v>In Progress</x:v>
      </x:c>
      <x:c r="H11" s="191" t="n">
        <x:v>46266</x:v>
      </x:c>
      <x:c r="I11" s="191" t="n">
        <x:v>46286</x:v>
      </x:c>
      <x:c r="J11" s="156" t="n">
        <x:f>IF(OR(H11="",I11=""),"",I11-H11+1)</x:f>
        <x:v>21</x:v>
      </x:c>
      <x:c r="K11" s="156" t="n">
        <x:f>IF(OR(H11="",I11=""),"",NETWORKDAYS(H11,I11,'Sources &amp; Change Log'!$J$2:$J$5)-COUNTIFS('Team Calendar'!$A$5:$A$14,L11,'Team Calendar'!$C$5:$C$14,"&gt;="&amp;H11,'Team Calendar'!$C$5:$C$14,"&lt;="&amp;I11,'Team Calendar'!$F$5:$F$14,"Personal absence"))</x:f>
        <x:v>15</x:v>
      </x:c>
      <x:c r="L11" s="13" t="str">
        <x:v>이권욱</x:v>
      </x:c>
      <x:c r="M11" s="13" t="str">
        <x:v>이하영, 이재환</x:v>
      </x:c>
      <x:c r="N11" s="13" t="str">
        <x:v>D17; D18; D33; D34; D35</x:v>
      </x:c>
      <x:c r="O11" s="13" t="str">
        <x:v>RISK-04; RISK-07</x:v>
      </x:c>
      <x:c r="P11" s="195" t="str">
        <x:v>Kubernetes 6개 Node의 보호 공백 없는 firewalld→Calico named HEP/GNP 전환, 30080/9100/10250 최소 허용, 관리망 반환 경로와 IF-06B 정합화, Positive/Negative/Regression/Reboot/Rollback 및 무결성 Evidence 완료</x:v>
      </x:c>
      <x:c r="Q11" s="195" t="str">
        <x:v>09-21은 권장 Plan End이며 실제 종료일 확정이나 AC 완료가 아니다. 기존 End TBD 이력은 보존한다. CP→Worker·NTP·IF-16을 먼저, IF-06B·Negative/Reboot/Rollback·보호 인계를 후속 검증한다. 실제 상태·완료 판정은 유지한다. 세부 배정: Fast Track Plan 시트.
GitHub open/-</x:v>
      </x:c>
      <x:c r="R11" s="13" t="str">
        <x:v>https://github.com/321Team/fds-project-baseline/issues/14</x:v>
      </x:c>
      <x:c r="S11" s="13" t="str">
        <x:f>IF(G11="Done","Done",IF(I11="","End TBD",IF(I11&lt;'Executive Summary'!$B$4,"Target elapsed",IF(H11&gt;'Executive Summary'!$B$4,"Upcoming","Active window"))))</x:f>
        <x:v>Target elapsed</x:v>
      </x:c>
    </x:row>
    <x:row r="12" ht="110" customHeight="1">
      <x:c r="A12" s="13" t="str">
        <x:v>CR-P1-ANS-01-01</x:v>
      </x:c>
      <x:c r="B12" s="13" t="str">
        <x:v>Ansible Kubernetes Node DNS Resolver 변경</x:v>
      </x:c>
      <x:c r="C12" s="13" t="str">
        <x:v>Phase 1</x:v>
      </x:c>
      <x:c r="D12" s="13" t="str">
        <x:v>Automation / DNS Client</x:v>
      </x:c>
      <x:c r="E12" s="13" t="str">
        <x:v>Change Request</x:v>
      </x:c>
      <x:c r="F12" s="13" t="str">
        <x:v>P1</x:v>
      </x:c>
      <x:c r="G12" s="13" t="str">
        <x:v>Done</x:v>
      </x:c>
      <x:c r="H12" s="191" t="n">
        <x:v>46269</x:v>
      </x:c>
      <x:c r="I12" s="191" t="n">
        <x:v>46272</x:v>
      </x:c>
      <x:c r="J12" s="156" t="n">
        <x:f>IF(OR(H12="",I12=""),"",I12-H12+1)</x:f>
        <x:v>4</x:v>
      </x:c>
      <x:c r="K12" s="156" t="n">
        <x:f>IF(OR(H12="",I12=""),"",NETWORKDAYS(H12,I12,'Sources &amp; Change Log'!$J$2:$J$5)-COUNTIFS('Team Calendar'!$A$5:$A$14,L12,'Team Calendar'!$C$5:$C$14,"&gt;="&amp;H12,'Team Calendar'!$C$5:$C$14,"&lt;="&amp;I12,'Team Calendar'!$F$5:$F$14,"Personal absence"))</x:f>
        <x:v>2</x:v>
      </x:c>
      <x:c r="L12" s="13" t="str">
        <x:v>이권욱</x:v>
      </x:c>
      <x:c r="M12" s="13" t="str">
        <x:v>이하영</x:v>
      </x:c>
      <x:c r="N12" s="13" t="str">
        <x:v>D08; D09; D34; D35</x:v>
      </x:c>
      <x:c r="O12" s="13" t="str">
        <x:v>RISK-02; RISK-04; RISK-07</x:v>
      </x:c>
      <x:c r="P12" s="195" t="str">
        <x:v>Kubernetes 6개 Node의 DNS 전환, 검색 도메인·API FQDN/Short Name·외부 DNS·직접 질의·서비스 회귀·멱등성·Rollback·Evidence 무결성 및 Support Review 완료</x:v>
      </x:c>
      <x:c r="Q12" s="195" t="str">
        <x:v>2026-09-07 Runtime·멱등성·회귀·Rollback·무결성 증적과 이하영 승인 리뷰를 완료하고 이권욱 수동 승인으로 PR #1을 병합했다. GitHub Actions 실행은 0건이므로 CI PASS로 기록하지 않는다. v3.1.17의 `In Review` 표시는 발행 시점 스냅샷이며 다음 정본에서 `Done`으로 동기화한다.
GitHub closed/completed</x:v>
      </x:c>
      <x:c r="R12" s="13" t="str">
        <x:v>https://github.com/321Team/fds-project-baseline/issues/58</x:v>
      </x:c>
      <x:c r="S12" s="13" t="str">
        <x:f>IF(G12="Done","Done",IF(I12="","End TBD",IF(I12&lt;'Executive Summary'!$B$4,"Target elapsed",IF(H12&gt;'Executive Summary'!$B$4,"Upcoming","Active window"))))</x:f>
        <x:v>Done</x:v>
      </x:c>
    </x:row>
    <x:row r="13" ht="110" customHeight="1">
      <x:c r="A13" s="13" t="str">
        <x:v>P1-APP-01</x:v>
      </x:c>
      <x:c r="B13" s="13" t="str">
        <x:v>transaction-api / fds-engine</x:v>
      </x:c>
      <x:c r="C13" s="13" t="str">
        <x:v>Phase 1</x:v>
      </x:c>
      <x:c r="D13" s="13" t="str">
        <x:v>Application / MSA</x:v>
      </x:c>
      <x:c r="E13" s="13" t="str">
        <x:v>Task</x:v>
      </x:c>
      <x:c r="F13" s="13" t="str">
        <x:v>P0</x:v>
      </x:c>
      <x:c r="G13" s="13" t="str">
        <x:v>In Progress</x:v>
      </x:c>
      <x:c r="H13" s="191" t="n">
        <x:v>46266</x:v>
      </x:c>
      <x:c r="I13" s="191" t="n">
        <x:v>46283</x:v>
      </x:c>
      <x:c r="J13" s="156" t="n">
        <x:f>IF(OR(H13="",I13=""),"",I13-H13+1)</x:f>
        <x:v>18</x:v>
      </x:c>
      <x:c r="K13" s="156" t="n">
        <x:f>IF(OR(H13="",I13=""),"",NETWORKDAYS(H13,I13,'Sources &amp; Change Log'!$J$2:$J$5)-COUNTIFS('Team Calendar'!$A$5:$A$14,L13,'Team Calendar'!$C$5:$C$14,"&gt;="&amp;H13,'Team Calendar'!$C$5:$C$14,"&lt;="&amp;I13,'Team Calendar'!$F$5:$F$14,"Personal absence"))</x:f>
        <x:v>9</x:v>
      </x:c>
      <x:c r="L13" s="13" t="str">
        <x:v>이재환</x:v>
      </x:c>
      <x:c r="M13" s="13" t="str">
        <x:v>이하영</x:v>
      </x:c>
      <x:c r="N13" s="13" t="str">
        <x:v>D03; D04; D18; D27; D31; D34</x:v>
      </x:c>
      <x:c r="O13" s="13" t="str">
        <x:v>RISK-07; RISK-09</x:v>
      </x:c>
      <x:c r="P13" s="195" t="str">
        <x:v>2개 Deployment/Service, 업무 8000/8001·metrics 9091/9090, `/livez`·`/readyz`, DB/FDS 장애정책, Resource, local endpoint topology, Contract/E2E Evidence</x:v>
      </x:c>
      <x:c r="Q13" s="195" t="str">
        <x:v>09-11 인계 및 사전 검증, 09-18 복귀 후 정본 Runtime 통합. 휴가 중 미승인 업무 계약·Schema 변경은 중단한다. 실제 상태·완료 판정은 유지한다. 세부 배정: Fast Track Plan 시트.
TS12; local endpoint 보장 NOT MET.
GitHub open/-</x:v>
      </x:c>
      <x:c r="R13" s="13" t="str">
        <x:v>https://github.com/321Team/fds-project-baseline/issues/15</x:v>
      </x:c>
      <x:c r="S13" s="13" t="str">
        <x:f>IF(G13="Done","Done",IF(I13="","End TBD",IF(I13&lt;'Executive Summary'!$B$4,"Target elapsed",IF(H13&gt;'Executive Summary'!$B$4,"Upcoming","Active window"))))</x:f>
        <x:v>Target elapsed</x:v>
      </x:c>
    </x:row>
    <x:row r="14" ht="110" customHeight="1">
      <x:c r="A14" s="13" t="str">
        <x:v>P1-CICD-01</x:v>
      </x:c>
      <x:c r="B14" s="13" t="str">
        <x:v>GitHub Actions / Self-hosted Runner Delivery</x:v>
      </x:c>
      <x:c r="C14" s="13" t="str">
        <x:v>Phase 1</x:v>
      </x:c>
      <x:c r="D14" s="13" t="str">
        <x:v>CI/CD / Supply Chain</x:v>
      </x:c>
      <x:c r="E14" s="13" t="str">
        <x:v>Task</x:v>
      </x:c>
      <x:c r="F14" s="13" t="str">
        <x:v>P0</x:v>
      </x:c>
      <x:c r="G14" s="13" t="str">
        <x:v>In Progress</x:v>
      </x:c>
      <x:c r="H14" s="191" t="n">
        <x:v>46266</x:v>
      </x:c>
      <x:c r="I14" s="191" t="n">
        <x:v>46283</x:v>
      </x:c>
      <x:c r="J14" s="156" t="n">
        <x:f>IF(OR(H14="",I14=""),"",I14-H14+1)</x:f>
        <x:v>18</x:v>
      </x:c>
      <x:c r="K14" s="156" t="n">
        <x:f>IF(OR(H14="",I14=""),"",NETWORKDAYS(H14,I14,'Sources &amp; Change Log'!$J$2:$J$5)-COUNTIFS('Team Calendar'!$A$5:$A$14,L14,'Team Calendar'!$C$5:$C$14,"&gt;="&amp;H14,'Team Calendar'!$C$5:$C$14,"&lt;="&amp;I14,'Team Calendar'!$F$5:$F$14,"Personal absence"))</x:f>
        <x:v>14</x:v>
      </x:c>
      <x:c r="L14" s="13" t="str">
        <x:v>이권욱</x:v>
      </x:c>
      <x:c r="M14" s="13" t="str">
        <x:v>이하영</x:v>
      </x:c>
      <x:c r="N14" s="13" t="str">
        <x:v>D03; D04; D19; D34; D35</x:v>
      </x:c>
      <x:c r="O14" s="13" t="str">
        <x:v>RISK-06; RISK-08</x:v>
      </x:c>
      <x:c r="P14" s="195" t="str">
        <x:v>GitHub→Runner→Test→Build→Trivy→Harbor→Kubernetes Deploy→Health/E2E 흐름과 실패 시 Deploy 차단 Evidence 확보; 승인 Digest와 이전 Digest 복구 추적</x:v>
      </x:c>
      <x:c r="Q14" s="195" t="str">
        <x:v>Runner/Workflow·Negative Gate 준비를 플랫폼 구축과 병행하고 승인된 플랫폼·Harbor가 준비된 뒤 배포한다. 실제 상태·완료 판정은 유지한다. 세부 배정: Fast Track Plan 시트.
TS08~10; TLS/allowlist/audience 및 Delivery Runtime 미완.
GitHub open/-</x:v>
      </x:c>
      <x:c r="R14" s="13" t="str">
        <x:v>https://github.com/321Team/fds-project-baseline/issues/16</x:v>
      </x:c>
      <x:c r="S14" s="13" t="str">
        <x:f>IF(G14="Done","Done",IF(I14="","End TBD",IF(I14&lt;'Executive Summary'!$B$4,"Target elapsed",IF(H14&gt;'Executive Summary'!$B$4,"Upcoming","Active window"))))</x:f>
        <x:v>Target elapsed</x:v>
      </x:c>
    </x:row>
    <x:row r="15" ht="110" customHeight="1">
      <x:c r="A15" s="13" t="str">
        <x:v>P1-MON-01</x:v>
      </x:c>
      <x:c r="B15" s="13" t="str">
        <x:v>Kubernetes-Integrated Hybrid Monitoring 구축 및 검증</x:v>
      </x:c>
      <x:c r="C15" s="13" t="str">
        <x:v>Phase 1</x:v>
      </x:c>
      <x:c r="D15" s="13" t="str">
        <x:v>Monitoring / Observability</x:v>
      </x:c>
      <x:c r="E15" s="13" t="str">
        <x:v>Task</x:v>
      </x:c>
      <x:c r="F15" s="13" t="str">
        <x:v>P0</x:v>
      </x:c>
      <x:c r="G15" s="13" t="str">
        <x:v>In Progress</x:v>
      </x:c>
      <x:c r="H15" s="191" t="n">
        <x:v>46272</x:v>
      </x:c>
      <x:c r="I15" s="191" t="n">
        <x:v>46283</x:v>
      </x:c>
      <x:c r="J15" s="156" t="n">
        <x:f>IF(OR(H15="",I15=""),"",I15-H15+1)</x:f>
        <x:v>12</x:v>
      </x:c>
      <x:c r="K15" s="156" t="n">
        <x:f>IF(OR(H15="",I15=""),"",NETWORKDAYS(H15,I15,'Sources &amp; Change Log'!$J$2:$J$5)-COUNTIFS('Team Calendar'!$A$5:$A$14,L15,'Team Calendar'!$C$5:$C$14,"&gt;="&amp;H15,'Team Calendar'!$C$5:$C$14,"&lt;="&amp;I15,'Team Calendar'!$F$5:$F$14,"Personal absence"))</x:f>
        <x:v>6</x:v>
      </x:c>
      <x:c r="L15" s="13" t="str">
        <x:v>이재환</x:v>
      </x:c>
      <x:c r="M15" s="13" t="str">
        <x:v>이권욱</x:v>
      </x:c>
      <x:c r="N15" s="13" t="str">
        <x:v>D05; D14; D17; D19; D33; D34</x:v>
      </x:c>
      <x:c r="O15" s="13" t="str">
        <x:v>RISK-04; RISK-07</x:v>
      </x:c>
      <x:c r="P15" s="195" t="str">
        <x:v>Hybrid Monitoring의 Runtime Acceptance 14개와 필수 보조통제 2개, 구축·복구·Rollback Runbook 및 Support Review 증적 확보</x:v>
      </x:c>
      <x:c r="Q15" s="195" t="str">
        <x:v>09-11 Monitoring 인계, 부재 중 기존 Support의 준비·구현, 09-18 복귀 후 14개 AC+2개 보조통제 검증을 목표로 한다. 실제 상태·완료 판정은 유지한다. 세부 배정: Fast Track Plan 시트.
GitHub open/-</x:v>
      </x:c>
      <x:c r="R15" s="13" t="str">
        <x:v>https://github.com/321Team/fds-project-baseline/issues/17</x:v>
      </x:c>
      <x:c r="S15" s="13" t="str">
        <x:f>IF(G15="Done","Done",IF(I15="","End TBD",IF(I15&lt;'Executive Summary'!$B$4,"Target elapsed",IF(H15&gt;'Executive Summary'!$B$4,"Upcoming","Active window"))))</x:f>
        <x:v>Target elapsed</x:v>
      </x:c>
    </x:row>
    <x:row r="16" ht="110" customHeight="1">
      <x:c r="A16" s="13" t="str">
        <x:v>MS-G1-01</x:v>
      </x:c>
      <x:c r="B16" s="13" t="str">
        <x:v>G1 Infrastructure Ready</x:v>
      </x:c>
      <x:c r="C16" s="13" t="str">
        <x:v>Phase 1</x:v>
      </x:c>
      <x:c r="D16" s="13" t="str">
        <x:v>Milestone / Infrastructure</x:v>
      </x:c>
      <x:c r="E16" s="13" t="str">
        <x:v>Milestone</x:v>
      </x:c>
      <x:c r="F16" s="13" t="str">
        <x:v>P0</x:v>
      </x:c>
      <x:c r="G16" s="13" t="str">
        <x:v>To Do</x:v>
      </x:c>
      <x:c r="H16" s="191" t="n">
        <x:v>46282</x:v>
      </x:c>
      <x:c r="I16" s="191" t="n">
        <x:v>46282</x:v>
      </x:c>
      <x:c r="J16" s="156" t="n">
        <x:f>IF(OR(H16="",I16=""),"",I16-H16+1)</x:f>
        <x:v>1</x:v>
      </x:c>
      <x:c r="K16" s="156" t="n">
        <x:f>IF(OR(H16="",I16=""),"",NETWORKDAYS(H16,I16,'Sources &amp; Change Log'!$J$2:$J$5)-COUNTIFS('Team Calendar'!$A$5:$A$14,L16,'Team Calendar'!$C$5:$C$14,"&gt;="&amp;H16,'Team Calendar'!$C$5:$C$14,"&lt;="&amp;I16,'Team Calendar'!$F$5:$F$14,"Personal absence"))</x:f>
        <x:v>1</x:v>
      </x:c>
      <x:c r="L16" s="13" t="str">
        <x:v>이권욱</x:v>
      </x:c>
      <x:c r="M16" s="13" t="str">
        <x:v>이하영, 이재환</x:v>
      </x:c>
      <x:c r="N16" s="13" t="str">
        <x:v>D19; D25; D27</x:v>
      </x:c>
      <x:c r="O16" s="13" t="str">
        <x:v>RISK-02; RISK-03; RISK-04; RISK-06; RISK-07; RISK-08</x:v>
      </x:c>
      <x:c r="P16" s="195" t="str">
        <x:v>CentOS/containerd, Ansible Inventory/SSH/멱등성, 3CP+3Worker, API LB/Calico, Harbor/Runner/PostgreSQL, Node Connectivity와 Push/Pull 준비도 승인</x:v>
      </x:c>
      <x:c r="Q16" s="195" t="str">
        <x:v>09-17 오후 조건부 인수 목표. 6대·API/LB·Calico·DB·Harbor·Runner 증적 미충족이면 PASS 불가. 실제 상태·완료 판정은 유지한다. 세부 배정: Fast Track Plan 시트.
GitHub open/-</x:v>
      </x:c>
      <x:c r="R16" s="13" t="str">
        <x:v>https://github.com/321Team/fds-project-baseline/issues/18</x:v>
      </x:c>
      <x:c r="S16" s="13" t="str">
        <x:f>IF(G16="Done","Done",IF(I16="","End TBD",IF(I16&lt;'Executive Summary'!$B$4,"Target elapsed",IF(H16&gt;'Executive Summary'!$B$4,"Upcoming","Active window"))))</x:f>
        <x:v>Target elapsed</x:v>
      </x:c>
    </x:row>
    <x:row r="17" ht="110" customHeight="1">
      <x:c r="A17" s="13" t="str">
        <x:v>P1-SEC-01</x:v>
      </x:c>
      <x:c r="B17" s="13" t="str">
        <x:v>Kubernetes Security Controls</x:v>
      </x:c>
      <x:c r="C17" s="13" t="str">
        <x:v>Phase 1</x:v>
      </x:c>
      <x:c r="D17" s="13" t="str">
        <x:v>Security / Kubernetes</x:v>
      </x:c>
      <x:c r="E17" s="13" t="str">
        <x:v>Task</x:v>
      </x:c>
      <x:c r="F17" s="13" t="str">
        <x:v>P0</x:v>
      </x:c>
      <x:c r="G17" s="13" t="str">
        <x:v>In Progress</x:v>
      </x:c>
      <x:c r="H17" s="191" t="n">
        <x:v>46269</x:v>
      </x:c>
      <x:c r="I17" s="191" t="n">
        <x:v>46286</x:v>
      </x:c>
      <x:c r="J17" s="156" t="n">
        <x:f>IF(OR(H17="",I17=""),"",I17-H17+1)</x:f>
        <x:v>18</x:v>
      </x:c>
      <x:c r="K17" s="156" t="n">
        <x:f>IF(OR(H17="",I17=""),"",NETWORKDAYS(H17,I17,'Sources &amp; Change Log'!$J$2:$J$5)-COUNTIFS('Team Calendar'!$A$5:$A$14,L17,'Team Calendar'!$C$5:$C$14,"&gt;="&amp;H17,'Team Calendar'!$C$5:$C$14,"&lt;="&amp;I17,'Team Calendar'!$F$5:$F$14,"Personal absence"))</x:f>
        <x:v>10</x:v>
      </x:c>
      <x:c r="L17" s="13" t="str">
        <x:v>이하영</x:v>
      </x:c>
      <x:c r="M17" s="13" t="str">
        <x:v>이권욱, 이재환</x:v>
      </x:c>
      <x:c r="N17" s="13" t="str">
        <x:v>D12; D17; D18; D19; D27; D31; D34</x:v>
      </x:c>
      <x:c r="O17" s="13" t="str">
        <x:v>RISK-06; RISK-07; RISK-08</x:v>
      </x:c>
      <x:c r="P17" s="195" t="str">
        <x:v>PSA/SecurityContext/Default Deny/RBAC/HEP-GNP/Secretbox/LimitRange/Probe와 `.50/32→30080` 포함 Positive·Negative·Rollback Evidence PASS</x:v>
      </x:c>
      <x:c r="Q17" s="195" t="str">
        <x:v>09-10 휴가 추가 후 기존 09-04~11 가용일은 4일. 권장 종료 09-21로 확장한 전체 계획창의 가용일은 10일이며 잔여 공수를 뜻하지 않는다. Runtime 검증은 플랫폼·앱 인수와 연계한다. 실제 상태·완료 판정은 유지한다. 세부 배정: Fast Track Plan 시트.
TS13; rollback 4 blockers / 변경창 HOLD. rotation NOT MET/RISK ACCEPTED.
GitHub open/-</x:v>
      </x:c>
      <x:c r="R17" s="13" t="str">
        <x:v>https://github.com/321Team/fds-project-baseline/issues/19</x:v>
      </x:c>
      <x:c r="S17" s="13" t="str">
        <x:f>IF(G17="Done","Done",IF(I17="","End TBD",IF(I17&lt;'Executive Summary'!$B$4,"Target elapsed",IF(H17&gt;'Executive Summary'!$B$4,"Upcoming","Active window"))))</x:f>
        <x:v>Target elapsed</x:v>
      </x:c>
    </x:row>
    <x:row r="18" ht="110" customHeight="1">
      <x:c r="A18" s="13" t="str">
        <x:v>P1-E2E-01</x:v>
      </x:c>
      <x:c r="B18" s="13" t="str">
        <x:v>Initial / Final E2E &amp; Regression</x:v>
      </x:c>
      <x:c r="C18" s="13" t="str">
        <x:v>Phase 1</x:v>
      </x:c>
      <x:c r="D18" s="13" t="str">
        <x:v>QA / Integration Test</x:v>
      </x:c>
      <x:c r="E18" s="13" t="str">
        <x:v>Task</x:v>
      </x:c>
      <x:c r="F18" s="13" t="str">
        <x:v>P0</x:v>
      </x:c>
      <x:c r="G18" s="13" t="str">
        <x:v>In Progress</x:v>
      </x:c>
      <x:c r="H18" s="191" t="n">
        <x:v>46276</x:v>
      </x:c>
      <x:c r="I18" s="191" t="n">
        <x:v>46297</x:v>
      </x:c>
      <x:c r="J18" s="156" t="n">
        <x:f>IF(OR(H18="",I18=""),"",I18-H18+1)</x:f>
        <x:v>22</x:v>
      </x:c>
      <x:c r="K18" s="156" t="n">
        <x:f>IF(OR(H18="",I18=""),"",NETWORKDAYS(H18,I18,'Sources &amp; Change Log'!$J$2:$J$5)-COUNTIFS('Team Calendar'!$A$5:$A$14,L18,'Team Calendar'!$C$5:$C$14,"&gt;="&amp;H18,'Team Calendar'!$C$5:$C$14,"&lt;="&amp;I18,'Team Calendar'!$F$5:$F$14,"Personal absence"))</x:f>
        <x:v>9</x:v>
      </x:c>
      <x:c r="L18" s="13" t="str">
        <x:v>이재환</x:v>
      </x:c>
      <x:c r="M18" s="13" t="str">
        <x:v>이권욱, 이하영</x:v>
      </x:c>
      <x:c r="N18" s="13" t="str">
        <x:v>D03; D05; D17; D18</x:v>
      </x:c>
      <x:c r="O18" s="13" t="str">
        <x:v>RISK-05; RISK-07; RISK-09</x:v>
      </x:c>
      <x:c r="P18" s="195" t="str">
        <x:v>Client→edge→transaction-api→fds-engine→PostgreSQL→Prometheus E2E, Rule·Negative·Regression PASS, Critical Issue 0 및 Evidence 승인</x:v>
      </x:c>
      <x:c r="Q18" s="195" t="str">
        <x:v>10-05 공휴일/비근무를 반영해 Phase 1 최종 Runtime 회귀·증적 보강 목표를 10-02(금)로 고정한다. 10-06은 Review/Close 전용이며 신규 대규모 구현을 배정하지 않는다.
GitHub open/-</x:v>
      </x:c>
      <x:c r="R18" s="13" t="str">
        <x:v>https://github.com/321Team/fds-project-baseline/issues/20</x:v>
      </x:c>
      <x:c r="S18" s="13" t="str">
        <x:f>IF(G18="Done","Done",IF(I18="","End TBD",IF(I18&lt;'Executive Summary'!$B$4,"Target elapsed",IF(H18&gt;'Executive Summary'!$B$4,"Upcoming","Active window"))))</x:f>
        <x:v>Target elapsed</x:v>
      </x:c>
    </x:row>
    <x:row r="19" ht="110" customHeight="1">
      <x:c r="A19" s="13" t="str">
        <x:v>P1-DR-01</x:v>
      </x:c>
      <x:c r="B19" s="13" t="str">
        <x:v>PostgreSQL Backup / Restore</x:v>
      </x:c>
      <x:c r="C19" s="13" t="str">
        <x:v>Phase 1</x:v>
      </x:c>
      <x:c r="D19" s="13" t="str">
        <x:v>DR / Data Recovery</x:v>
      </x:c>
      <x:c r="E19" s="13" t="str">
        <x:v>Task</x:v>
      </x:c>
      <x:c r="F19" s="13" t="str">
        <x:v>P0</x:v>
      </x:c>
      <x:c r="G19" s="13" t="str">
        <x:v>In Progress</x:v>
      </x:c>
      <x:c r="H19" s="191" t="n">
        <x:v>46276</x:v>
      </x:c>
      <x:c r="I19" s="191" t="n">
        <x:v>46297</x:v>
      </x:c>
      <x:c r="J19" s="156" t="n">
        <x:f>IF(OR(H19="",I19=""),"",I19-H19+1)</x:f>
        <x:v>22</x:v>
      </x:c>
      <x:c r="K19" s="156" t="n">
        <x:f>IF(OR(H19="",I19=""),"",NETWORKDAYS(H19,I19,'Sources &amp; Change Log'!$J$2:$J$5)-COUNTIFS('Team Calendar'!$A$5:$A$14,L19,'Team Calendar'!$C$5:$C$14,"&gt;="&amp;H19,'Team Calendar'!$C$5:$C$14,"&lt;="&amp;I19,'Team Calendar'!$F$5:$F$14,"Personal absence"))</x:f>
        <x:v>9</x:v>
      </x:c>
      <x:c r="L19" s="13" t="str">
        <x:v>이재환</x:v>
      </x:c>
      <x:c r="M19" s="13" t="str">
        <x:v>이권욱</x:v>
      </x:c>
      <x:c r="N19" s="13" t="str">
        <x:v>D04</x:v>
      </x:c>
      <x:c r="O19" s="13" t="str">
        <x:v>RISK-05; RISK-09</x:v>
      </x:c>
      <x:c r="P19" s="195" t="str">
        <x:v>pg_dump Backup, 승인된 초기화/격리 환경 Restore, Row/Rule 결과 정합성 및 Restore 후 Final E2E PASS와 Runbook 확보</x:v>
      </x:c>
      <x:c r="Q19" s="195" t="str">
        <x:v>10-05 공휴일/비근무를 반영해 Restore 후 E2E·Runbook 보강의 계획 cutoff를 10-02(금)로 둔다. 미완료는 10-06 Review에서 Known Issue/잔여조치로 판정하며 미검증을 PASS로 확대하지 않는다.
GitHub open/-</x:v>
      </x:c>
      <x:c r="R19" s="13" t="str">
        <x:v>https://github.com/321Team/fds-project-baseline/issues/21</x:v>
      </x:c>
      <x:c r="S19" s="13" t="str">
        <x:f>IF(G19="Done","Done",IF(I19="","End TBD",IF(I19&lt;'Executive Summary'!$B$4,"Target elapsed",IF(H19&gt;'Executive Summary'!$B$4,"Upcoming","Active window"))))</x:f>
        <x:v>Target elapsed</x:v>
      </x:c>
    </x:row>
    <x:row r="20" ht="110" customHeight="1">
      <x:c r="A20" s="13" t="str">
        <x:v>P1-HA-01</x:v>
      </x:c>
      <x:c r="B20" s="13" t="str">
        <x:v>Worker Drain Continuity</x:v>
      </x:c>
      <x:c r="C20" s="13" t="str">
        <x:v>Phase 1</x:v>
      </x:c>
      <x:c r="D20" s="13" t="str">
        <x:v>HA / Resilience</x:v>
      </x:c>
      <x:c r="E20" s="13" t="str">
        <x:v>Task</x:v>
      </x:c>
      <x:c r="F20" s="13" t="str">
        <x:v>P0</x:v>
      </x:c>
      <x:c r="G20" s="13" t="str">
        <x:v>In Progress</x:v>
      </x:c>
      <x:c r="H20" s="191" t="n">
        <x:v>46276</x:v>
      </x:c>
      <x:c r="I20" s="191" t="n">
        <x:v>46297</x:v>
      </x:c>
      <x:c r="J20" s="156" t="n">
        <x:f>IF(OR(H20="",I20=""),"",I20-H20+1)</x:f>
        <x:v>22</x:v>
      </x:c>
      <x:c r="K20" s="156" t="n">
        <x:f>IF(OR(H20="",I20=""),"",NETWORKDAYS(H20,I20,'Sources &amp; Change Log'!$J$2:$J$5)-COUNTIFS('Team Calendar'!$A$5:$A$14,L20,'Team Calendar'!$C$5:$C$14,"&gt;="&amp;H20,'Team Calendar'!$C$5:$C$14,"&lt;="&amp;I20,'Team Calendar'!$F$5:$F$14,"Personal absence"))</x:f>
        <x:v>9</x:v>
      </x:c>
      <x:c r="L20" s="13" t="str">
        <x:v>이재환</x:v>
      </x:c>
      <x:c r="M20" s="13" t="str">
        <x:v>이하영</x:v>
      </x:c>
      <x:c r="N20" s="13" t="str">
        <x:v>D02; D03</x:v>
      </x:c>
      <x:c r="O20" s="13" t="str">
        <x:v>RISK-03; RISK-05; RISK-07</x:v>
      </x:c>
      <x:c r="P20" s="195" t="str">
        <x:v>FDS Replica 3개 Worker 분산, Worker Drain 중 승인된 서비스 지속 기준 충족, 복구·Uncordon 및 E2E Evidence 확보</x:v>
      </x:c>
      <x:c r="Q20" s="195" t="str">
        <x:v>10-05 공휴일/비근무를 반영해 잔여 HA/가용성 증적의 계획 cutoff를 10-02(금)로 둔다. 10-06은 Review/Close 전용이며 추가 장애시험은 승인된 최소 범위만 수행한다.
GitHub open/-</x:v>
      </x:c>
      <x:c r="R20" s="13" t="str">
        <x:v>https://github.com/321Team/fds-project-baseline/issues/22</x:v>
      </x:c>
      <x:c r="S20" s="13" t="str">
        <x:f>IF(G20="Done","Done",IF(I20="","End TBD",IF(I20&lt;'Executive Summary'!$B$4,"Target elapsed",IF(H20&gt;'Executive Summary'!$B$4,"Upcoming","Active window"))))</x:f>
        <x:v>Target elapsed</x:v>
      </x:c>
    </x:row>
    <x:row r="21" ht="110" customHeight="1">
      <x:c r="A21" s="13" t="str">
        <x:v>MS-G2-01</x:v>
      </x:c>
      <x:c r="B21" s="13" t="str">
        <x:v>G2 Security / Feature Ready</x:v>
      </x:c>
      <x:c r="C21" s="13" t="str">
        <x:v>Phase 1</x:v>
      </x:c>
      <x:c r="D21" s="13" t="str">
        <x:v>Milestone / Security &amp; Feature</x:v>
      </x:c>
      <x:c r="E21" s="13" t="str">
        <x:v>Milestone</x:v>
      </x:c>
      <x:c r="F21" s="13" t="str">
        <x:v>P0</x:v>
      </x:c>
      <x:c r="G21" s="13" t="str">
        <x:v>To Do</x:v>
      </x:c>
      <x:c r="H21" s="191" t="n">
        <x:v>46286</x:v>
      </x:c>
      <x:c r="I21" s="191" t="n">
        <x:v>46286</x:v>
      </x:c>
      <x:c r="J21" s="156" t="n">
        <x:f>IF(OR(H21="",I21=""),"",I21-H21+1)</x:f>
        <x:v>1</x:v>
      </x:c>
      <x:c r="K21" s="156" t="n">
        <x:f>IF(OR(H21="",I21=""),"",NETWORKDAYS(H21,I21,'Sources &amp; Change Log'!$J$2:$J$5)-COUNTIFS('Team Calendar'!$A$5:$A$14,L21,'Team Calendar'!$C$5:$C$14,"&gt;="&amp;H21,'Team Calendar'!$C$5:$C$14,"&lt;="&amp;I21,'Team Calendar'!$F$5:$F$14,"Personal absence"))</x:f>
        <x:v>1</x:v>
      </x:c>
      <x:c r="L21" s="13" t="str">
        <x:v>이하영</x:v>
      </x:c>
      <x:c r="M21" s="13" t="str">
        <x:v>이권욱, 이재환</x:v>
      </x:c>
      <x:c r="N21" s="13" t="str">
        <x:v>D17; D18; D19; D27</x:v>
      </x:c>
      <x:c r="O21" s="13" t="str">
        <x:v>RISK-05; RISK-06; RISK-07; RISK-08; RISK-09</x:v>
      </x:c>
      <x:c r="P21" s="195" t="str">
        <x:v>2-Service MSA, DB 저장, Security P0, CI/CD, Monitoring, Initial E2E/Negative Test/Worker Drain 준비도를 승인</x:v>
      </x:c>
      <x:c r="Q21" s="195" t="str">
        <x:v>09-21 오후 종료 시점 목표. 앱/보안/CI/Monitoring·초기 E2E/Negative/Drain 준비도와 해당 증적이 선행한다. 실제 상태·완료 판정은 유지한다. 세부 배정: Fast Track Plan 시트.
GitHub open/-</x:v>
      </x:c>
      <x:c r="R21" s="13" t="str">
        <x:v>https://github.com/321Team/fds-project-baseline/issues/23</x:v>
      </x:c>
      <x:c r="S21" s="13" t="str">
        <x:f>IF(G21="Done","Done",IF(I21="","End TBD",IF(I21&lt;'Executive Summary'!$B$4,"Target elapsed",IF(H21&gt;'Executive Summary'!$B$4,"Upcoming","Active window"))))</x:f>
        <x:v>Target elapsed</x:v>
      </x:c>
    </x:row>
    <x:row r="22" ht="110" customHeight="1">
      <x:c r="A22" s="13" t="str">
        <x:v>P1-DOC-01</x:v>
      </x:c>
      <x:c r="B22" s="13" t="str">
        <x:v>Architecture / Test / Runbook Freeze</x:v>
      </x:c>
      <x:c r="C22" s="13" t="str">
        <x:v>Phase 1</x:v>
      </x:c>
      <x:c r="D22" s="13" t="str">
        <x:v>PMO / Documentation</x:v>
      </x:c>
      <x:c r="E22" s="13" t="str">
        <x:v>Task</x:v>
      </x:c>
      <x:c r="F22" s="13" t="str">
        <x:v>P0</x:v>
      </x:c>
      <x:c r="G22" s="13" t="str">
        <x:v>To Do</x:v>
      </x:c>
      <x:c r="H22" s="191" t="n">
        <x:v>46276</x:v>
      </x:c>
      <x:c r="I22" s="191" t="n">
        <x:v>46297</x:v>
      </x:c>
      <x:c r="J22" s="156" t="n">
        <x:f>IF(OR(H22="",I22=""),"",I22-H22+1)</x:f>
        <x:v>22</x:v>
      </x:c>
      <x:c r="K22" s="156" t="n">
        <x:f>IF(OR(H22="",I22=""),"",NETWORKDAYS(H22,I22,'Sources &amp; Change Log'!$J$2:$J$5)-COUNTIFS('Team Calendar'!$A$5:$A$14,L22,'Team Calendar'!$C$5:$C$14,"&gt;="&amp;H22,'Team Calendar'!$C$5:$C$14,"&lt;="&amp;I22,'Team Calendar'!$F$5:$F$14,"Personal absence"))</x:f>
        <x:v>14</x:v>
      </x:c>
      <x:c r="L22" s="13" t="str">
        <x:v>이권욱</x:v>
      </x:c>
      <x:c r="M22" s="13" t="str">
        <x:v>이하영, 이재환</x:v>
      </x:c>
      <x:c r="N22" s="13" t="str">
        <x:v>D12; D20; D25</x:v>
      </x:c>
      <x:c r="O22" s="13" t="str">
        <x:v>RISK-05; RISK-13</x:v>
      </x:c>
      <x:c r="P22" s="195" t="str">
        <x:v>As-built Architecture, Test/Evidence Index, 구축·운영·복구 Runbook, P1 미완료 Known Issue의 풀네임 Owner·Due, Version/Source 및 Review 재현성 승인</x:v>
      </x:c>
      <x:c r="Q22" s="195" t="str">
        <x:v>Phase 1 Review package 동결 목표를 10-02(금)로 조정한다. 10-05는 비근무일, 10-06은 Review/Close 전용이다. Source/Evidence 미완료는 Known Issue 또는 잔여 Action으로 명시한다.
GitHub open/-</x:v>
      </x:c>
      <x:c r="R22" s="13" t="str">
        <x:v>https://github.com/321Team/fds-project-baseline/issues/24</x:v>
      </x:c>
      <x:c r="S22" s="13" t="str">
        <x:f>IF(G22="Done","Done",IF(I22="","End TBD",IF(I22&lt;'Executive Summary'!$B$4,"Target elapsed",IF(H22&gt;'Executive Summary'!$B$4,"Upcoming","Active window"))))</x:f>
        <x:v>Target elapsed</x:v>
      </x:c>
    </x:row>
    <x:row r="23" ht="110" customHeight="1">
      <x:c r="A23" s="13" t="str">
        <x:v>P1-MON-02</x:v>
      </x:c>
      <x:c r="B23" s="13" t="str">
        <x:v>Dashboard / Alert Enhancement</x:v>
      </x:c>
      <x:c r="C23" s="13" t="str">
        <x:v>Phase 1</x:v>
      </x:c>
      <x:c r="D23" s="13" t="str">
        <x:v>Monitoring / Observability</x:v>
      </x:c>
      <x:c r="E23" s="13" t="str">
        <x:v>Task</x:v>
      </x:c>
      <x:c r="F23" s="13" t="str">
        <x:v>P1</x:v>
      </x:c>
      <x:c r="G23" s="13" t="str">
        <x:v>To Do</x:v>
      </x:c>
      <x:c r="H23" s="191"/>
      <x:c r="I23" s="191"/>
      <x:c r="J23" s="156" t="str">
        <x:f>IF(OR(H23="",I23=""),"",I23-H23+1)</x:f>
      </x:c>
      <x:c r="K23" s="156" t="str">
        <x:f>IF(OR(H23="",I23=""),"",NETWORKDAYS(H23,I23,'Sources &amp; Change Log'!$J$2:$J$5)-COUNTIFS('Team Calendar'!$A$5:$A$14,L23,'Team Calendar'!$C$5:$C$14,"&gt;="&amp;H23,'Team Calendar'!$C$5:$C$14,"&lt;="&amp;I23,'Team Calendar'!$F$5:$F$14,"Personal absence"))</x:f>
      </x:c>
      <x:c r="L23" s="13" t="str">
        <x:v>이재환</x:v>
      </x:c>
      <x:c r="M23" s="13" t="str">
        <x:v>이권욱, 이하영</x:v>
      </x:c>
      <x:c r="N23" s="13" t="str">
        <x:v>D25; D33</x:v>
      </x:c>
      <x:c r="O23" s="13" t="str">
        <x:v>RISK-05; RISK-07; RISK-09; RISK-14</x:v>
      </x:c>
      <x:c r="P23" s="195" t="str">
        <x:v>Prometheus 2 Replica·Alertmanager 3 Replica, PDB/TopologySpread, Dashboard/Alert·장기보존 고도화와 장애·복구·P0 회귀 Evidence 및 Review</x:v>
      </x:c>
      <x:c r="Q23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3" s="13" t="str">
        <x:v>https://github.com/321Team/fds-project-baseline/issues/25</x:v>
      </x:c>
      <x:c r="S23" s="13" t="str">
        <x:f>IF(G23="Done","Done",IF(I23="","End TBD",IF(I23&lt;'Executive Summary'!$B$4,"Target elapsed",IF(H23&gt;'Executive Summary'!$B$4,"Upcoming","Active window"))))</x:f>
        <x:v>End TBD</x:v>
      </x:c>
    </x:row>
    <x:row r="24" ht="110" customHeight="1">
      <x:c r="A24" s="13" t="str">
        <x:v>P1-DR-02</x:v>
      </x:c>
      <x:c r="B24" s="13" t="str">
        <x:v>Harbor / etcd Backup and Restore</x:v>
      </x:c>
      <x:c r="C24" s="13" t="str">
        <x:v>Phase 1</x:v>
      </x:c>
      <x:c r="D24" s="13" t="str">
        <x:v>DR / Platform Recovery</x:v>
      </x:c>
      <x:c r="E24" s="13" t="str">
        <x:v>Task</x:v>
      </x:c>
      <x:c r="F24" s="13" t="str">
        <x:v>P1</x:v>
      </x:c>
      <x:c r="G24" s="13" t="str">
        <x:v>To Do</x:v>
      </x:c>
      <x:c r="H24" s="191"/>
      <x:c r="I24" s="191"/>
      <x:c r="J24" s="156" t="str">
        <x:f>IF(OR(H24="",I24=""),"",I24-H24+1)</x:f>
      </x:c>
      <x:c r="K24" s="156" t="str">
        <x:f>IF(OR(H24="",I24=""),"",NETWORKDAYS(H24,I24,'Sources &amp; Change Log'!$J$2:$J$5)-COUNTIFS('Team Calendar'!$A$5:$A$14,L24,'Team Calendar'!$C$5:$C$14,"&gt;="&amp;H24,'Team Calendar'!$C$5:$C$14,"&lt;="&amp;I24,'Team Calendar'!$F$5:$F$14,"Personal absence"))</x:f>
      </x:c>
      <x:c r="L24" s="13" t="str">
        <x:v>이하영</x:v>
      </x:c>
      <x:c r="M24" s="13" t="str">
        <x:v>이권욱, 이재환</x:v>
      </x:c>
      <x:c r="N24" s="13" t="str">
        <x:v>D04; D25</x:v>
      </x:c>
      <x:c r="O24" s="13" t="str">
        <x:v>RISK-05; RISK-06; RISK-08; RISK-14</x:v>
      </x:c>
      <x:c r="P24" s="195" t="str">
        <x:v>Harbor Backup/Restore와 etcd Snapshot/Restore를 격리 대상에서 수행하고 무결성·복구·Runbook Evidence 확보</x:v>
      </x:c>
      <x:c r="Q24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4" s="13" t="str">
        <x:v>https://github.com/321Team/fds-project-baseline/issues/26</x:v>
      </x:c>
      <x:c r="S24" s="13" t="str">
        <x:f>IF(G24="Done","Done",IF(I24="","End TBD",IF(I24&lt;'Executive Summary'!$B$4,"Target elapsed",IF(H24&gt;'Executive Summary'!$B$4,"Upcoming","Active window"))))</x:f>
        <x:v>End TBD</x:v>
      </x:c>
    </x:row>
    <x:row r="25" ht="110" customHeight="1">
      <x:c r="A25" s="13" t="str">
        <x:v>P1-HA-02</x:v>
      </x:c>
      <x:c r="B25" s="13" t="str">
        <x:v>Platform Resilience P1 Validation</x:v>
      </x:c>
      <x:c r="C25" s="13" t="str">
        <x:v>Phase 1</x:v>
      </x:c>
      <x:c r="D25" s="13" t="str">
        <x:v>HA / Platform Resilience</x:v>
      </x:c>
      <x:c r="E25" s="13" t="str">
        <x:v>Task</x:v>
      </x:c>
      <x:c r="F25" s="13" t="str">
        <x:v>P1</x:v>
      </x:c>
      <x:c r="G25" s="13" t="str">
        <x:v>To Do</x:v>
      </x:c>
      <x:c r="H25" s="191"/>
      <x:c r="I25" s="191"/>
      <x:c r="J25" s="156" t="str">
        <x:f>IF(OR(H25="",I25=""),"",I25-H25+1)</x:f>
      </x:c>
      <x:c r="K25" s="156" t="str">
        <x:f>IF(OR(H25="",I25=""),"",NETWORKDAYS(H25,I25,'Sources &amp; Change Log'!$J$2:$J$5)-COUNTIFS('Team Calendar'!$A$5:$A$14,L25,'Team Calendar'!$C$5:$C$14,"&gt;="&amp;H25,'Team Calendar'!$C$5:$C$14,"&lt;="&amp;I25,'Team Calendar'!$F$5:$F$14,"Personal absence"))</x:f>
      </x:c>
      <x:c r="L25" s="13" t="str">
        <x:v>이하영</x:v>
      </x:c>
      <x:c r="M25" s="13" t="str">
        <x:v>이권욱, 이재환</x:v>
      </x:c>
      <x:c r="N25" s="13" t="str">
        <x:v>D02; D25</x:v>
      </x:c>
      <x:c r="O25" s="13" t="str">
        <x:v>RISK-03; RISK-05; RISK-07; RISK-14</x:v>
      </x:c>
      <x:c r="P25" s="195" t="str">
        <x:v>Rolling Update, Control Plane 1대 장애, PDB 및 TopologySpreadConstraint 검증 결과와 복구 Evidence 확보</x:v>
      </x:c>
      <x:c r="Q25" s="195" t="str">
        <x:v>프로젝트 종료일 2026-10-26 확정. 본 P1 carry-over에는 고정 구현일을 배정하지 않는다. P0 완료 후 실제 잔여 capacity가 있을 때만 착수하고, 미착수 시 Deferred/Known Issue로 Close한다.
GitHub open/-
원문 일정: TBD — P0 인수 후 재계획 / TBD — 구현 유예 권장</x:v>
      </x:c>
      <x:c r="R25" s="13" t="str">
        <x:v>https://github.com/321Team/fds-project-baseline/issues/27</x:v>
      </x:c>
      <x:c r="S25" s="13" t="str">
        <x:f>IF(G25="Done","Done",IF(I25="","End TBD",IF(I25&lt;'Executive Summary'!$B$4,"Target elapsed",IF(H25&gt;'Executive Summary'!$B$4,"Upcoming","Active window"))))</x:f>
        <x:v>End TBD</x:v>
      </x:c>
    </x:row>
    <x:row r="26" ht="110" customHeight="1">
      <x:c r="A26" s="13" t="str">
        <x:v>DEC-CAL-P1-01</x:v>
      </x:c>
      <x:c r="B26" s="13" t="str">
        <x:v>Phase 1 Weekend Review Decision</x:v>
      </x:c>
      <x:c r="C26" s="13" t="str">
        <x:v>Phase 1</x:v>
      </x:c>
      <x:c r="D26" s="13" t="str">
        <x:v>Schedule / Governance</x:v>
      </x:c>
      <x:c r="E26" s="13" t="str">
        <x:v>Decision</x:v>
      </x:c>
      <x:c r="F26" s="13" t="str">
        <x:v>P0</x:v>
      </x:c>
      <x:c r="G26" s="13" t="str">
        <x:v>Done</x:v>
      </x:c>
      <x:c r="H26" s="191" t="n">
        <x:v>46276</x:v>
      </x:c>
      <x:c r="I26" s="191" t="n">
        <x:v>46276</x:v>
      </x:c>
      <x:c r="J26" s="156" t="n">
        <x:f>IF(OR(H26="",I26=""),"",I26-H26+1)</x:f>
        <x:v>1</x:v>
      </x:c>
      <x:c r="K26" s="156" t="n">
        <x:f>IF(OR(H26="",I26=""),"",NETWORKDAYS(H26,I26,'Sources &amp; Change Log'!$J$2:$J$5)-COUNTIFS('Team Calendar'!$A$5:$A$14,L26,'Team Calendar'!$C$5:$C$14,"&gt;="&amp;H26,'Team Calendar'!$C$5:$C$14,"&lt;="&amp;I26,'Team Calendar'!$F$5:$F$14,"Personal absence"))</x:f>
        <x:v>1</x:v>
      </x:c>
      <x:c r="L26" s="13" t="str">
        <x:v>이권욱</x:v>
      </x:c>
      <x:c r="M26" s="13" t="str">
        <x:v>이하영, 이재환</x:v>
      </x:c>
      <x:c r="N26" s="13" t="str">
        <x:v>D20</x:v>
      </x:c>
      <x:c r="O26" s="13" t="str">
        <x:v>RISK-05; RISK-13</x:v>
      </x:c>
      <x:c r="P26" s="195" t="str">
        <x:v>09-20 일요일 Review 유지 또는 영업일 재배치, 참석자·승인권자·시간·대체일을 확정하고 WBS/Calendar 동기화</x:v>
      </x:c>
      <x:c r="Q26" s="195" t="str"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R26" s="13" t="str">
        <x:v>https://github.com/321Team/fds-project-baseline/issues/28</x:v>
      </x:c>
      <x:c r="S26" s="13" t="str">
        <x:f>IF(G26="Done","Done",IF(I26="","End TBD",IF(I26&lt;'Executive Summary'!$B$4,"Target elapsed",IF(H26&gt;'Executive Summary'!$B$4,"Upcoming","Active window"))))</x:f>
        <x:v>Done</x:v>
      </x:c>
    </x:row>
    <x:row r="27" ht="110" customHeight="1">
      <x:c r="A27" s="13" t="str">
        <x:v>MS-G3-01</x:v>
      </x:c>
      <x:c r="B27" s="13" t="str">
        <x:v>G3 Review Ready</x:v>
      </x:c>
      <x:c r="C27" s="13" t="str">
        <x:v>Phase 1</x:v>
      </x:c>
      <x:c r="D27" s="13" t="str">
        <x:v>Milestone / Review Readiness</x:v>
      </x:c>
      <x:c r="E27" s="13" t="str">
        <x:v>Milestone</x:v>
      </x:c>
      <x:c r="F27" s="13" t="str">
        <x:v>P0</x:v>
      </x:c>
      <x:c r="G27" s="13" t="str">
        <x:v>To Do</x:v>
      </x:c>
      <x:c r="H27" s="191" t="n">
        <x:v>46297</x:v>
      </x:c>
      <x:c r="I27" s="191" t="n">
        <x:v>46297</x:v>
      </x:c>
      <x:c r="J27" s="156" t="n">
        <x:f>IF(OR(H27="",I27=""),"",I27-H27+1)</x:f>
        <x:v>1</x:v>
      </x:c>
      <x:c r="K27" s="156" t="n">
        <x:f>IF(OR(H27="",I27=""),"",NETWORKDAYS(H27,I27,'Sources &amp; Change Log'!$J$2:$J$5)-COUNTIFS('Team Calendar'!$A$5:$A$14,L27,'Team Calendar'!$C$5:$C$14,"&gt;="&amp;H27,'Team Calendar'!$C$5:$C$14,"&lt;="&amp;I27,'Team Calendar'!$F$5:$F$14,"Personal absence"))</x:f>
        <x:v>1</x:v>
      </x:c>
      <x:c r="L27" s="13" t="str">
        <x:v>이권욱</x:v>
      </x:c>
      <x:c r="M27" s="13" t="str">
        <x:v>이하영, 이재환</x:v>
      </x:c>
      <x:c r="N27" s="13" t="str">
        <x:v>D20</x:v>
      </x:c>
      <x:c r="O27" s="13" t="str">
        <x:v>RISK-05; RISK-09; RISK-13</x:v>
      </x:c>
      <x:c r="P27" s="195" t="str">
        <x:v>Final E2E/Regression, Worker Drain, PostgreSQL Restore, Critical Issue 0, Architecture/Test/Runbook 준비도를 승인</x:v>
      </x:c>
      <x:c r="Q27" s="195" t="str">
        <x:v>10-02는 실작업·증적 cutoff/G3 Review Ready 판정일이다. 남은 Phase 1 P0는 담당자별 공유 Runtime으로 직렬화하고, 미완료 AC는 10-06 Review에서 사실 상태를 분류한다. 일정 도래만으로 Gate PASS 처리하지 않는다.
GitHub open/-</x:v>
      </x:c>
      <x:c r="R27" s="13" t="str">
        <x:v>https://github.com/321Team/fds-project-baseline/issues/29</x:v>
      </x:c>
      <x:c r="S27" s="13" t="str">
        <x:f>IF(G27="Done","Done",IF(I27="","End TBD",IF(I27&lt;'Executive Summary'!$B$4,"Target elapsed",IF(H27&gt;'Executive Summary'!$B$4,"Upcoming","Active window"))))</x:f>
        <x:v>Target elapsed</x:v>
      </x:c>
    </x:row>
    <x:row r="28" ht="110" customHeight="1">
      <x:c r="A28" s="13" t="str">
        <x:v>P1-REV-01</x:v>
      </x:c>
      <x:c r="B28" s="13" t="str">
        <x:v>Phase 1 Review / Close Execution</x:v>
      </x:c>
      <x:c r="C28" s="13" t="str">
        <x:v>Phase 1</x:v>
      </x:c>
      <x:c r="D28" s="13" t="str">
        <x:v>PMO / Review</x:v>
      </x:c>
      <x:c r="E28" s="13" t="str">
        <x:v>Task</x:v>
      </x:c>
      <x:c r="F28" s="13" t="str">
        <x:v>P0</x:v>
      </x:c>
      <x:c r="G28" s="13" t="str">
        <x:v>To Do</x:v>
      </x:c>
      <x:c r="H28" s="191" t="n">
        <x:v>46301</x:v>
      </x:c>
      <x:c r="I28" s="191" t="n">
        <x:v>46301</x:v>
      </x:c>
      <x:c r="J28" s="156" t="n">
        <x:f>IF(OR(H28="",I28=""),"",I28-H28+1)</x:f>
        <x:v>1</x:v>
      </x:c>
      <x:c r="K28" s="156" t="n">
        <x:f>IF(OR(H28="",I28=""),"",NETWORKDAYS(H28,I28,'Sources &amp; Change Log'!$J$2:$J$5)-COUNTIFS('Team Calendar'!$A$5:$A$14,L28,'Team Calendar'!$C$5:$C$14,"&gt;="&amp;H28,'Team Calendar'!$C$5:$C$14,"&lt;="&amp;I28,'Team Calendar'!$F$5:$F$14,"Personal absence"))</x:f>
        <x:v>1</x:v>
      </x:c>
      <x:c r="L28" s="13" t="str">
        <x:v>이권욱</x:v>
      </x:c>
      <x:c r="M28" s="13" t="str">
        <x:v>이하영, 이재환</x:v>
      </x:c>
      <x:c r="N28" s="13" t="str">
        <x:v>D12; D20</x:v>
      </x:c>
      <x:c r="O28" s="13" t="str">
        <x:v>RISK-05; RISK-13</x:v>
      </x:c>
      <x:c r="P28" s="195" t="str">
        <x:v>G3 결과, Demo, P0 Evidence, Known Issue, P1 이관, Review Action을 승인하고 Phase 1 Close Sign-off 확보</x:v>
      </x:c>
      <x:c r="Q28" s="195" t="str">
        <x:v>10-06 하루에 Phase 1 Review/Close를 수행한다. 10-02 cutoff 이후 신규 Scope 확장은 하지 않고, 미완료 항목을 MET / NOT MET-RISK ACCEPTED / KNOWN ISSUE / APPROVED DEFERRED로 분류해 Owner·Due·Evidence를 고정한 뒤 #32 Close로 인계한다.
10/6 Close 결과 미수신; 미충족/위험/Owner 인계.
GitHub open/-</x:v>
      </x:c>
      <x:c r="R28" s="13" t="str">
        <x:v>https://github.com/321Team/fds-project-baseline/issues/30</x:v>
      </x:c>
      <x:c r="S28" s="13" t="str">
        <x:f>IF(G28="Done","Done",IF(I28="","End TBD",IF(I28&lt;'Executive Summary'!$B$4,"Target elapsed",IF(H28&gt;'Executive Summary'!$B$4,"Upcoming","Active window"))))</x:f>
        <x:v>Upcoming</x:v>
      </x:c>
    </x:row>
    <x:row r="29" ht="110" customHeight="1">
      <x:c r="A29" s="13" t="str">
        <x:v>MS-P1-REVIEW-01</x:v>
      </x:c>
      <x:c r="B29" s="13" t="str">
        <x:v>Phase 1 Review</x:v>
      </x:c>
      <x:c r="C29" s="13" t="str">
        <x:v>Phase 1</x:v>
      </x:c>
      <x:c r="D29" s="13" t="str">
        <x:v>Milestone / Review</x:v>
      </x:c>
      <x:c r="E29" s="13" t="str">
        <x:v>Milestone</x:v>
      </x:c>
      <x:c r="F29" s="13" t="str">
        <x:v>P0</x:v>
      </x:c>
      <x:c r="G29" s="13" t="str">
        <x:v>To Do</x:v>
      </x:c>
      <x:c r="H29" s="191" t="n">
        <x:v>46301</x:v>
      </x:c>
      <x:c r="I29" s="191" t="n">
        <x:v>46301</x:v>
      </x:c>
      <x:c r="J29" s="156" t="n">
        <x:f>IF(OR(H29="",I29=""),"",I29-H29+1)</x:f>
        <x:v>1</x:v>
      </x:c>
      <x:c r="K29" s="156" t="n">
        <x:f>IF(OR(H29="",I29=""),"",NETWORKDAYS(H29,I29,'Sources &amp; Change Log'!$J$2:$J$5)-COUNTIFS('Team Calendar'!$A$5:$A$14,L29,'Team Calendar'!$C$5:$C$14,"&gt;="&amp;H29,'Team Calendar'!$C$5:$C$14,"&lt;="&amp;I29,'Team Calendar'!$F$5:$F$14,"Personal absence"))</x:f>
        <x:v>1</x:v>
      </x:c>
      <x:c r="L29" s="13" t="str">
        <x:v>이권욱</x:v>
      </x:c>
      <x:c r="M29" s="13" t="str">
        <x:v>이하영, 이재환</x:v>
      </x:c>
      <x:c r="N29" s="13" t="str">
        <x:v>D20</x:v>
      </x:c>
      <x:c r="O29" s="13" t="str">
        <x:v>RISK-05; RISK-13</x:v>
      </x:c>
      <x:c r="P29" s="195" t="str">
        <x:v>승인된 일정에 Demo/산출물/G3/Known Issue Review를 수행하고 Action 및 승인결과를 기록</x:v>
      </x:c>
      <x:c r="Q29" s="195" t="str">
        <x:v>2026-09-23 Lead 결정으로 09-22에서 10-06(화)으로 조정. 같은 날 #30 보완·Sign-off와 #32 Close로 이어진다. G3 통과와 참석자 확정이 필요하다. 실제 상태·완료 판정은 유지한다.
GitHub open/-</x:v>
      </x:c>
      <x:c r="R29" s="13" t="str">
        <x:v>https://github.com/321Team/fds-project-baseline/issues/31</x:v>
      </x:c>
      <x:c r="S29" s="13" t="str">
        <x:f>IF(G29="Done","Done",IF(I29="","End TBD",IF(I29&lt;'Executive Summary'!$B$4,"Target elapsed",IF(H29&gt;'Executive Summary'!$B$4,"Upcoming","Active window"))))</x:f>
        <x:v>Upcoming</x:v>
      </x:c>
    </x:row>
    <x:row r="30" ht="110" customHeight="1">
      <x:c r="A30" s="13" t="str">
        <x:v>MS-P1-CLOSE-01</x:v>
      </x:c>
      <x:c r="B30" s="13" t="str">
        <x:v>Phase 1 Close</x:v>
      </x:c>
      <x:c r="C30" s="13" t="str">
        <x:v>Phase 1</x:v>
      </x:c>
      <x:c r="D30" s="13" t="str">
        <x:v>Milestone / Close</x:v>
      </x:c>
      <x:c r="E30" s="13" t="str">
        <x:v>Milestone</x:v>
      </x:c>
      <x:c r="F30" s="13" t="str">
        <x:v>P0</x:v>
      </x:c>
      <x:c r="G30" s="13" t="str">
        <x:v>To Do</x:v>
      </x:c>
      <x:c r="H30" s="191" t="n">
        <x:v>46301</x:v>
      </x:c>
      <x:c r="I30" s="191" t="n">
        <x:v>46301</x:v>
      </x:c>
      <x:c r="J30" s="156" t="n">
        <x:f>IF(OR(H30="",I30=""),"",I30-H30+1)</x:f>
        <x:v>1</x:v>
      </x:c>
      <x:c r="K30" s="156" t="n">
        <x:f>IF(OR(H30="",I30=""),"",NETWORKDAYS(H30,I30,'Sources &amp; Change Log'!$J$2:$J$5)-COUNTIFS('Team Calendar'!$A$5:$A$14,L30,'Team Calendar'!$C$5:$C$14,"&gt;="&amp;H30,'Team Calendar'!$C$5:$C$14,"&lt;="&amp;I30,'Team Calendar'!$F$5:$F$14,"Personal absence"))</x:f>
        <x:v>1</x:v>
      </x:c>
      <x:c r="L30" s="13" t="str">
        <x:v>이권욱</x:v>
      </x:c>
      <x:c r="M30" s="13" t="str">
        <x:v>이하영, 이재환</x:v>
      </x:c>
      <x:c r="N30" s="13" t="str">
        <x:v>D20</x:v>
      </x:c>
      <x:c r="O30" s="13" t="str">
        <x:v>RISK-05; RISK-13</x:v>
      </x:c>
      <x:c r="P30" s="195" t="str">
        <x:v>Review Action 처리, P0 승인, P1/Known Issue Owner·Due 이관 및 Phase 1 Close Sign-off 확보</x:v>
      </x:c>
      <x:c r="Q30" s="195" t="str">
        <x:v>2026-09-23 Lead 결정으로 10-06에 종결한다(Phase 1 진행 항목 #74·#75 등 10-06 계획 감안). #31 Review → #30 보완·Sign-off → Close 순으로 같은 날 진행하며, Close 판정 후 Phase 2 Start(#33)로 이어진다.
GitHub open/-</x:v>
      </x:c>
      <x:c r="R30" s="13" t="str">
        <x:v>https://github.com/321Team/fds-project-baseline/issues/32</x:v>
      </x:c>
      <x:c r="S30" s="13" t="str">
        <x:f>IF(G30="Done","Done",IF(I30="","End TBD",IF(I30&lt;'Executive Summary'!$B$4,"Target elapsed",IF(H30&gt;'Executive Summary'!$B$4,"Upcoming","Active window"))))</x:f>
        <x:v>Upcoming</x:v>
      </x:c>
    </x:row>
    <x:row r="31" ht="110" customHeight="1">
      <x:c r="A31" s="13" t="str">
        <x:v>MS-P2-START-01</x:v>
      </x:c>
      <x:c r="B31" s="13" t="str">
        <x:v>Phase 2 Start</x:v>
      </x:c>
      <x:c r="C31" s="13" t="str">
        <x:v>Phase 2</x:v>
      </x:c>
      <x:c r="D31" s="13" t="str">
        <x:v>Milestone / Start</x:v>
      </x:c>
      <x:c r="E31" s="13" t="str">
        <x:v>Milestone</x:v>
      </x:c>
      <x:c r="F31" s="13" t="str">
        <x:v>P0</x:v>
      </x:c>
      <x:c r="G31" s="13" t="str">
        <x:v>To Do</x:v>
      </x:c>
      <x:c r="H31" s="191" t="n">
        <x:v>46302</x:v>
      </x:c>
      <x:c r="I31" s="191" t="n">
        <x:v>46302</x:v>
      </x:c>
      <x:c r="J31" s="156" t="n">
        <x:f>IF(OR(H31="",I31=""),"",I31-H31+1)</x:f>
        <x:v>1</x:v>
      </x:c>
      <x:c r="K31" s="156" t="n">
        <x:f>IF(OR(H31="",I31=""),"",NETWORKDAYS(H31,I31,'Sources &amp; Change Log'!$J$2:$J$5)-COUNTIFS('Team Calendar'!$A$5:$A$14,L31,'Team Calendar'!$C$5:$C$14,"&gt;="&amp;H31,'Team Calendar'!$C$5:$C$14,"&lt;="&amp;I31,'Team Calendar'!$F$5:$F$14,"Personal absence"))</x:f>
        <x:v>1</x:v>
      </x:c>
      <x:c r="L31" s="13" t="str">
        <x:v>이권욱</x:v>
      </x:c>
      <x:c r="M31" s="13" t="str">
        <x:v>이하영, 이재환</x:v>
      </x:c>
      <x:c r="N31" s="13" t="str">
        <x:v>D10; D21</x:v>
      </x:c>
      <x:c r="O31" s="13" t="str">
        <x:v>RISK-05; RISK-10; RISK-11</x:v>
      </x:c>
      <x:c r="P31" s="195" t="str">
        <x:v>Phase 1 Close, Phase 2 계정·권한·일정·P0 범위·OCI Go/No-Go 계획을 확인하고 착수 승인</x:v>
      </x:c>
      <x:c r="Q31" s="195" t="str">
        <x:v>Phase 1 Close를 10-06에 완료한 다음 영업일인 10-07(수) 착수로 조정한다. 10-05 공휴일과 10-06 Phase 1 Review/Close를 Phase 2 작업일로 계산하지 않는다.
GitHub open/-</x:v>
      </x:c>
      <x:c r="R31" s="13" t="str">
        <x:v>https://github.com/321Team/fds-project-baseline/issues/33</x:v>
      </x:c>
      <x:c r="S31" s="13" t="str">
        <x:f>IF(G31="Done","Done",IF(I31="","End TBD",IF(I31&lt;'Executive Summary'!$B$4,"Target elapsed",IF(H31&gt;'Executive Summary'!$B$4,"Upcoming","Active window"))))</x:f>
        <x:v>Upcoming</x:v>
      </x:c>
    </x:row>
    <x:row r="32" ht="110" customHeight="1">
      <x:c r="A32" s="13" t="str">
        <x:v>P2-ARC-01</x:v>
      </x:c>
      <x:c r="B32" s="13" t="str">
        <x:v>Hybrid / OCI / AWS / ROSA Architecture Freeze</x:v>
      </x:c>
      <x:c r="C32" s="13" t="str">
        <x:v>Phase 2</x:v>
      </x:c>
      <x:c r="D32" s="13" t="str">
        <x:v>Architecture / Hybrid Cloud</x:v>
      </x:c>
      <x:c r="E32" s="13" t="str">
        <x:v>Task</x:v>
      </x:c>
      <x:c r="F32" s="13" t="str">
        <x:v>P0</x:v>
      </x:c>
      <x:c r="G32" s="13" t="str">
        <x:v>To Do</x:v>
      </x:c>
      <x:c r="H32" s="191" t="n">
        <x:v>46303</x:v>
      </x:c>
      <x:c r="I32" s="191" t="n">
        <x:v>46303</x:v>
      </x:c>
      <x:c r="J32" s="156" t="n">
        <x:f>IF(OR(H32="",I32=""),"",I32-H32+1)</x:f>
        <x:v>1</x:v>
      </x:c>
      <x:c r="K32" s="156" t="n">
        <x:f>IF(OR(H32="",I32=""),"",NETWORKDAYS(H32,I32,'Sources &amp; Change Log'!$J$2:$J$5)-COUNTIFS('Team Calendar'!$A$5:$A$14,L32,'Team Calendar'!$C$5:$C$14,"&gt;="&amp;H32,'Team Calendar'!$C$5:$C$14,"&lt;="&amp;I32,'Team Calendar'!$F$5:$F$14,"Personal absence"))</x:f>
        <x:v>1</x:v>
      </x:c>
      <x:c r="L32" s="13" t="str">
        <x:v>이권욱</x:v>
      </x:c>
      <x:c r="M32" s="13" t="str">
        <x:v>이하영, 이재환</x:v>
      </x:c>
      <x:c r="N32" s="13" t="str">
        <x:v>D10; D21; D22; D23; D25; D26</x:v>
      </x:c>
      <x:c r="O32" s="13" t="str">
        <x:v>RISK-10; RISK-11; RISK-12; RISK-14; RISK-15</x:v>
      </x:c>
      <x:c r="P32" s="195" t="str">
        <x:v>OCI Relay·AWS VPC/VPN·ROSA·On-Prem 연계 Architecture, Interface IF-17~IF-20, Security, Decision, Exit Criteria Freeze 승인</x:v>
      </x:c>
      <x:c r="Q32" s="195" t="str">
        <x:v>10-07은 사전설계/미결 입력 정리, 최종 Freeze 목표는 10-08 D21 결정 이후다. 순서: #36 D21 → #34 최종 Architecture/Transport 계약 Freeze → #35 Stage-A handoff. D21 또는 잔여 사양 미확정 시 Freeze HOLD; 같은 날 handoff 작업창은 별도 확인하며 G4/후속 일정을 자동 승인하지 않는다.
TS01/03/04/07; Freeze HOLD. capacity는 최초 심사 전. 10/12 제안과 10/8 목표 정렬 필요.
GitHub open/-</x:v>
      </x:c>
      <x:c r="R32" s="13" t="str">
        <x:v>https://github.com/321Team/fds-project-baseline/issues/34</x:v>
      </x:c>
      <x:c r="S32" s="13" t="str">
        <x:f>IF(G32="Done","Done",IF(I32="","End TBD",IF(I32&lt;'Executive Summary'!$B$4,"Target elapsed",IF(H32&gt;'Executive Summary'!$B$4,"Upcoming","Active window"))))</x:f>
        <x:v>Upcoming</x:v>
      </x:c>
    </x:row>
    <x:row r="33" ht="110" customHeight="1">
      <x:c r="A33" s="13" t="str">
        <x:v>P2-IAC-01</x:v>
      </x:c>
      <x:c r="B33" s="13" t="str">
        <x:v>AWS / ROSA Terraform IaC</x:v>
      </x:c>
      <x:c r="C33" s="13" t="str">
        <x:v>Phase 2</x:v>
      </x:c>
      <x:c r="D33" s="13" t="str">
        <x:v>Cloud / Terraform</x:v>
      </x:c>
      <x:c r="E33" s="13" t="str">
        <x:v>Task</x:v>
      </x:c>
      <x:c r="F33" s="13" t="str">
        <x:v>P0</x:v>
      </x:c>
      <x:c r="G33" s="13" t="str">
        <x:v>To Do</x:v>
      </x:c>
      <x:c r="H33" s="191" t="n">
        <x:v>46303</x:v>
      </x:c>
      <x:c r="I33" s="191" t="n">
        <x:v>46309</x:v>
      </x:c>
      <x:c r="J33" s="156" t="n">
        <x:f>IF(OR(H33="",I33=""),"",I33-H33+1)</x:f>
        <x:v>7</x:v>
      </x:c>
      <x:c r="K33" s="156" t="n">
        <x:f>IF(OR(H33="",I33=""),"",NETWORKDAYS(H33,I33,'Sources &amp; Change Log'!$J$2:$J$5)-COUNTIFS('Team Calendar'!$A$5:$A$14,L33,'Team Calendar'!$C$5:$C$14,"&gt;="&amp;H33,'Team Calendar'!$C$5:$C$14,"&lt;="&amp;I33,'Team Calendar'!$F$5:$F$14,"Personal absence"))</x:f>
        <x:v>4</x:v>
      </x:c>
      <x:c r="L33" s="13" t="str">
        <x:v>이하영</x:v>
      </x:c>
      <x:c r="M33" s="13" t="str">
        <x:v>이권욱</x:v>
      </x:c>
      <x:c r="N33" s="13" t="str">
        <x:v>D10; D21; D25</x:v>
      </x:c>
      <x:c r="O33" s="13" t="str">
        <x:v>RISK-10; RISK-11; RISK-12</x:v>
      </x:c>
      <x:c r="P33" s="195" t="str">
        <x:v>AWS VPC 10.20.0.0/16, ROSA 선행 인프라와 IAM/OIDC 최소권한의 Terraform fmt/validate/plan/apply, State·Secret 통제 및 G4 Evidence 확보</x:v>
      </x:c>
      <x:c r="Q33" s="195" t="str">
        <x:v>10-08 Stage-A 목표는 #36 D21 결정 → #34 최종 Freeze 이후에만 유효하다. Transport Adapter·Subnet/AZ·Route·backend/state 계약 및 reviewed plan/evidence를 고정한 뒤 #37(10-12)이 소비한다. 10-14 Full completion/G4 목표 유지. 당일 작업창 부족 또는 선행 HOLD 시 handoff를 완료로 기록하지 않고 후속 일정 재평가; Stage-A는 전체 AC PASS가 아니다.
TS01/04; Stage-A NOT_READY. Freeze/account/plan/backend/cost 선행.
GitHub open/-</x:v>
      </x:c>
      <x:c r="R33" s="13" t="str">
        <x:v>https://github.com/321Team/fds-project-baseline/issues/35</x:v>
      </x:c>
      <x:c r="S33" s="13" t="str">
        <x:f>IF(G33="Done","Done",IF(I33="","End TBD",IF(I33&lt;'Executive Summary'!$B$4,"Target elapsed",IF(H33&gt;'Executive Summary'!$B$4,"Upcoming","Active window"))))</x:f>
        <x:v>Upcoming</x:v>
      </x:c>
    </x:row>
    <x:row r="34" ht="110" customHeight="1">
      <x:c r="A34" s="13" t="str">
        <x:v>P2-OCI-01</x:v>
      </x:c>
      <x:c r="B34" s="13" t="str">
        <x:v>OCI Relay Go / No-Go</x:v>
      </x:c>
      <x:c r="C34" s="13" t="str">
        <x:v>Phase 2</x:v>
      </x:c>
      <x:c r="D34" s="13" t="str">
        <x:v>Milestone / Hybrid Network</x:v>
      </x:c>
      <x:c r="E34" s="13" t="str">
        <x:v>Decision</x:v>
      </x:c>
      <x:c r="F34" s="13" t="str">
        <x:v>P0</x:v>
      </x:c>
      <x:c r="G34" s="13" t="str">
        <x:v>To Do</x:v>
      </x:c>
      <x:c r="H34" s="191" t="n">
        <x:v>46302</x:v>
      </x:c>
      <x:c r="I34" s="191" t="n">
        <x:v>46303</x:v>
      </x:c>
      <x:c r="J34" s="156" t="n">
        <x:f>IF(OR(H34="",I34=""),"",I34-H34+1)</x:f>
        <x:v>2</x:v>
      </x:c>
      <x:c r="K34" s="156" t="n">
        <x:f>IF(OR(H34="",I34=""),"",NETWORKDAYS(H34,I34,'Sources &amp; Change Log'!$J$2:$J$5)-COUNTIFS('Team Calendar'!$A$5:$A$14,L34,'Team Calendar'!$C$5:$C$14,"&gt;="&amp;H34,'Team Calendar'!$C$5:$C$14,"&lt;="&amp;I34,'Team Calendar'!$F$5:$F$14,"Personal absence"))</x:f>
        <x:v>2</x:v>
      </x:c>
      <x:c r="L34" s="13" t="str">
        <x:v>이권욱</x:v>
      </x:c>
      <x:c r="M34" s="13" t="str">
        <x:v>이하영</x:v>
      </x:c>
      <x:c r="N34" s="13" t="str">
        <x:v>D10; D21</x:v>
      </x:c>
      <x:c r="O34" s="13" t="str">
        <x:v>RISK-10; RISK-12</x:v>
      </x:c>
      <x:c r="P34" s="195" t="str">
        <x:v>OCI Relay 가능성·권한·Public Endpoint·IPsec/NAT-T·Route를 검증하고 Primary 또는 승인 Fallback 경로를 선택</x:v>
      </x:c>
      <x:c r="Q34" s="195" t="str"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R34" s="13" t="str">
        <x:v>https://github.com/321Team/fds-project-baseline/issues/36</x:v>
      </x:c>
      <x:c r="S34" s="13" t="str">
        <x:f>IF(G34="Done","Done",IF(I34="","End TBD",IF(I34&lt;'Executive Summary'!$B$4,"Target elapsed",IF(H34&gt;'Executive Summary'!$B$4,"Upcoming","Active window"))))</x:f>
        <x:v>Upcoming</x:v>
      </x:c>
    </x:row>
    <x:row r="35" ht="110" customHeight="1">
      <x:c r="A35" s="13" t="str">
        <x:v>P2-VPN-01</x:v>
      </x:c>
      <x:c r="B35" s="13" t="str">
        <x:v>OCI Relay / AWS Site-to-Site VPN</x:v>
      </x:c>
      <x:c r="C35" s="13" t="str">
        <x:v>Phase 2</x:v>
      </x:c>
      <x:c r="D35" s="13" t="str">
        <x:v>Hybrid Network / VPN</x:v>
      </x:c>
      <x:c r="E35" s="13" t="str">
        <x:v>Task</x:v>
      </x:c>
      <x:c r="F35" s="13" t="str">
        <x:v>P0</x:v>
      </x:c>
      <x:c r="G35" s="13" t="str">
        <x:v>To Do</x:v>
      </x:c>
      <x:c r="H35" s="191" t="n">
        <x:v>46307</x:v>
      </x:c>
      <x:c r="I35" s="191" t="n">
        <x:v>46309</x:v>
      </x:c>
      <x:c r="J35" s="156" t="n">
        <x:f>IF(OR(H35="",I35=""),"",I35-H35+1)</x:f>
        <x:v>3</x:v>
      </x:c>
      <x:c r="K35" s="156" t="n">
        <x:f>IF(OR(H35="",I35=""),"",NETWORKDAYS(H35,I35,'Sources &amp; Change Log'!$J$2:$J$5)-COUNTIFS('Team Calendar'!$A$5:$A$14,L35,'Team Calendar'!$C$5:$C$14,"&gt;="&amp;H35,'Team Calendar'!$C$5:$C$14,"&lt;="&amp;I35,'Team Calendar'!$F$5:$F$14,"Personal absence"))</x:f>
        <x:v>3</x:v>
      </x:c>
      <x:c r="L35" s="13" t="str">
        <x:v>이재환</x:v>
      </x:c>
      <x:c r="M35" s="13" t="str">
        <x:v>이권욱</x:v>
      </x:c>
      <x:c r="N35" s="13" t="str">
        <x:v>D10; D21</x:v>
      </x:c>
      <x:c r="O35" s="13" t="str">
        <x:v>RISK-04; RISK-10; RISK-12</x:v>
      </x:c>
      <x:c r="P35" s="195" t="str">
        <x:v>승인 Transit 경로의 Tunnel UP, On-Prem↔VPC Route, UDP 500/4500/IPsec, Source·승인 TCP Path 및 장애 Evidence 확보</x:v>
      </x:c>
      <x:c r="Q35" s="195" t="str">
        <x:v>#35 전체 완료를 기다리지 않고 10-08 Stage-A handoff(VPC/Subnet/Route/VPN 입력) 수신 후 10-12 착수한다. #35 Full과 #37 완료는 모두 10-14 G4 판정 전에 충족해야 한다.
TS05/06/15; AWS EC2+EIP Libreswan 선택. production Child SA 미실행.
GitHub open/-</x:v>
      </x:c>
      <x:c r="R35" s="13" t="str">
        <x:v>https://github.com/321Team/fds-project-baseline/issues/37</x:v>
      </x:c>
      <x:c r="S35" s="13" t="str">
        <x:f>IF(G35="Done","Done",IF(I35="","End TBD",IF(I35&lt;'Executive Summary'!$B$4,"Target elapsed",IF(H35&gt;'Executive Summary'!$B$4,"Upcoming","Active window"))))</x:f>
        <x:v>Upcoming</x:v>
      </x:c>
    </x:row>
    <x:row r="36" ht="110" customHeight="1">
      <x:c r="A36" s="13" t="str">
        <x:v>P2-ROSA-01</x:v>
      </x:c>
      <x:c r="B36" s="13" t="str">
        <x:v>ROSA Platform / Security</x:v>
      </x:c>
      <x:c r="C36" s="13" t="str">
        <x:v>Phase 2</x:v>
      </x:c>
      <x:c r="D36" s="13" t="str">
        <x:v>OpenShift / ROSA</x:v>
      </x:c>
      <x:c r="E36" s="13" t="str">
        <x:v>Task</x:v>
      </x:c>
      <x:c r="F36" s="13" t="str">
        <x:v>P0</x:v>
      </x:c>
      <x:c r="G36" s="13" t="str">
        <x:v>To Do</x:v>
      </x:c>
      <x:c r="H36" s="191" t="n">
        <x:v>46310</x:v>
      </x:c>
      <x:c r="I36" s="191" t="n">
        <x:v>46314</x:v>
      </x:c>
      <x:c r="J36" s="156" t="n">
        <x:f>IF(OR(H36="",I36=""),"",I36-H36+1)</x:f>
        <x:v>5</x:v>
      </x:c>
      <x:c r="K36" s="156" t="n">
        <x:f>IF(OR(H36="",I36=""),"",NETWORKDAYS(H36,I36,'Sources &amp; Change Log'!$J$2:$J$5)-COUNTIFS('Team Calendar'!$A$5:$A$14,L36,'Team Calendar'!$C$5:$C$14,"&gt;="&amp;H36,'Team Calendar'!$C$5:$C$14,"&lt;="&amp;I36,'Team Calendar'!$F$5:$F$14,"Personal absence"))</x:f>
        <x:v>3</x:v>
      </x:c>
      <x:c r="L36" s="13" t="str">
        <x:v>이하영</x:v>
      </x:c>
      <x:c r="M36" s="13" t="str">
        <x:v>이권욱</x:v>
      </x:c>
      <x:c r="N36" s="13" t="str">
        <x:v>D10; D12; D17; D21</x:v>
      </x:c>
      <x:c r="O36" s="13" t="str">
        <x:v>RISK-07; RISK-10; RISK-11; RISK-12</x:v>
      </x:c>
      <x:c r="P36" s="195" t="str">
        <x:v>ROSA Cluster Ready, Namespace/RBAC/NetworkPolicy/SecurityContext, Hybrid Route 및 Application 배포 선행조건과 G5 Evidence 확보</x:v>
      </x:c>
      <x:c r="Q36" s="195" t="str">
        <x:v>10-14 G4 승인 후 10-15 Runtime 착수. 10-15 Basic Ready checkpoint를 #42/#43 선행입력으로 제공하고, Security/NetworkPolicy/Hybrid Route 등 #38 전체 AC는 10-19까지 계속 검증한다.
TS01~04/07/14/15; exact지원·capacity·account·PG03 actual 미완.
GitHub open/-</x:v>
      </x:c>
      <x:c r="R36" s="13" t="str">
        <x:v>https://github.com/321Team/fds-project-baseline/issues/38</x:v>
      </x:c>
      <x:c r="S36" s="13" t="str">
        <x:f>IF(G36="Done","Done",IF(I36="","End TBD",IF(I36&lt;'Executive Summary'!$B$4,"Target elapsed",IF(H36&gt;'Executive Summary'!$B$4,"Upcoming","Active window"))))</x:f>
        <x:v>Upcoming</x:v>
      </x:c>
    </x:row>
    <x:row r="37" ht="110" customHeight="1">
      <x:c r="A37" s="13" t="str">
        <x:v>MS-G4-01</x:v>
      </x:c>
      <x:c r="B37" s="13" t="str">
        <x:v>G4 Cloud / VPN Ready</x:v>
      </x:c>
      <x:c r="C37" s="13" t="str">
        <x:v>Phase 2</x:v>
      </x:c>
      <x:c r="D37" s="13" t="str">
        <x:v>Milestone / Cloud &amp; VPN</x:v>
      </x:c>
      <x:c r="E37" s="13" t="str">
        <x:v>Milestone</x:v>
      </x:c>
      <x:c r="F37" s="13" t="str">
        <x:v>P0</x:v>
      </x:c>
      <x:c r="G37" s="13" t="str">
        <x:v>To Do</x:v>
      </x:c>
      <x:c r="H37" s="191" t="n">
        <x:v>46309</x:v>
      </x:c>
      <x:c r="I37" s="191" t="n">
        <x:v>46309</x:v>
      </x:c>
      <x:c r="J37" s="156" t="n">
        <x:f>IF(OR(H37="",I37=""),"",I37-H37+1)</x:f>
        <x:v>1</x:v>
      </x:c>
      <x:c r="K37" s="156" t="n">
        <x:f>IF(OR(H37="",I37=""),"",NETWORKDAYS(H37,I37,'Sources &amp; Change Log'!$J$2:$J$5)-COUNTIFS('Team Calendar'!$A$5:$A$14,L37,'Team Calendar'!$C$5:$C$14,"&gt;="&amp;H37,'Team Calendar'!$C$5:$C$14,"&lt;="&amp;I37,'Team Calendar'!$F$5:$F$14,"Personal absence"))</x:f>
        <x:v>1</x:v>
      </x:c>
      <x:c r="L37" s="13" t="str">
        <x:v>이권욱</x:v>
      </x:c>
      <x:c r="M37" s="13" t="str">
        <x:v>이하영</x:v>
      </x:c>
      <x:c r="N37" s="13" t="str">
        <x:v>D21</x:v>
      </x:c>
      <x:c r="O37" s="13" t="str">
        <x:v>RISK-10; RISK-11; RISK-12</x:v>
      </x:c>
      <x:c r="P37" s="195" t="str">
        <x:v>Terraform 인프라, 승인 Transit/VPN, Route/Security, ROSA 선행조건 및 승인 TCP 경로 준비도 승인</x:v>
      </x:c>
      <x:c r="Q37" s="195" t="str">
        <x:v>G4 목표를 10-14로 조정한다. #35 IaC와 #37 VPN의 실제 Runtime/Evidence 충족 후 판정하며 날짜만으로 PASS하지 않는다.
GitHub open/-</x:v>
      </x:c>
      <x:c r="R37" s="13" t="str">
        <x:v>https://github.com/321Team/fds-project-baseline/issues/39</x:v>
      </x:c>
      <x:c r="S37" s="13" t="str">
        <x:f>IF(G37="Done","Done",IF(I37="","End TBD",IF(I37&lt;'Executive Summary'!$B$4,"Target elapsed",IF(H37&gt;'Executive Summary'!$B$4,"Upcoming","Active window"))))</x:f>
        <x:v>Upcoming</x:v>
      </x:c>
    </x:row>
    <x:row r="38" ht="110" customHeight="1">
      <x:c r="A38" s="13" t="str">
        <x:v>DEC-P2-DNS-01</x:v>
      </x:c>
      <x:c r="B38" s="13" t="str">
        <x:v>Hybrid DNS Scope Decision</x:v>
      </x:c>
      <x:c r="C38" s="13" t="str">
        <x:v>Phase 2</x:v>
      </x:c>
      <x:c r="D38" s="13" t="str">
        <x:v>Architecture / DNS</x:v>
      </x:c>
      <x:c r="E38" s="13" t="str">
        <x:v>Decision</x:v>
      </x:c>
      <x:c r="F38" s="13" t="str">
        <x:v>P1</x:v>
      </x:c>
      <x:c r="G38" s="13" t="str">
        <x:v>To Do</x:v>
      </x:c>
      <x:c r="H38" s="191" t="n">
        <x:v>46311</x:v>
      </x:c>
      <x:c r="I38" s="191" t="n">
        <x:v>46311</x:v>
      </x:c>
      <x:c r="J38" s="156" t="n">
        <x:f>IF(OR(H38="",I38=""),"",I38-H38+1)</x:f>
        <x:v>1</x:v>
      </x:c>
      <x:c r="K38" s="156" t="n">
        <x:f>IF(OR(H38="",I38=""),"",NETWORKDAYS(H38,I38,'Sources &amp; Change Log'!$J$2:$J$5)-COUNTIFS('Team Calendar'!$A$5:$A$14,L38,'Team Calendar'!$C$5:$C$14,"&gt;="&amp;H38,'Team Calendar'!$C$5:$C$14,"&lt;="&amp;I38,'Team Calendar'!$F$5:$F$14,"Personal absence"))</x:f>
        <x:v>1</x:v>
      </x:c>
      <x:c r="L38" s="13" t="str">
        <x:v>이권욱</x:v>
      </x:c>
      <x:c r="M38" s="13" t="str">
        <x:v>이하영</x:v>
      </x:c>
      <x:c r="N38" s="13" t="str">
        <x:v>D11; D23</x:v>
      </x:c>
      <x:c r="O38" s="13" t="str">
        <x:v>RISK-10; RISK-12</x:v>
      </x:c>
      <x:c r="P38" s="195" t="str">
        <x:v>P0 IP Endpoint 유지 또는 Hybrid DNS P1 적용을 확정하고 Resolver/Forwarding/Zone/Route/테스트·Cancelled 결정 근거를 승인</x:v>
      </x:c>
      <x:c r="Q38" s="195" t="str">
        <x:v>P0 Hybrid 경로 차단을 피하기 위해 10-16 단일 Decision window에서 IP Endpoint 유지 또는 DNS P1 적용을 확정한다. 구현(#48)은 Go이면서 P0 잔여 capacity가 있을 때만 별도 착수한다.
TS04; 전체 P1 유지. private 필수 DNS subset은 pre-create 계약.
GitHub open/-</x:v>
      </x:c>
      <x:c r="R38" s="13" t="str">
        <x:v>https://github.com/321Team/fds-project-baseline/issues/40</x:v>
      </x:c>
      <x:c r="S38" s="13" t="str">
        <x:f>IF(G38="Done","Done",IF(I38="","End TBD",IF(I38&lt;'Executive Summary'!$B$4,"Target elapsed",IF(H38&gt;'Executive Summary'!$B$4,"Upcoming","Active window"))))</x:f>
        <x:v>Upcoming</x:v>
      </x:c>
    </x:row>
    <x:row r="39" ht="110" customHeight="1">
      <x:c r="A39" s="13" t="str">
        <x:v>DEC-P2-OP-01</x:v>
      </x:c>
      <x:c r="B39" s="13" t="str">
        <x:v>Operator Supply Chain Scope Decision</x:v>
      </x:c>
      <x:c r="C39" s="13" t="str">
        <x:v>Phase 2</x:v>
      </x:c>
      <x:c r="D39" s="13" t="str">
        <x:v>Architecture / Operator Supply Chain</x:v>
      </x:c>
      <x:c r="E39" s="13" t="str">
        <x:v>Decision</x:v>
      </x:c>
      <x:c r="F39" s="13" t="str">
        <x:v>P1</x:v>
      </x:c>
      <x:c r="G39" s="13" t="str">
        <x:v>To Do</x:v>
      </x:c>
      <x:c r="H39" s="191"/>
      <x:c r="I39" s="191"/>
      <x:c r="J39" s="156" t="str">
        <x:f>IF(OR(H39="",I39=""),"",I39-H39+1)</x:f>
      </x:c>
      <x:c r="K39" s="156" t="str">
        <x:f>IF(OR(H39="",I39=""),"",NETWORKDAYS(H39,I39,'Sources &amp; Change Log'!$J$2:$J$5)-COUNTIFS('Team Calendar'!$A$5:$A$14,L39,'Team Calendar'!$C$5:$C$14,"&gt;="&amp;H39,'Team Calendar'!$C$5:$C$14,"&lt;="&amp;I39,'Team Calendar'!$F$5:$F$14,"Personal absence"))</x:f>
      </x:c>
      <x:c r="L39" s="13" t="str">
        <x:v>이하영</x:v>
      </x:c>
      <x:c r="M39" s="13" t="str">
        <x:v>이권욱, 이재환</x:v>
      </x:c>
      <x:c r="N39" s="13" t="str">
        <x:v>D22; D26</x:v>
      </x:c>
      <x:c r="O39" s="13" t="str">
        <x:v>RISK-06; RISK-11; RISK-15</x:v>
      </x:c>
      <x:c r="P39" s="195" t="str">
        <x:v>ROSA Operator 공급망을 Direct Catalog 또는 oc-mirror/Harbor/Custom CatalogSource 중 하나로 결정하고 구현·N/A 기준 승인</x:v>
      </x:c>
      <x:c r="Q39" s="195" t="str"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R39" s="13" t="str">
        <x:v>https://github.com/321Team/fds-project-baseline/issues/41</x:v>
      </x:c>
      <x:c r="S39" s="13" t="str">
        <x:f>IF(G39="Done","Done",IF(I39="","End TBD",IF(I39&lt;'Executive Summary'!$B$4,"Target elapsed",IF(H39&gt;'Executive Summary'!$B$4,"Upcoming","Active window"))))</x:f>
        <x:v>End TBD</x:v>
      </x:c>
    </x:row>
    <x:row r="40" ht="110" customHeight="1">
      <x:c r="A40" s="13" t="str">
        <x:v>DEC-P2-REG-01</x:v>
      </x:c>
      <x:c r="B40" s="13" t="str">
        <x:v>ROSA Image Registry Source Decision</x:v>
      </x:c>
      <x:c r="C40" s="13" t="str">
        <x:v>Phase 2</x:v>
      </x:c>
      <x:c r="D40" s="13" t="str">
        <x:v>Architecture / Registry</x:v>
      </x:c>
      <x:c r="E40" s="13" t="str">
        <x:v>Decision</x:v>
      </x:c>
      <x:c r="F40" s="13" t="str">
        <x:v>P0</x:v>
      </x:c>
      <x:c r="G40" s="13" t="str">
        <x:v>To Do</x:v>
      </x:c>
      <x:c r="H40" s="191" t="n">
        <x:v>46310</x:v>
      </x:c>
      <x:c r="I40" s="191" t="n">
        <x:v>46310</x:v>
      </x:c>
      <x:c r="J40" s="156" t="n">
        <x:f>IF(OR(H40="",I40=""),"",I40-H40+1)</x:f>
        <x:v>1</x:v>
      </x:c>
      <x:c r="K40" s="156" t="n">
        <x:f>IF(OR(H40="",I40=""),"",NETWORKDAYS(H40,I40,'Sources &amp; Change Log'!$J$2:$J$5)-COUNTIFS('Team Calendar'!$A$5:$A$14,L40,'Team Calendar'!$C$5:$C$14,"&gt;="&amp;H40,'Team Calendar'!$C$5:$C$14,"&lt;="&amp;I40,'Team Calendar'!$F$5:$F$14,"Personal absence"))</x:f>
        <x:v>1</x:v>
      </x:c>
      <x:c r="L40" s="13" t="str">
        <x:v>이권욱</x:v>
      </x:c>
      <x:c r="M40" s="13" t="str">
        <x:v>이하영, 이재환</x:v>
      </x:c>
      <x:c r="N40" s="13" t="str">
        <x:v>D22</x:v>
      </x:c>
      <x:c r="O40" s="13" t="str">
        <x:v>RISK-06; RISK-10; RISK-11; RISK-12</x:v>
      </x:c>
      <x:c r="P40" s="195" t="str">
        <x:v>ROSA Image Source를 On-Prem Harbor 또는 승인 Cloud Registry로 확정하고 Route·TLS·Credential·비용·Fallback을 승인</x:v>
      </x:c>
      <x:c r="Q40" s="195" t="str"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R40" s="13" t="str">
        <x:v>https://github.com/321Team/fds-project-baseline/issues/42</x:v>
      </x:c>
      <x:c r="S40" s="13" t="str">
        <x:f>IF(G40="Done","Done",IF(I40="","End TBD",IF(I40&lt;'Executive Summary'!$B$4,"Target elapsed",IF(H40&gt;'Executive Summary'!$B$4,"Upcoming","Active window"))))</x:f>
        <x:v>Upcoming</x:v>
      </x:c>
    </x:row>
    <x:row r="41" ht="110" customHeight="1">
      <x:c r="A41" s="13" t="str">
        <x:v>P2-APP-01</x:v>
      </x:c>
      <x:c r="B41" s="13" t="str">
        <x:v>ROSA Application Deployment</x:v>
      </x:c>
      <x:c r="C41" s="13" t="str">
        <x:v>Phase 2</x:v>
      </x:c>
      <x:c r="D41" s="13" t="str">
        <x:v>Application / OpenShift</x:v>
      </x:c>
      <x:c r="E41" s="13" t="str">
        <x:v>Task</x:v>
      </x:c>
      <x:c r="F41" s="13" t="str">
        <x:v>P0</x:v>
      </x:c>
      <x:c r="G41" s="13" t="str">
        <x:v>To Do</x:v>
      </x:c>
      <x:c r="H41" s="191" t="n">
        <x:v>46311</x:v>
      </x:c>
      <x:c r="I41" s="191" t="n">
        <x:v>46314</x:v>
      </x:c>
      <x:c r="J41" s="156" t="n">
        <x:f>IF(OR(H41="",I41=""),"",I41-H41+1)</x:f>
        <x:v>4</x:v>
      </x:c>
      <x:c r="K41" s="156" t="n">
        <x:f>IF(OR(H41="",I41=""),"",NETWORKDAYS(H41,I41,'Sources &amp; Change Log'!$J$2:$J$5)-COUNTIFS('Team Calendar'!$A$5:$A$14,L41,'Team Calendar'!$C$5:$C$14,"&gt;="&amp;H41,'Team Calendar'!$C$5:$C$14,"&lt;="&amp;I41,'Team Calendar'!$F$5:$F$14,"Personal absence"))</x:f>
        <x:v>2</x:v>
      </x:c>
      <x:c r="L41" s="13" t="str">
        <x:v>이재환</x:v>
      </x:c>
      <x:c r="M41" s="13" t="str">
        <x:v>이하영</x:v>
      </x:c>
      <x:c r="N41" s="13" t="str">
        <x:v>D03; D22</x:v>
      </x:c>
      <x:c r="O41" s="13" t="str">
        <x:v>RISK-06; RISK-07; RISK-11</x:v>
      </x:c>
      <x:c r="P41" s="195" t="str">
        <x:v>Phase 1과 동일한 transaction-api/fds-engine Image/Contract를 ROSA에 배포하고 Route/Health/Rule 기본검증 PASS</x:v>
      </x:c>
      <x:c r="Q41" s="195" t="str">
        <x:v>10-15 #38 Basic Ready + #42 Registry Decision 수신 후 10-16 착수. #38 전체 Security 검증과 병행하되, #43은 승인된 Namespace/RBAC/Registry 경계 밖으로 확장하지 않는다.
TS02/03/11; P1 live inputs 최초 Freeze 전. 10/12 18:00은 미확정 제안.
GitHub open/-</x:v>
      </x:c>
      <x:c r="R41" s="13" t="str">
        <x:v>https://github.com/321Team/fds-project-baseline/issues/43</x:v>
      </x:c>
      <x:c r="S41" s="13" t="str">
        <x:f>IF(G41="Done","Done",IF(I41="","End TBD",IF(I41&lt;'Executive Summary'!$B$4,"Target elapsed",IF(H41&gt;'Executive Summary'!$B$4,"Upcoming","Active window"))))</x:f>
        <x:v>Upcoming</x:v>
      </x:c>
    </x:row>
    <x:row r="42" ht="110" customHeight="1">
      <x:c r="A42" s="13" t="str">
        <x:v>P2-OADP-01</x:v>
      </x:c>
      <x:c r="B42" s="13" t="str">
        <x:v>OADP / S3 Backup</x:v>
      </x:c>
      <x:c r="C42" s="13" t="str">
        <x:v>Phase 2</x:v>
      </x:c>
      <x:c r="D42" s="13" t="str">
        <x:v>Backup / OpenShift</x:v>
      </x:c>
      <x:c r="E42" s="13" t="str">
        <x:v>Task</x:v>
      </x:c>
      <x:c r="F42" s="13" t="str">
        <x:v>P1</x:v>
      </x:c>
      <x:c r="G42" s="13" t="str">
        <x:v>To Do</x:v>
      </x:c>
      <x:c r="H42" s="191"/>
      <x:c r="I42" s="191"/>
      <x:c r="J42" s="156" t="str">
        <x:f>IF(OR(H42="",I42=""),"",I42-H42+1)</x:f>
      </x:c>
      <x:c r="K42" s="156" t="str">
        <x:f>IF(OR(H42="",I42=""),"",NETWORKDAYS(H42,I42,'Sources &amp; Change Log'!$J$2:$J$5)-COUNTIFS('Team Calendar'!$A$5:$A$14,L42,'Team Calendar'!$C$5:$C$14,"&gt;="&amp;H42,'Team Calendar'!$C$5:$C$14,"&lt;="&amp;I42,'Team Calendar'!$F$5:$F$14,"Personal absence"))</x:f>
      </x:c>
      <x:c r="L42" s="13" t="str">
        <x:v>이하영</x:v>
      </x:c>
      <x:c r="M42" s="13" t="str">
        <x:v>이권욱</x:v>
      </x:c>
      <x:c r="N42" s="13" t="str">
        <x:v>D12</x:v>
      </x:c>
      <x:c r="O42" s="13" t="str">
        <x:v>RISK-11; RISK-12</x:v>
      </x:c>
      <x:c r="P42" s="195" t="str">
        <x:v>OADP→S3 443, Backup 대상·Credential·Schedule, Restore 또는 승인 복구검증과 Evidence 확보</x:v>
      </x:c>
      <x:c r="Q42" s="195" t="str">
        <x:v>P1 / G6 non-blocking. 10-20 G5 이후 잔여 capacity가 있을 때만 수행한다. 프로젝트 종료일 10-26을 침해하지 않으며 미착수 시 Deferred/N/A 근거를 남긴다.
GitHub open/-
원문 일정: TBD — G5 이후 P0 잔여 capacity 시 / TBD — 10-26 이전 강제하지 않음</x:v>
      </x:c>
      <x:c r="R42" s="13" t="str">
        <x:v>https://github.com/321Team/fds-project-baseline/issues/44</x:v>
      </x:c>
      <x:c r="S42" s="13" t="str">
        <x:f>IF(G42="Done","Done",IF(I42="","End TBD",IF(I42&lt;'Executive Summary'!$B$4,"Target elapsed",IF(H42&gt;'Executive Summary'!$B$4,"Upcoming","Active window"))))</x:f>
        <x:v>End TBD</x:v>
      </x:c>
    </x:row>
    <x:row r="43" ht="110" customHeight="1">
      <x:c r="A43" s="13" t="str">
        <x:v>MS-G5-01</x:v>
      </x:c>
      <x:c r="B43" s="13" t="str">
        <x:v>G5 ROSA Application Ready</x:v>
      </x:c>
      <x:c r="C43" s="13" t="str">
        <x:v>Phase 2</x:v>
      </x:c>
      <x:c r="D43" s="13" t="str">
        <x:v>Milestone / ROSA Application</x:v>
      </x:c>
      <x:c r="E43" s="13" t="str">
        <x:v>Milestone</x:v>
      </x:c>
      <x:c r="F43" s="13" t="str">
        <x:v>P0</x:v>
      </x:c>
      <x:c r="G43" s="13" t="str">
        <x:v>To Do</x:v>
      </x:c>
      <x:c r="H43" s="191" t="n">
        <x:v>46315</x:v>
      </x:c>
      <x:c r="I43" s="191" t="n">
        <x:v>46315</x:v>
      </x:c>
      <x:c r="J43" s="156" t="n">
        <x:f>IF(OR(H43="",I43=""),"",I43-H43+1)</x:f>
        <x:v>1</x:v>
      </x:c>
      <x:c r="K43" s="156" t="n">
        <x:f>IF(OR(H43="",I43=""),"",NETWORKDAYS(H43,I43,'Sources &amp; Change Log'!$J$2:$J$5)-COUNTIFS('Team Calendar'!$A$5:$A$14,L43,'Team Calendar'!$C$5:$C$14,"&gt;="&amp;H43,'Team Calendar'!$C$5:$C$14,"&lt;="&amp;I43,'Team Calendar'!$F$5:$F$14,"Personal absence"))</x:f>
        <x:v>1</x:v>
      </x:c>
      <x:c r="L43" s="13" t="str">
        <x:v>이하영</x:v>
      </x:c>
      <x:c r="M43" s="13" t="str">
        <x:v>이권욱, 이재환</x:v>
      </x:c>
      <x:c r="N43" s="13" t="str">
        <x:v>D22; D23; D25; D26</x:v>
      </x:c>
      <x:c r="O43" s="13" t="str">
        <x:v>RISK-06; RISK-07; RISK-11; RISK-12</x:v>
      </x:c>
      <x:c r="P43" s="195" t="str">
        <x:v>ROSA Platform/Security, P2-CICD-01 Runner 기반 Delivery, transaction-api/fds-engine Health·Rule Smoke Test와 Registry/DNS/Operator Decision 상태 승인</x:v>
      </x:c>
      <x:c r="Q43" s="195" t="str">
        <x:v>기존 10-18(일) 목표를 폐기하고 10-20(화) G5로 조정한다. #38/#43/#46 P0 충족 후 판정한다. P1 #40/#41/#120/#121 미구현은 blocker가 아니다.
GitHub open/-</x:v>
      </x:c>
      <x:c r="R43" s="13" t="str">
        <x:v>https://github.com/321Team/fds-project-baseline/issues/45</x:v>
      </x:c>
      <x:c r="S43" s="13" t="str">
        <x:f>IF(G43="Done","Done",IF(I43="","End TBD",IF(I43&lt;'Executive Summary'!$B$4,"Target elapsed",IF(H43&gt;'Executive Summary'!$B$4,"Upcoming","Active window"))))</x:f>
        <x:v>Upcoming</x:v>
      </x:c>
    </x:row>
    <x:row r="44" ht="110" customHeight="1">
      <x:c r="A44" s="13" t="str">
        <x:v>P2-CICD-01</x:v>
      </x:c>
      <x:c r="B44" s="13" t="str">
        <x:v>Runner to ROSA Delivery</x:v>
      </x:c>
      <x:c r="C44" s="13" t="str">
        <x:v>Phase 2</x:v>
      </x:c>
      <x:c r="D44" s="13" t="str">
        <x:v>CI/CD / OpenShift Delivery</x:v>
      </x:c>
      <x:c r="E44" s="13" t="str">
        <x:v>Task</x:v>
      </x:c>
      <x:c r="F44" s="13" t="str">
        <x:v>P0</x:v>
      </x:c>
      <x:c r="G44" s="13" t="str">
        <x:v>To Do</x:v>
      </x:c>
      <x:c r="H44" s="191" t="n">
        <x:v>46315</x:v>
      </x:c>
      <x:c r="I44" s="191" t="n">
        <x:v>46315</x:v>
      </x:c>
      <x:c r="J44" s="156" t="n">
        <x:f>IF(OR(H44="",I44=""),"",I44-H44+1)</x:f>
        <x:v>1</x:v>
      </x:c>
      <x:c r="K44" s="156" t="n">
        <x:f>IF(OR(H44="",I44=""),"",NETWORKDAYS(H44,I44,'Sources &amp; Change Log'!$J$2:$J$5)-COUNTIFS('Team Calendar'!$A$5:$A$14,L44,'Team Calendar'!$C$5:$C$14,"&gt;="&amp;H44,'Team Calendar'!$C$5:$C$14,"&lt;="&amp;I44,'Team Calendar'!$F$5:$F$14,"Personal absence"))</x:f>
        <x:v>1</x:v>
      </x:c>
      <x:c r="L44" s="13" t="str">
        <x:v>이권욱</x:v>
      </x:c>
      <x:c r="M44" s="13" t="str">
        <x:v>이하영, 이재환</x:v>
      </x:c>
      <x:c r="N44" s="13" t="str">
        <x:v>D22; D25</x:v>
      </x:c>
      <x:c r="O44" s="13" t="str">
        <x:v>RISK-06; RISK-08; RISK-11; RISK-14</x:v>
      </x:c>
      <x:c r="P44" s="195" t="str">
        <x:v>GitHub→Self-hosted Runner→승인 Registry→ROSA Deploy→Health/Rule Smoke Test 흐름과 실패 시 배포차단 Evidence 확보</x:v>
      </x:c>
      <x:c r="Q44" s="195" t="str">
        <x:v>#38/#43의 10-19 완료와 #42 결정 완료 후 10-20 단일 Delivery window에서 Runner→ROSA 배포·실패차단·증적을 집중 검증한다.
TS09/10; 정상+실패 차단 및 rollback. 4/4 lineage.
GitHub open/-</x:v>
      </x:c>
      <x:c r="R44" s="13" t="str">
        <x:v>https://github.com/321Team/fds-project-baseline/issues/46</x:v>
      </x:c>
      <x:c r="S44" s="13" t="str">
        <x:f>IF(G44="Done","Done",IF(I44="","End TBD",IF(I44&lt;'Executive Summary'!$B$4,"Target elapsed",IF(H44&gt;'Executive Summary'!$B$4,"Upcoming","Active window"))))</x:f>
        <x:v>Upcoming</x:v>
      </x:c>
    </x:row>
    <x:row r="45" ht="110" customHeight="1">
      <x:c r="A45" s="13" t="str">
        <x:v>P2-HYB-01</x:v>
      </x:c>
      <x:c r="B45" s="13" t="str">
        <x:v>Hybrid DB / Registry Integration</x:v>
      </x:c>
      <x:c r="C45" s="13" t="str">
        <x:v>Phase 2</x:v>
      </x:c>
      <x:c r="D45" s="13" t="str">
        <x:v>Hybrid Integration</x:v>
      </x:c>
      <x:c r="E45" s="13" t="str">
        <x:v>Task</x:v>
      </x:c>
      <x:c r="F45" s="13" t="str">
        <x:v>P0</x:v>
      </x:c>
      <x:c r="G45" s="13" t="str">
        <x:v>To Do</x:v>
      </x:c>
      <x:c r="H45" s="191" t="n">
        <x:v>46316</x:v>
      </x:c>
      <x:c r="I45" s="191" t="n">
        <x:v>46316</x:v>
      </x:c>
      <x:c r="J45" s="156" t="n">
        <x:f>IF(OR(H45="",I45=""),"",I45-H45+1)</x:f>
        <x:v>1</x:v>
      </x:c>
      <x:c r="K45" s="156" t="n">
        <x:f>IF(OR(H45="",I45=""),"",NETWORKDAYS(H45,I45,'Sources &amp; Change Log'!$J$2:$J$5)-COUNTIFS('Team Calendar'!$A$5:$A$14,L45,'Team Calendar'!$C$5:$C$14,"&gt;="&amp;H45,'Team Calendar'!$C$5:$C$14,"&lt;="&amp;I45,'Team Calendar'!$F$5:$F$14,"Personal absence"))</x:f>
        <x:v>1</x:v>
      </x:c>
      <x:c r="L45" s="13" t="str">
        <x:v>이재환</x:v>
      </x:c>
      <x:c r="M45" s="13" t="str">
        <x:v>이권욱, 이하영</x:v>
      </x:c>
      <x:c r="N45" s="13" t="str">
        <x:v>D21; D22; D23</x:v>
      </x:c>
      <x:c r="O45" s="13" t="str">
        <x:v>RISK-09; RISK-10; RISK-11; RISK-12</x:v>
      </x:c>
      <x:c r="P45" s="195" t="str">
        <x:v>ROSA→On-Prem db01 .55:5432와 승인 Registry 경로의 Route·Security·Source·Application 통합 검증 PASS</x:v>
      </x:c>
      <x:c r="Q45" s="195" t="str">
        <x:v>10-20 G5 이전에는 read-only/precheck·입력 준비만 수행하고, 10-20 G5 완료 후 10-21 단일 Runtime window에서 Hybrid DB/Registry 통합을 검증해 #50에 인계한다.
TS07/08/11/15; source model/SLA·DB/Harbor 인수.
GitHub open/-</x:v>
      </x:c>
      <x:c r="R45" s="13" t="str">
        <x:v>https://github.com/321Team/fds-project-baseline/issues/47</x:v>
      </x:c>
      <x:c r="S45" s="13" t="str">
        <x:f>IF(G45="Done","Done",IF(I45="","End TBD",IF(I45&lt;'Executive Summary'!$B$4,"Target elapsed",IF(H45&gt;'Executive Summary'!$B$4,"Upcoming","Active window"))))</x:f>
        <x:v>Upcoming</x:v>
      </x:c>
    </x:row>
    <x:row r="46" ht="110" customHeight="1">
      <x:c r="A46" s="13" t="str">
        <x:v>P2-DNS-01</x:v>
      </x:c>
      <x:c r="B46" s="13" t="str">
        <x:v>Hybrid DNS Implementation Conditional</x:v>
      </x:c>
      <x:c r="C46" s="13" t="str">
        <x:v>Phase 2</x:v>
      </x:c>
      <x:c r="D46" s="13" t="str">
        <x:v>DNS / Hybrid Integration</x:v>
      </x:c>
      <x:c r="E46" s="13" t="str">
        <x:v>Task</x:v>
      </x:c>
      <x:c r="F46" s="13" t="str">
        <x:v>P1</x:v>
      </x:c>
      <x:c r="G46" s="13" t="str">
        <x:v>To Do</x:v>
      </x:c>
      <x:c r="H46" s="191"/>
      <x:c r="I46" s="191"/>
      <x:c r="J46" s="156" t="str">
        <x:f>IF(OR(H46="",I46=""),"",I46-H46+1)</x:f>
      </x:c>
      <x:c r="K46" s="156" t="str">
        <x:f>IF(OR(H46="",I46=""),"",NETWORKDAYS(H46,I46,'Sources &amp; Change Log'!$J$2:$J$5)-COUNTIFS('Team Calendar'!$A$5:$A$14,L46,'Team Calendar'!$C$5:$C$14,"&gt;="&amp;H46,'Team Calendar'!$C$5:$C$14,"&lt;="&amp;I46,'Team Calendar'!$F$5:$F$14,"Personal absence"))</x:f>
      </x:c>
      <x:c r="L46" s="13" t="str">
        <x:v>이권욱</x:v>
      </x:c>
      <x:c r="M46" s="13" t="str">
        <x:v>이하영, 이재환</x:v>
      </x:c>
      <x:c r="N46" s="13" t="str">
        <x:v>D11; D23</x:v>
      </x:c>
      <x:c r="O46" s="13" t="str">
        <x:v>RISK-10; RISK-12; RISK-15</x:v>
      </x:c>
      <x:c r="P46" s="195" t="str">
        <x:v>D23이 Hybrid DNS를 선택한 경우 Resolver/Conditional Forwarding/Route/Query Test PASS; IP Endpoint 유지 시 Cancelled 결정 근거 승인</x:v>
      </x:c>
      <x:c r="Q46" s="195" t="str">
        <x:v>P1 Conditional. D23가 Hybrid DNS Go이고 P0 일정 여유가 있을 때만 실행한다. 그렇지 않으면 Cancelled/Deferred 근거를 남기고 IP Endpoint로 P0 E2E를 진행한다.
GitHub open/-
원문 일정: TBD — D23 Go + P0 잔여 capacity 시 / TBD — 10-26 이전 강제하지 않음</x:v>
      </x:c>
      <x:c r="R46" s="13" t="str">
        <x:v>https://github.com/321Team/fds-project-baseline/issues/48</x:v>
      </x:c>
      <x:c r="S46" s="13" t="str">
        <x:f>IF(G46="Done","Done",IF(I46="","End TBD",IF(I46&lt;'Executive Summary'!$B$4,"Target elapsed",IF(H46&gt;'Executive Summary'!$B$4,"Upcoming","Active window"))))</x:f>
        <x:v>End TBD</x:v>
      </x:c>
    </x:row>
    <x:row r="47" ht="110" customHeight="1">
      <x:c r="A47" s="13" t="str">
        <x:v>P2-DOC-01</x:v>
      </x:c>
      <x:c r="B47" s="13" t="str">
        <x:v>Cloud / Hybrid Deliverable Freeze</x:v>
      </x:c>
      <x:c r="C47" s="13" t="str">
        <x:v>Phase 2</x:v>
      </x:c>
      <x:c r="D47" s="13" t="str">
        <x:v>PMO / Documentation</x:v>
      </x:c>
      <x:c r="E47" s="13" t="str">
        <x:v>Task</x:v>
      </x:c>
      <x:c r="F47" s="13" t="str">
        <x:v>P0</x:v>
      </x:c>
      <x:c r="G47" s="13" t="str">
        <x:v>To Do</x:v>
      </x:c>
      <x:c r="H47" s="191" t="n">
        <x:v>46318</x:v>
      </x:c>
      <x:c r="I47" s="191" t="n">
        <x:v>46318</x:v>
      </x:c>
      <x:c r="J47" s="156" t="n">
        <x:f>IF(OR(H47="",I47=""),"",I47-H47+1)</x:f>
        <x:v>1</x:v>
      </x:c>
      <x:c r="K47" s="156" t="n">
        <x:f>IF(OR(H47="",I47=""),"",NETWORKDAYS(H47,I47,'Sources &amp; Change Log'!$J$2:$J$5)-COUNTIFS('Team Calendar'!$A$5:$A$14,L47,'Team Calendar'!$C$5:$C$14,"&gt;="&amp;H47,'Team Calendar'!$C$5:$C$14,"&lt;="&amp;I47,'Team Calendar'!$F$5:$F$14,"Personal absence"))</x:f>
        <x:v>1</x:v>
      </x:c>
      <x:c r="L47" s="13" t="str">
        <x:v>이권욱</x:v>
      </x:c>
      <x:c r="M47" s="13" t="str">
        <x:v>이하영, 이재환</x:v>
      </x:c>
      <x:c r="N47" s="13" t="str">
        <x:v>D12; D21; D22; D23; D24; D25; D26</x:v>
      </x:c>
      <x:c r="O47" s="13" t="str">
        <x:v>RISK-10; RISK-11; RISK-12; RISK-13</x:v>
      </x:c>
      <x:c r="P47" s="195" t="str">
        <x:v>Terraform/ROSA/VPN/Hybrid Architecture, CI/CD, Test/Evidence, Backup/Recovery Runbook, D22/D23/D26 Decision, Known Issue 및 Deliverable Freeze 승인</x:v>
      </x:c>
      <x:c r="Q47" s="195" t="str">
        <x:v>구현 티켓은 실행 시점에 Evidence/Runbook/결정기록을 각자 누적한다. #49는 10-23에 #50/G6 완료 산출물을 최종 집계·무결성 대조하고 Deliverable Freeze 입력을 확정한다.
TS16; 최종 원본/hash/cost/inventory 보존.
GitHub open/-</x:v>
      </x:c>
      <x:c r="R47" s="13" t="str">
        <x:v>https://github.com/321Team/fds-project-baseline/issues/49</x:v>
      </x:c>
      <x:c r="S47" s="13" t="str">
        <x:f>IF(G47="Done","Done",IF(I47="","End TBD",IF(I47&lt;'Executive Summary'!$B$4,"Target elapsed",IF(H47&gt;'Executive Summary'!$B$4,"Upcoming","Active window"))))</x:f>
        <x:v>Upcoming</x:v>
      </x:c>
    </x:row>
    <x:row r="48" ht="110" customHeight="1">
      <x:c r="A48" s="13" t="str">
        <x:v>P2-E2E-01</x:v>
      </x:c>
      <x:c r="B48" s="13" t="str">
        <x:v>Hybrid E2E / Regression</x:v>
      </x:c>
      <x:c r="C48" s="13" t="str">
        <x:v>Phase 2</x:v>
      </x:c>
      <x:c r="D48" s="13" t="str">
        <x:v>QA / Hybrid E2E</x:v>
      </x:c>
      <x:c r="E48" s="13" t="str">
        <x:v>Task</x:v>
      </x:c>
      <x:c r="F48" s="13" t="str">
        <x:v>P0</x:v>
      </x:c>
      <x:c r="G48" s="13" t="str">
        <x:v>To Do</x:v>
      </x:c>
      <x:c r="H48" s="191" t="n">
        <x:v>46317</x:v>
      </x:c>
      <x:c r="I48" s="191" t="n">
        <x:v>46317</x:v>
      </x:c>
      <x:c r="J48" s="156" t="n">
        <x:f>IF(OR(H48="",I48=""),"",I48-H48+1)</x:f>
        <x:v>1</x:v>
      </x:c>
      <x:c r="K48" s="156" t="n">
        <x:f>IF(OR(H48="",I48=""),"",NETWORKDAYS(H48,I48,'Sources &amp; Change Log'!$J$2:$J$5)-COUNTIFS('Team Calendar'!$A$5:$A$14,L48,'Team Calendar'!$C$5:$C$14,"&gt;="&amp;H48,'Team Calendar'!$C$5:$C$14,"&lt;="&amp;I48,'Team Calendar'!$F$5:$F$14,"Personal absence"))</x:f>
        <x:v>1</x:v>
      </x:c>
      <x:c r="L48" s="13" t="str">
        <x:v>이재환</x:v>
      </x:c>
      <x:c r="M48" s="13" t="str">
        <x:v>이권욱, 이하영</x:v>
      </x:c>
      <x:c r="N48" s="13" t="str">
        <x:v>D21; D22; D23</x:v>
      </x:c>
      <x:c r="O48" s="13" t="str">
        <x:v>RISK-09; RISK-10; RISK-11; RISK-12</x:v>
      </x:c>
      <x:c r="P48" s="195" t="str">
        <x:v>ROSA Route→transaction-api, transaction-api→fds-engine:8001 Rule Evaluation, transaction-api→On-Prem PostgreSQL:5432 Persistence, fds-engine→DB DENY를 포함한 Hybrid E2E/Rule/Negative/Recovery Regression PASS와 Critical Issue 0</x:v>
      </x:c>
      <x:c r="Q48" s="195" t="str">
        <x:v>#47의 10-21 완료·handoff 후 10-22 Final Hybrid E2E/Regression을 집중 수행한다. 실패 시 G6/Close를 임의 PASS하지 않고 Known Issue/잔여 Action으로 기록한다.
TS11/12/15; 동일 ROSA E2E·장애복구·회귀.
GitHub open/-</x:v>
      </x:c>
      <x:c r="R48" s="13" t="str">
        <x:v>https://github.com/321Team/fds-project-baseline/issues/50</x:v>
      </x:c>
      <x:c r="S48" s="13" t="str">
        <x:f>IF(G48="Done","Done",IF(I48="","End TBD",IF(I48&lt;'Executive Summary'!$B$4,"Target elapsed",IF(H48&gt;'Executive Summary'!$B$4,"Upcoming","Active window"))))</x:f>
        <x:v>Upcoming</x:v>
      </x:c>
    </x:row>
    <x:row r="49" ht="110" customHeight="1">
      <x:c r="A49" s="13" t="str">
        <x:v>P2-OP-01</x:v>
      </x:c>
      <x:c r="B49" s="13" t="str">
        <x:v>Operator Supply Chain Implementation Conditional</x:v>
      </x:c>
      <x:c r="C49" s="13" t="str">
        <x:v>Phase 2</x:v>
      </x:c>
      <x:c r="D49" s="13" t="str">
        <x:v>Operator Supply Chain</x:v>
      </x:c>
      <x:c r="E49" s="13" t="str">
        <x:v>Task</x:v>
      </x:c>
      <x:c r="F49" s="13" t="str">
        <x:v>P1</x:v>
      </x:c>
      <x:c r="G49" s="13" t="str">
        <x:v>To Do</x:v>
      </x:c>
      <x:c r="H49" s="191"/>
      <x:c r="I49" s="191"/>
      <x:c r="J49" s="156" t="str">
        <x:f>IF(OR(H49="",I49=""),"",I49-H49+1)</x:f>
      </x:c>
      <x:c r="K49" s="156" t="str">
        <x:f>IF(OR(H49="",I49=""),"",NETWORKDAYS(H49,I49,'Sources &amp; Change Log'!$J$2:$J$5)-COUNTIFS('Team Calendar'!$A$5:$A$14,L49,'Team Calendar'!$C$5:$C$14,"&gt;="&amp;H49,'Team Calendar'!$C$5:$C$14,"&lt;="&amp;I49,'Team Calendar'!$F$5:$F$14,"Personal absence"))</x:f>
      </x:c>
      <x:c r="L49" s="13" t="str">
        <x:v>이하영</x:v>
      </x:c>
      <x:c r="M49" s="13" t="str">
        <x:v>이권욱, 이재환</x:v>
      </x:c>
      <x:c r="N49" s="13" t="str">
        <x:v>D22; D26</x:v>
      </x:c>
      <x:c r="O49" s="13" t="str">
        <x:v>RISK-06; RISK-11; RISK-15</x:v>
      </x:c>
      <x:c r="P49" s="195" t="str">
        <x:v>D26이 Mirror를 선택한 경우 oc-mirror ImageSet·Harbor Push·Custom CatalogSource·Package 조회 PASS; Direct Catalog 선택 시 Cancelled 결정 근거 승인</x:v>
      </x:c>
      <x:c r="Q49" s="195" t="str">
        <x:v>P1 Conditional. D26=Mirror이고 P0 일정 여유가 있을 때만 실행한다. Direct면 Cancelled, Mirror라도 일정 부족 시 Deferred하며 G6/Close를 차단하지 않는다.
GitHub open/-
원문 일정: TBD — D26 Mirror + P0 잔여 capacity 시 / TBD — 10-26 이전 강제하지 않음</x:v>
      </x:c>
      <x:c r="R49" s="13" t="str">
        <x:v>https://github.com/321Team/fds-project-baseline/issues/51</x:v>
      </x:c>
      <x:c r="S49" s="13" t="str">
        <x:f>IF(G49="Done","Done",IF(I49="","End TBD",IF(I49&lt;'Executive Summary'!$B$4,"Target elapsed",IF(H49&gt;'Executive Summary'!$B$4,"Upcoming","Active window"))))</x:f>
        <x:v>End TBD</x:v>
      </x:c>
    </x:row>
    <x:row r="50" ht="110" customHeight="1">
      <x:c r="A50" s="13" t="str">
        <x:v>DEC-CAL-P2-01</x:v>
      </x:c>
      <x:c r="B50" s="13" t="str">
        <x:v>Phase 2 Review Schedule Decision</x:v>
      </x:c>
      <x:c r="C50" s="13" t="str">
        <x:v>Phase 2</x:v>
      </x:c>
      <x:c r="D50" s="13" t="str">
        <x:v>Schedule / Governance</x:v>
      </x:c>
      <x:c r="E50" s="13" t="str">
        <x:v>Decision</x:v>
      </x:c>
      <x:c r="F50" s="13" t="str">
        <x:v>P0</x:v>
      </x:c>
      <x:c r="G50" s="13" t="str">
        <x:v>To Do</x:v>
      </x:c>
      <x:c r="H50" s="191" t="n">
        <x:v>46302</x:v>
      </x:c>
      <x:c r="I50" s="191" t="n">
        <x:v>46302</x:v>
      </x:c>
      <x:c r="J50" s="156" t="n">
        <x:f>IF(OR(H50="",I50=""),"",I50-H50+1)</x:f>
        <x:v>1</x:v>
      </x:c>
      <x:c r="K50" s="156" t="n">
        <x:f>IF(OR(H50="",I50=""),"",NETWORKDAYS(H50,I50,'Sources &amp; Change Log'!$J$2:$J$5)-COUNTIFS('Team Calendar'!$A$5:$A$14,L50,'Team Calendar'!$C$5:$C$14,"&gt;="&amp;H50,'Team Calendar'!$C$5:$C$14,"&lt;="&amp;I50,'Team Calendar'!$F$5:$F$14,"Personal absence"))</x:f>
        <x:v>1</x:v>
      </x:c>
      <x:c r="L50" s="13" t="str">
        <x:v>이권욱</x:v>
      </x:c>
      <x:c r="M50" s="13" t="str">
        <x:v>이하영, 이재환</x:v>
      </x:c>
      <x:c r="N50" s="13" t="str">
        <x:v>D24</x:v>
      </x:c>
      <x:c r="O50" s="13" t="str">
        <x:v>RISK-05; RISK-13</x:v>
      </x:c>
      <x:c r="P50" s="195" t="str">
        <x:v>10-23 Deliverable Freeze/Phase 2 Review와 10-26 Project Close 일정, 참석자·승인권자·시간을 확정하고 WBS/Calendar에 동기화</x:v>
      </x:c>
      <x:c r="Q50" s="195" t="str">
        <x:v>Phase 2 Start 시점에 10-23 Review/Freeze와 10-26 Project Close 일정을 고정한다. 10-22까지 Review 일정을 미결 상태로 남기지 않는다.
GitHub open/-</x:v>
      </x:c>
      <x:c r="R50" s="13" t="str">
        <x:v>https://github.com/321Team/fds-project-baseline/issues/52</x:v>
      </x:c>
      <x:c r="S50" s="13" t="str">
        <x:f>IF(G50="Done","Done",IF(I50="","End TBD",IF(I50&lt;'Executive Summary'!$B$4,"Target elapsed",IF(H50&gt;'Executive Summary'!$B$4,"Upcoming","Active window"))))</x:f>
        <x:v>Upcoming</x:v>
      </x:c>
    </x:row>
    <x:row r="51" ht="110" customHeight="1">
      <x:c r="A51" s="13" t="str">
        <x:v>MS-G6-01</x:v>
      </x:c>
      <x:c r="B51" s="13" t="str">
        <x:v>G6 Hybrid Integration Ready</x:v>
      </x:c>
      <x:c r="C51" s="13" t="str">
        <x:v>Phase 2</x:v>
      </x:c>
      <x:c r="D51" s="13" t="str">
        <x:v>Milestone / Hybrid Integration</x:v>
      </x:c>
      <x:c r="E51" s="13" t="str">
        <x:v>Milestone</x:v>
      </x:c>
      <x:c r="F51" s="13" t="str">
        <x:v>P0</x:v>
      </x:c>
      <x:c r="G51" s="13" t="str">
        <x:v>To Do</x:v>
      </x:c>
      <x:c r="H51" s="191" t="n">
        <x:v>46317</x:v>
      </x:c>
      <x:c r="I51" s="191" t="n">
        <x:v>46317</x:v>
      </x:c>
      <x:c r="J51" s="156" t="n">
        <x:f>IF(OR(H51="",I51=""),"",I51-H51+1)</x:f>
        <x:v>1</x:v>
      </x:c>
      <x:c r="K51" s="156" t="n">
        <x:f>IF(OR(H51="",I51=""),"",NETWORKDAYS(H51,I51,'Sources &amp; Change Log'!$J$2:$J$5)-COUNTIFS('Team Calendar'!$A$5:$A$14,L51,'Team Calendar'!$C$5:$C$14,"&gt;="&amp;H51,'Team Calendar'!$C$5:$C$14,"&lt;="&amp;I51,'Team Calendar'!$F$5:$F$14,"Personal absence"))</x:f>
        <x:v>1</x:v>
      </x:c>
      <x:c r="L51" s="13" t="str">
        <x:v>이권욱</x:v>
      </x:c>
      <x:c r="M51" s="13" t="str">
        <x:v>이하영, 이재환</x:v>
      </x:c>
      <x:c r="N51" s="13" t="str">
        <x:v>D21; D22; D23; D26</x:v>
      </x:c>
      <x:c r="O51" s="13" t="str">
        <x:v>RISK-09; RISK-10; RISK-11; RISK-12</x:v>
      </x:c>
      <x:c r="P51" s="195" t="str">
        <x:v>Hybrid DB/Registry Integration, Hybrid E2E/Regression, Critical Issue 0을 승인하고 P1 OADP는 실행 시 결과 또는 Deferred/N/A 근거를 기록</x:v>
      </x:c>
      <x:c r="Q51" s="195" t="str">
        <x:v>G6 목표 10-22 유지. #47 Hybrid와 #50 E2E의 실제 Runtime/Evidence 충족 후 판정한다. P1 선택 기능 미구현은 blocker가 아니다.
GitHub open/-</x:v>
      </x:c>
      <x:c r="R51" s="13" t="str">
        <x:v>https://github.com/321Team/fds-project-baseline/issues/53</x:v>
      </x:c>
      <x:c r="S51" s="13" t="str">
        <x:f>IF(G51="Done","Done",IF(I51="","End TBD",IF(I51&lt;'Executive Summary'!$B$4,"Target elapsed",IF(H51&gt;'Executive Summary'!$B$4,"Upcoming","Active window"))))</x:f>
        <x:v>Upcoming</x:v>
      </x:c>
    </x:row>
    <x:row r="52" ht="110" customHeight="1">
      <x:c r="A52" s="13" t="str">
        <x:v>MS-DELIVERABLE-FREEZE-01</x:v>
      </x:c>
      <x:c r="B52" s="13" t="str">
        <x:v>Deliverable Freeze</x:v>
      </x:c>
      <x:c r="C52" s="13" t="str">
        <x:v>Phase 2</x:v>
      </x:c>
      <x:c r="D52" s="13" t="str">
        <x:v>Milestone / Deliverable</x:v>
      </x:c>
      <x:c r="E52" s="13" t="str">
        <x:v>Milestone</x:v>
      </x:c>
      <x:c r="F52" s="13" t="str">
        <x:v>P0</x:v>
      </x:c>
      <x:c r="G52" s="13" t="str">
        <x:v>To Do</x:v>
      </x:c>
      <x:c r="H52" s="191" t="n">
        <x:v>46318</x:v>
      </x:c>
      <x:c r="I52" s="191" t="n">
        <x:v>46318</x:v>
      </x:c>
      <x:c r="J52" s="156" t="n">
        <x:f>IF(OR(H52="",I52=""),"",I52-H52+1)</x:f>
        <x:v>1</x:v>
      </x:c>
      <x:c r="K52" s="156" t="n">
        <x:f>IF(OR(H52="",I52=""),"",NETWORKDAYS(H52,I52,'Sources &amp; Change Log'!$J$2:$J$5)-COUNTIFS('Team Calendar'!$A$5:$A$14,L52,'Team Calendar'!$C$5:$C$14,"&gt;="&amp;H52,'Team Calendar'!$C$5:$C$14,"&lt;="&amp;I52,'Team Calendar'!$F$5:$F$14,"Personal absence"))</x:f>
        <x:v>1</x:v>
      </x:c>
      <x:c r="L52" s="13" t="str">
        <x:v>이권욱</x:v>
      </x:c>
      <x:c r="M52" s="13" t="str">
        <x:v>이하영, 이재환</x:v>
      </x:c>
      <x:c r="N52" s="13" t="str">
        <x:v>D12; D21; D22; D23; D24; D25; D26</x:v>
      </x:c>
      <x:c r="O52" s="13" t="str">
        <x:v>RISK-10; RISK-11; RISK-12; RISK-13</x:v>
      </x:c>
      <x:c r="P52" s="195" t="str">
        <x:v>Architecture/IaC/Test/Runbook/Evidence/Decision/Known Issue의 최종 Version과 변경금지를 승인</x:v>
      </x:c>
      <x:c r="Q52" s="195" t="str">
        <x:v>Deliverable Freeze는 10-23(금)로 유지한다. 이후 10-26 Close까지는 Review Action/오류 정정만 허용하며 신규 Scope를 추가하지 않는다.
GitHub open/-</x:v>
      </x:c>
      <x:c r="R52" s="13" t="str">
        <x:v>https://github.com/321Team/fds-project-baseline/issues/54</x:v>
      </x:c>
      <x:c r="S52" s="13" t="str">
        <x:f>IF(G52="Done","Done",IF(I52="","End TBD",IF(I52&lt;'Executive Summary'!$B$4,"Target elapsed",IF(H52&gt;'Executive Summary'!$B$4,"Upcoming","Active window"))))</x:f>
        <x:v>Upcoming</x:v>
      </x:c>
    </x:row>
    <x:row r="53" ht="110" customHeight="1">
      <x:c r="A53" s="13" t="str">
        <x:v>P2-REV-01</x:v>
      </x:c>
      <x:c r="B53" s="13" t="str">
        <x:v>Phase 2 Review / Project Close Execution</x:v>
      </x:c>
      <x:c r="C53" s="13" t="str">
        <x:v>Phase 2</x:v>
      </x:c>
      <x:c r="D53" s="13" t="str">
        <x:v>PMO / Review</x:v>
      </x:c>
      <x:c r="E53" s="13" t="str">
        <x:v>Task</x:v>
      </x:c>
      <x:c r="F53" s="13" t="str">
        <x:v>P0</x:v>
      </x:c>
      <x:c r="G53" s="13" t="str">
        <x:v>To Do</x:v>
      </x:c>
      <x:c r="H53" s="191" t="n">
        <x:v>46318</x:v>
      </x:c>
      <x:c r="I53" s="191" t="n">
        <x:v>46321</x:v>
      </x:c>
      <x:c r="J53" s="156" t="n">
        <x:f>IF(OR(H53="",I53=""),"",I53-H53+1)</x:f>
        <x:v>4</x:v>
      </x:c>
      <x:c r="K53" s="156" t="n">
        <x:f>IF(OR(H53="",I53=""),"",NETWORKDAYS(H53,I53,'Sources &amp; Change Log'!$J$2:$J$5)-COUNTIFS('Team Calendar'!$A$5:$A$14,L53,'Team Calendar'!$C$5:$C$14,"&gt;="&amp;H53,'Team Calendar'!$C$5:$C$14,"&lt;="&amp;I53,'Team Calendar'!$F$5:$F$14,"Personal absence"))</x:f>
        <x:v>2</x:v>
      </x:c>
      <x:c r="L53" s="13" t="str">
        <x:v>이권욱</x:v>
      </x:c>
      <x:c r="M53" s="13" t="str">
        <x:v>이하영, 이재환</x:v>
      </x:c>
      <x:c r="N53" s="13" t="str">
        <x:v>D12; D21; D22; D23; D24</x:v>
      </x:c>
      <x:c r="O53" s="13" t="str">
        <x:v>RISK-10; RISK-11; RISK-12; RISK-13</x:v>
      </x:c>
      <x:c r="P53" s="195" t="str">
        <x:v>G6/Deliverable Freeze, Hybrid Demo, P0 Evidence, Decision/Known Issue, 비용·자원 정리 및 Project Close Sign-off 확보</x:v>
      </x:c>
      <x:c r="Q53" s="195" t="str">
        <x:v>10-23에는 #49 Final Aggregation → #54 Deliverable Freeze → #56 Phase 2 Review → #55 Review Action 접수 순으로 처리한다. 10-24~25 주말은 작업하지 않고, 잔여 Close Action·비용/자원 정리·Sign-off는 10-26에 수행해 #57로 인계한다.
GitHub open/-</x:v>
      </x:c>
      <x:c r="R53" s="13" t="str">
        <x:v>https://github.com/321Team/fds-project-baseline/issues/55</x:v>
      </x:c>
      <x:c r="S53" s="13" t="str">
        <x:f>IF(G53="Done","Done",IF(I53="","End TBD",IF(I53&lt;'Executive Summary'!$B$4,"Target elapsed",IF(H53&gt;'Executive Summary'!$B$4,"Upcoming","Active window"))))</x:f>
        <x:v>Upcoming</x:v>
      </x:c>
    </x:row>
    <x:row r="54" ht="110" customHeight="1">
      <x:c r="A54" s="13" t="str">
        <x:v>MS-P2-REVIEW-01</x:v>
      </x:c>
      <x:c r="B54" s="13" t="str">
        <x:v>Phase 2 Review</x:v>
      </x:c>
      <x:c r="C54" s="13" t="str">
        <x:v>Phase 2</x:v>
      </x:c>
      <x:c r="D54" s="13" t="str">
        <x:v>Milestone / Review</x:v>
      </x:c>
      <x:c r="E54" s="13" t="str">
        <x:v>Milestone</x:v>
      </x:c>
      <x:c r="F54" s="13" t="str">
        <x:v>P0</x:v>
      </x:c>
      <x:c r="G54" s="13" t="str">
        <x:v>To Do</x:v>
      </x:c>
      <x:c r="H54" s="191" t="n">
        <x:v>46318</x:v>
      </x:c>
      <x:c r="I54" s="191" t="n">
        <x:v>46318</x:v>
      </x:c>
      <x:c r="J54" s="156" t="n">
        <x:f>IF(OR(H54="",I54=""),"",I54-H54+1)</x:f>
        <x:v>1</x:v>
      </x:c>
      <x:c r="K54" s="156" t="n">
        <x:f>IF(OR(H54="",I54=""),"",NETWORKDAYS(H54,I54,'Sources &amp; Change Log'!$J$2:$J$5)-COUNTIFS('Team Calendar'!$A$5:$A$14,L54,'Team Calendar'!$C$5:$C$14,"&gt;="&amp;H54,'Team Calendar'!$C$5:$C$14,"&lt;="&amp;I54,'Team Calendar'!$F$5:$F$14,"Personal absence"))</x:f>
        <x:v>1</x:v>
      </x:c>
      <x:c r="L54" s="13" t="str">
        <x:v>이권욱</x:v>
      </x:c>
      <x:c r="M54" s="13" t="str">
        <x:v>이하영, 이재환</x:v>
      </x:c>
      <x:c r="N54" s="13" t="str">
        <x:v>D24</x:v>
      </x:c>
      <x:c r="O54" s="13" t="str">
        <x:v>RISK-05; RISK-13</x:v>
      </x:c>
      <x:c r="P54" s="195" t="str">
        <x:v>승인된 일정에 Hybrid Demo/산출물/G6/Known Issue/Cloud Resource Review를 수행하고 Action·승인결과를 기록</x:v>
      </x:c>
      <x:c r="Q54" s="195" t="str">
        <x:v>Phase 2 Review를 10-23(금)로 고정한다. G6/Deliverable Freeze와 연결해 진행하며 10-24~25 주말 Review는 배정하지 않는다.
GitHub open/-</x:v>
      </x:c>
      <x:c r="R54" s="13" t="str">
        <x:v>https://github.com/321Team/fds-project-baseline/issues/56</x:v>
      </x:c>
      <x:c r="S54" s="13" t="str">
        <x:f>IF(G54="Done","Done",IF(I54="","End TBD",IF(I54&lt;'Executive Summary'!$B$4,"Target elapsed",IF(H54&gt;'Executive Summary'!$B$4,"Upcoming","Active window"))))</x:f>
        <x:v>Upcoming</x:v>
      </x:c>
    </x:row>
    <x:row r="55" ht="110" customHeight="1">
      <x:c r="A55" s="83" t="str">
        <x:v>MS-PROJECT-CLOSE-01</x:v>
      </x:c>
      <x:c r="B55" s="83" t="str">
        <x:v>Project Close</x:v>
      </x:c>
      <x:c r="C55" s="83" t="str">
        <x:v>Phase 2</x:v>
      </x:c>
      <x:c r="D55" s="83" t="str">
        <x:v>Milestone / Close</x:v>
      </x:c>
      <x:c r="E55" s="83" t="str">
        <x:v>Milestone</x:v>
      </x:c>
      <x:c r="F55" s="83" t="str">
        <x:v>P0</x:v>
      </x:c>
      <x:c r="G55" s="83" t="str">
        <x:v>To Do</x:v>
      </x:c>
      <x:c r="H55" s="192" t="n">
        <x:v>46321</x:v>
      </x:c>
      <x:c r="I55" s="192" t="n">
        <x:v>46321</x:v>
      </x:c>
      <x:c r="J55" s="158" t="n">
        <x:f>IF(OR(H55="",I55=""),"",I55-H55+1)</x:f>
        <x:v>1</x:v>
      </x:c>
      <x:c r="K55" s="158" t="n">
        <x:f>IF(OR(H55="",I55=""),"",NETWORKDAYS(H55,I55,'Sources &amp; Change Log'!$J$2:$J$5)-COUNTIFS('Team Calendar'!$A$5:$A$14,L55,'Team Calendar'!$C$5:$C$14,"&gt;="&amp;H55,'Team Calendar'!$C$5:$C$14,"&lt;="&amp;I55,'Team Calendar'!$F$5:$F$14,"Personal absence"))</x:f>
        <x:v>1</x:v>
      </x:c>
      <x:c r="L55" s="83" t="str">
        <x:v>이권욱</x:v>
      </x:c>
      <x:c r="M55" s="83" t="str">
        <x:v>이하영, 이재환</x:v>
      </x:c>
      <x:c r="N55" s="83" t="str">
        <x:v>D24</x:v>
      </x:c>
      <x:c r="O55" s="83" t="str">
        <x:v>RISK-05; RISK-11; RISK-13</x:v>
      </x:c>
      <x:c r="P55" s="196" t="str">
        <x:v>Review Action, P0 승인, 후속 P1/Known Issue, Cloud Resource/Cost, Source/Deliverable 인계 및 Project Close Sign-off 확보</x:v>
      </x:c>
      <x:c r="Q55" s="196" t="str"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R55" s="83" t="str">
        <x:v>https://github.com/321Team/fds-project-baseline/issues/57</x:v>
      </x:c>
      <x:c r="S55" s="83" t="str">
        <x:f>IF(G55="Done","Done",IF(I55="","End TBD",IF(I55&lt;'Executive Summary'!$B$4,"Target elapsed",IF(H55&gt;'Executive Summary'!$B$4,"Upcoming","Active window"))))</x:f>
        <x:v>Upcoming</x:v>
      </x:c>
    </x:row>
    <x:row r="56" ht="110" customHeight="1">
      <x:c r="A56" s="83" t="str">
        <x:v>DEC-P1-FDS-01</x:v>
      </x:c>
      <x:c r="B56" s="83" t="str">
        <x:v>거래 보류 도입 범위·판정·평가 실패·Gate 편입 결정</x:v>
      </x:c>
      <x:c r="C56" s="83" t="str">
        <x:v>Phase 1</x:v>
      </x:c>
      <x:c r="D56" s="83" t="str">
        <x:v>Application / Governance</x:v>
      </x:c>
      <x:c r="E56" s="83" t="str">
        <x:v>Decision</x:v>
      </x:c>
      <x:c r="F56" s="83" t="str">
        <x:v>P0</x:v>
      </x:c>
      <x:c r="G56" s="83" t="str">
        <x:v>Done</x:v>
      </x:c>
      <x:c r="H56" s="192" t="n">
        <x:v>46273</x:v>
      </x:c>
      <x:c r="I56" s="192" t="n">
        <x:v>46274</x:v>
      </x:c>
      <x:c r="J56" s="158" t="n">
        <x:f>IF(OR(H56="",I56=""),"",I56-H56+1)</x:f>
        <x:v>2</x:v>
      </x:c>
      <x:c r="K56" s="158" t="n">
        <x:f>IF(OR(H56="",I56=""),"",NETWORKDAYS(H56,I56,'Sources &amp; Change Log'!$J$2:$J$5)-COUNTIFS('Team Calendar'!$A$5:$A$14,L56,'Team Calendar'!$C$5:$C$14,"&gt;="&amp;H56,'Team Calendar'!$C$5:$C$14,"&lt;="&amp;I56,'Team Calendar'!$F$5:$F$14,"Personal absence"))</x:f>
        <x:v>2</x:v>
      </x:c>
      <x:c r="L56" s="83" t="str">
        <x:v>이재환</x:v>
      </x:c>
      <x:c r="M56" s="83" t="str">
        <x:v>이하영, 이권욱</x:v>
      </x:c>
      <x:c r="N56" s="83" t="str">
        <x:v>D03; D12; D17; D28; D34; D36; D37</x:v>
      </x:c>
      <x:c r="O56" s="83" t="str">
        <x:v>현행 정의 연결 대기. v1.0 인용: RISK-05; RISK-07; RISK-09 — 본 종결의 위험 승인 근거로 사용하지 않음</x:v>
      </x:c>
      <x:c r="P56" s="196" t="str">
        <x:v>현행 탐지·기록 유지, 신규 보류·운영 기능 미도입, 실패 정책·계약 소유권, G2 영향 없음 및 후속 검증·재검토 조건 기록</x:v>
      </x:c>
      <x:c r="Q56" s="196" t="str">
        <x:v>현행 유지·신규 기능 확대 유예 결정 Done. 본 v3.1.18 후보에 통합하며 발행 전 운영 정본은 v3.1.17이다. 신규 기능 G2 편입·Runtime 승인은 아니다.
GitHub closed/completed</x:v>
      </x:c>
      <x:c r="R56" s="83" t="str">
        <x:v>https://github.com/321Team/fds-project-baseline/issues/4</x:v>
      </x:c>
      <x:c r="S56" s="83" t="str">
        <x:f>IF(G56="Done","Done",IF(I56="","End TBD",IF(I56&lt;'Executive Summary'!$B$4,"Target elapsed",IF(H56&gt;'Executive Summary'!$B$4,"Upcoming","Active window"))))</x:f>
        <x:v>Done</x:v>
      </x:c>
    </x:row>
    <x:row r="57" ht="110" customHeight="1">
      <x:c r="A57" s="83" t="str">
        <x:v>DEC-P1-TXN-01</x:v>
      </x:c>
      <x:c r="B57" s="83" t="str">
        <x:v>거래 상태·API 응답·재시도·데이터 정합성 계약 결정</x:v>
      </x:c>
      <x:c r="C57" s="83" t="str">
        <x:v>Phase 1</x:v>
      </x:c>
      <x:c r="D57" s="83" t="str">
        <x:v>Application / Data / Interface</x:v>
      </x:c>
      <x:c r="E57" s="83" t="str">
        <x:v>Decision</x:v>
      </x:c>
      <x:c r="F57" s="83" t="str">
        <x:v>P0</x:v>
      </x:c>
      <x:c r="G57" s="83" t="str">
        <x:v>Done</x:v>
      </x:c>
      <x:c r="H57" s="192" t="n">
        <x:v>46273</x:v>
      </x:c>
      <x:c r="I57" s="192" t="n">
        <x:v>46274</x:v>
      </x:c>
      <x:c r="J57" s="158" t="n">
        <x:f>IF(OR(H57="",I57=""),"",I57-H57+1)</x:f>
        <x:v>2</x:v>
      </x:c>
      <x:c r="K57" s="158" t="n">
        <x:f>IF(OR(H57="",I57=""),"",NETWORKDAYS(H57,I57,'Sources &amp; Change Log'!$J$2:$J$5)-COUNTIFS('Team Calendar'!$A$5:$A$14,L57,'Team Calendar'!$C$5:$C$14,"&gt;="&amp;H57,'Team Calendar'!$C$5:$C$14,"&lt;="&amp;I57,'Team Calendar'!$F$5:$F$14,"Personal absence"))</x:f>
        <x:v>2</x:v>
      </x:c>
      <x:c r="L57" s="83" t="str">
        <x:v>이재환</x:v>
      </x:c>
      <x:c r="M57" s="83" t="str">
        <x:v>이하영, 이권욱</x:v>
      </x:c>
      <x:c r="N57" s="83" t="str">
        <x:v>D03; D04; D18; D28; D34; D35; DEC-P1-FDS-01</x:v>
      </x:c>
      <x:c r="O57" s="83" t="str">
        <x:v>현행 정의 연결 대기. v1.0 인용: RISK-05; RISK-07; RISK-09 — 본 종결의 위험 승인 근거로 사용하지 않음</x:v>
      </x:c>
      <x:c r="P57" s="196" t="str">
        <x:v>기존 계약 유지 선택, 신규 상태/API·Migration 변경 유예, #4/#6과 정책·표현 소유권 및 기존 구현 정합성 후속 기록</x:v>
      </x:c>
      <x:c r="Q57" s="196" t="str">
        <x:v>현행 유지·신규 기능 확대 유예 결정 Done. 본 v3.1.18 후보에 통합하며 발행 전 운영 정본은 v3.1.17이다. 신규 기능 G2 편입·Runtime 승인은 아니다.
GitHub closed/completed</x:v>
      </x:c>
      <x:c r="R57" s="83" t="str">
        <x:v>https://github.com/321Team/fds-project-baseline/issues/5</x:v>
      </x:c>
      <x:c r="S57" s="83" t="str">
        <x:f>IF(G57="Done","Done",IF(I57="","End TBD",IF(I57&lt;'Executive Summary'!$B$4,"Target elapsed",IF(H57&gt;'Executive Summary'!$B$4,"Upcoming","Active window"))))</x:f>
        <x:v>Done</x:v>
      </x:c>
    </x:row>
    <x:row r="58" ht="110" customHeight="1">
      <x:c r="A58" s="83" t="str">
        <x:v>DEC-P1-ADMIN-01</x:v>
      </x:c>
      <x:c r="B58" s="83" t="str">
        <x:v>보안 시연 범위·테스트 전제·조건부 운영 통제 결정</x:v>
      </x:c>
      <x:c r="C58" s="83" t="str">
        <x:v>Phase 1</x:v>
      </x:c>
      <x:c r="D58" s="83" t="str">
        <x:v>Application Security / Demonstration / Governance</x:v>
      </x:c>
      <x:c r="E58" s="83" t="str">
        <x:v>Decision</x:v>
      </x:c>
      <x:c r="F58" s="83" t="str">
        <x:v>P0</x:v>
      </x:c>
      <x:c r="G58" s="83" t="str">
        <x:v>Done</x:v>
      </x:c>
      <x:c r="H58" s="192" t="n">
        <x:v>46273</x:v>
      </x:c>
      <x:c r="I58" s="192" t="n">
        <x:v>46274</x:v>
      </x:c>
      <x:c r="J58" s="158" t="n">
        <x:f>IF(OR(H58="",I58=""),"",I58-H58+1)</x:f>
        <x:v>2</x:v>
      </x:c>
      <x:c r="K58" s="158" t="n">
        <x:f>IF(OR(H58="",I58=""),"",NETWORKDAYS(H58,I58,'Sources &amp; Change Log'!$J$2:$J$5)-COUNTIFS('Team Calendar'!$A$5:$A$14,L58,'Team Calendar'!$C$5:$C$14,"&gt;="&amp;H58,'Team Calendar'!$C$5:$C$14,"&lt;="&amp;I58,'Team Calendar'!$F$5:$F$14,"Personal absence"))</x:f>
        <x:v>1</x:v>
      </x:c>
      <x:c r="L58" s="83" t="str">
        <x:v>이하영</x:v>
      </x:c>
      <x:c r="M58" s="83" t="str">
        <x:v>이권욱, 이재환</x:v>
      </x:c>
      <x:c r="N58" s="83" t="str">
        <x:v>D03; D12; D17; D18; D19; D28; D33; D34; D35; DEC-P1-FDS-01; DEC-P1-TXN-01; OID-01</x:v>
      </x:c>
      <x:c r="O58" s="83" t="str">
        <x:v>현행 정의 연결 대기. v1.0 인용: RISK-05; RISK-06; RISK-07; RISK-08; RISK-09 — 본 종결의 위험 승인 근거로 사용하지 않음</x:v>
      </x:c>
      <x:c r="P58" s="196" t="str">
        <x:v>프론트엔드 배치 제외, 합성 데이터·최소 노출 원칙, 5개 검토 축 적용/유예, 기존 접근 통제 재사용 및 후속 시나리오 인계 기록</x:v>
      </x:c>
      <x:c r="Q58" s="196" t="str">
        <x:v>현행 유지·신규 기능 확대 유예 결정 Done. 본 v3.1.18 후보에 통합하며 발행 전 운영 정본은 v3.1.17이다. 신규 기능 G2 편입·Runtime 승인은 아니다.
GitHub closed/completed</x:v>
      </x:c>
      <x:c r="R58" s="83" t="str">
        <x:v>https://github.com/321Team/fds-project-baseline/issues/6</x:v>
      </x:c>
      <x:c r="S58" s="83" t="str">
        <x:f>IF(G58="Done","Done",IF(I58="","End TBD",IF(I58&lt;'Executive Summary'!$B$4,"Target elapsed",IF(H58&gt;'Executive Summary'!$B$4,"Upcoming","Active window"))))</x:f>
        <x:v>Done</x:v>
      </x:c>
    </x:row>
    <x:row r="59" ht="110" customHeight="1">
      <x:c r="A59" s="148" t="str">
        <x:v>CR-P1-MON-01-01</x:v>
      </x:c>
      <x:c r="B59" s="148" t="str">
        <x:v>Alertmanager Egress 프록시 서버 구성</x:v>
      </x:c>
      <x:c r="C59" s="148" t="str">
        <x:v>Phase 1</x:v>
      </x:c>
      <x:c r="D59" s="148" t="str">
        <x:v>Monitoring / Alerting Egress Change Control</x:v>
      </x:c>
      <x:c r="E59" s="148" t="str">
        <x:v>Change Request</x:v>
      </x:c>
      <x:c r="F59" s="148" t="str">
        <x:v>P1</x:v>
      </x:c>
      <x:c r="G59" s="148" t="str">
        <x:v>Done</x:v>
      </x:c>
      <x:c r="H59" s="193" t="n">
        <x:v>46276</x:v>
      </x:c>
      <x:c r="I59" s="193" t="n">
        <x:v>46301</x:v>
      </x:c>
      <x:c r="J59" s="160" t="n">
        <x:f>IF(OR(H59="",I59=""),"",I59-H59+1)</x:f>
        <x:v>26</x:v>
      </x:c>
      <x:c r="K59" s="160" t="n">
        <x:f>IF(OR(H59="",I59=""),"",NETWORKDAYS(H59,I59,'Sources &amp; Change Log'!$J$2:$J$5)-COUNTIFS('Team Calendar'!$A$5:$A$14,L59,'Team Calendar'!$C$5:$C$14,"&gt;="&amp;H59,'Team Calendar'!$C$5:$C$14,"&lt;="&amp;I59,'Team Calendar'!$F$5:$F$14,"Personal absence"))</x:f>
        <x:v>14</x:v>
      </x:c>
      <x:c r="L59" s="148" t="str">
        <x:v>이하영</x:v>
      </x:c>
      <x:c r="M59" s="148" t="str">
        <x:v>이재환</x:v>
      </x:c>
      <x:c r="N59" s="148" t="str">
        <x:v>D17; D33; D34; D35 — 현행 영향 기준. 신규 CR 승인·신규 D-ID/Interface ID는 미확정</x:v>
      </x:c>
      <x:c r="O59" s="148" t="str">
        <x:v>RISK-04; RISK-07</x:v>
      </x:c>
      <x:c r="P59" s="197" t="str">
        <x:v>discord.com 아웃바운드 확인, 프록시 전용 VM 확정, Squid/Nginx 구성 및 discord.com allowlist 적용, 고정 IP·포트를 [Issue B(#75)](https://github.com/321Team/fds-project-baseline/issues/75)에 전달</x:v>
      </x:c>
      <x:c r="Q59" s="197" t="str">
        <x:v>Lead 이하영·Support 이재환, Start 2026-09-11·End TBD. 프록시 배치와 고정 scheme/host/IP/port를 확정하여 #75에 인계한다. 종료일은 후속 계획에서 확정한다. 교육장 주말 작업은 배정하지 않는다. G2는 추적용 분류이며 기존 P0/G2 Acceptance에 필수 조건을 자동 추가하지 않는다.
GitHub closed/completed</x:v>
      </x:c>
      <x:c r="R59" s="148" t="str">
        <x:v>https://github.com/321Team/fds-project-baseline/issues/74</x:v>
      </x:c>
      <x:c r="S59" s="148" t="str">
        <x:f>IF(G59="Done","Done",IF(I59="","End TBD",IF(I59&lt;'Executive Summary'!$B$4,"Target elapsed",IF(H59&gt;'Executive Summary'!$B$4,"Upcoming","Active window"))))</x:f>
        <x:v>Done</x:v>
      </x:c>
    </x:row>
    <x:row r="60" ht="110" customHeight="1">
      <x:c r="A60" s="148" t="str">
        <x:v>CR-P1-MON-01-02</x:v>
      </x:c>
      <x:c r="B60" s="148" t="str">
        <x:v>Alertmanager Egress Kubernetes 보안 설정 (NetworkPolicy)</x:v>
      </x:c>
      <x:c r="C60" s="148" t="str">
        <x:v>Phase 1</x:v>
      </x:c>
      <x:c r="D60" s="148" t="str">
        <x:v>Monitoring / Alerting Egress Change Control</x:v>
      </x:c>
      <x:c r="E60" s="148" t="str">
        <x:v>Change Request</x:v>
      </x:c>
      <x:c r="F60" s="148" t="str">
        <x:v>P1</x:v>
      </x:c>
      <x:c r="G60" s="148" t="str">
        <x:v>Done</x:v>
      </x:c>
      <x:c r="H60" s="193" t="n">
        <x:v>46276</x:v>
      </x:c>
      <x:c r="I60" s="193" t="n">
        <x:v>46301</x:v>
      </x:c>
      <x:c r="J60" s="160" t="n">
        <x:f>IF(OR(H60="",I60=""),"",I60-H60+1)</x:f>
        <x:v>26</x:v>
      </x:c>
      <x:c r="K60" s="160" t="n">
        <x:f>IF(OR(H60="",I60=""),"",NETWORKDAYS(H60,I60,'Sources &amp; Change Log'!$J$2:$J$5)-COUNTIFS('Team Calendar'!$A$5:$A$14,L60,'Team Calendar'!$C$5:$C$14,"&gt;="&amp;H60,'Team Calendar'!$C$5:$C$14,"&lt;="&amp;I60,'Team Calendar'!$F$5:$F$14,"Personal absence"))</x:f>
        <x:v>14</x:v>
      </x:c>
      <x:c r="L60" s="148" t="str">
        <x:v>이하영</x:v>
      </x:c>
      <x:c r="M60" s="148" t="str">
        <x:v>이재환</x:v>
      </x:c>
      <x:c r="N60" s="148" t="str">
        <x:v>D17; D33; D34; D35 — 현행 영향 기준. 신규 CR 승인·신규 D-ID/Interface ID는 미확정</x:v>
      </x:c>
      <x:c r="O60" s="148" t="str">
        <x:v>RISK-04; RISK-07</x:v>
      </x:c>
      <x:c r="P60" s="197" t="str">
        <x:v>Alertmanager 전용 NetworkPolicy(Egress) 작성·적용, podSelector 라벨 확정, Secret 주입·회전·폐기 절차 확정, 검증(허용/차단/알림 전송) 완료 및 Support Review 완료</x:v>
      </x:c>
      <x:c r="Q60" s="197" t="str">
        <x:v>Lead 이하영·Support 이재환. #74의 프록시 서버 구성 완료와 고정 proxy endpoint 인계가 선행조건이므로 Start/End는 TBD다. 인계 후 실제 selector·Secret·정책·시험에 반영한다. 초안 준비는 병행 가능하며 착수일 확정으로 간주하지 않는다. 교육장 주말 작업은 배정하지 않는다. G2는 추적용 분류이며 기존 P0/G2 Acceptance에 필수 조건을 자동 추가하지 않는다.
GitHub closed/completed</x:v>
      </x:c>
      <x:c r="R60" s="148" t="str">
        <x:v>https://github.com/321Team/fds-project-baseline/issues/75</x:v>
      </x:c>
      <x:c r="S60" s="148" t="str">
        <x:f>IF(G60="Done","Done",IF(I60="","End TBD",IF(I60&lt;'Executive Summary'!$B$4,"Target elapsed",IF(H60&gt;'Executive Summary'!$B$4,"Upcoming","Active window"))))</x:f>
        <x:v>Done</x:v>
      </x:c>
    </x:row>
    <x:row r="61" ht="110" customHeight="1">
      <x:c r="A61" s="148" t="str">
        <x:v>DEC-P1-EGRESS-01</x:v>
      </x:c>
      <x:c r="B61" s="148" t="str">
        <x:v>Alertmanager 전용 프록시 배치·예약 IP 사용 결정</x:v>
      </x:c>
      <x:c r="C61" s="148" t="str">
        <x:v>Phase 1</x:v>
      </x:c>
      <x:c r="D61" s="148" t="str">
        <x:v>Monitoring / Architecture / Egress</x:v>
      </x:c>
      <x:c r="E61" s="148" t="str">
        <x:v>Decision</x:v>
      </x:c>
      <x:c r="F61" s="148" t="str">
        <x:v>P1</x:v>
      </x:c>
      <x:c r="G61" s="148" t="str">
        <x:v>Done</x:v>
      </x:c>
      <x:c r="H61" s="193" t="n">
        <x:v>46279</x:v>
      </x:c>
      <x:c r="I61" s="193" t="n">
        <x:v>46286</x:v>
      </x:c>
      <x:c r="J61" s="160" t="n">
        <x:f>IF(OR(H61="",I61=""),"",I61-H61+1)</x:f>
        <x:v>8</x:v>
      </x:c>
      <x:c r="K61" s="160" t="n">
        <x:f>IF(OR(H61="",I61=""),"",NETWORKDAYS(H61,I61,'Sources &amp; Change Log'!$J$2:$J$5)-COUNTIFS('Team Calendar'!$A$5:$A$14,L61,'Team Calendar'!$C$5:$C$14,"&gt;="&amp;H61,'Team Calendar'!$C$5:$C$14,"&lt;="&amp;I61,'Team Calendar'!$F$5:$F$14,"Personal absence"))</x:f>
        <x:v>6</x:v>
      </x:c>
      <x:c r="L61" s="148" t="str">
        <x:v>이권욱</x:v>
      </x:c>
      <x:c r="M61" s="148" t="str">
        <x:v>이하영, 이재환</x:v>
      </x:c>
      <x:c r="N61" s="148" t="str">
        <x:v>D17; D33; D34; D35 — 기존 의미 유지. 신규 D/IF 순번은 정본 레지스터 대조 후 부여</x:v>
      </x:c>
      <x:c r="O61" s="148" t="str">
        <x:v>RISK-04; RISK-07</x:v>
      </x:c>
      <x:c r="P61" s="197" t="str">
        <x:v>배치·예외 정책 기록, 예약 IP/자산 충돌 확인, 자원 영향 검토, #74/#75 구현·인계 조건 연결</x:v>
      </x:c>
      <x:c r="Q61" s="197" t="str"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R61" s="148" t="str">
        <x:v>https://github.com/321Team/fds-project-baseline/issues/78</x:v>
      </x:c>
      <x:c r="S61" s="148" t="str">
        <x:f>IF(G61="Done","Done",IF(I61="","End TBD",IF(I61&lt;'Executive Summary'!$B$4,"Target elapsed",IF(H61&gt;'Executive Summary'!$B$4,"Upcoming","Active window"))))</x:f>
        <x:v>Done</x:v>
      </x:c>
    </x:row>
    <x:row r="62" ht="110" customHeight="1">
      <x:c r="A62" t="str">
        <x:v>D-ARC-01</x:v>
      </x:c>
      <x:c r="B62" t="str">
        <x:v>Phase 1 Logical / Physical Architecture Design Freeze</x:v>
      </x:c>
      <x:c r="C62" t="str">
        <x:v>Design</x:v>
      </x:c>
      <x:c r="D62" t="str">
        <x:v>Design / Planning</x:v>
      </x:c>
      <x:c r="E62" t="str">
        <x:v>Task</x:v>
      </x:c>
      <x:c r="F62" t="str">
        <x:v>P0</x:v>
      </x:c>
      <x:c r="G62" t="str">
        <x:v>Done</x:v>
      </x:c>
      <x:c r="H62" s="194" t="n">
        <x:v>46258</x:v>
      </x:c>
      <x:c r="I62" s="194" t="n">
        <x:v>46260</x:v>
      </x:c>
      <x:c r="J62" t="n">
        <x:f>IF(OR(H62="",I62=""),"",I62-H62+1)</x:f>
        <x:v>3</x:v>
      </x:c>
      <x:c r="K62" t="n">
        <x:f>IF(OR(H62="",I62=""),"",NETWORKDAYS(H62,I62,'Sources &amp; Change Log'!$J$2:$J$5)-COUNTIFS('Team Calendar'!$A$5:$A$14,L62,'Team Calendar'!$C$5:$C$14,"&gt;="&amp;H62,'Team Calendar'!$C$5:$C$14,"&lt;="&amp;I62,'Team Calendar'!$F$5:$F$14,"Personal absence"))</x:f>
        <x:v>3</x:v>
      </x:c>
      <x:c r="L62" t="str">
        <x:v>이권욱</x:v>
      </x:c>
      <x:c r="M62" t="str">
        <x:v>이하영, 이재환</x:v>
      </x:c>
      <x:c r="N62" t="str">
        <x:v>D01`~`D09`, `D12`~`D16</x:v>
      </x:c>
      <x:c r="O62" t="str">
        <x:v>RISK-02`, `RISK-04`, `RISK-06`, `RISK-07`, `RISK-08`, `RISK-09</x:v>
      </x:c>
      <x:c r="P62" s="198" t="str">
        <x:v>Logical / Physical Architecture v3.1.2 Freeze, MSA / CI-CD / Monitoring / Security 경계 확정, IP·배치 정합성 확인, Release / Freeze / 승인 메타데이터 반영</x:v>
      </x:c>
      <x:c r="Q62" s="198" t="str">
        <x:v>2026-08-26 Architecture 설계 동결 완료. 본 티켓의 종결은 Phase 1 논리·물리 구조와 Interface 경계의 승인을 의미하며 개별 구성요소의 구현 완료를 의미하지 않는다. 이후 구조·배치·IP·포트·보안 경계 변경은 Change Request와 영향도 검토 후 신규 버전에 반영한다. 2026-09-11 사용자 확인으로 계획 End를 2026-08-26으로 정정하여 3일 기간과 일치시켰다.
GitHub closed/completed</x:v>
      </x:c>
      <x:c r="R62" t="str">
        <x:v>https://github.com/321Team/fds-project-baseline/issues/59</x:v>
      </x:c>
      <x:c r="S62" t="str">
        <x:f>IF(G62="Done","Done",IF(I62="","End TBD",IF(I62&lt;'Executive Summary'!$B$4,"Target elapsed",IF(H62&gt;'Executive Summary'!$B$4,"Upcoming","Active window"))))</x:f>
        <x:v>Done</x:v>
      </x:c>
    </x:row>
    <x:row r="63" ht="110" customHeight="1">
      <x:c r="A63" t="str">
        <x:v>D-NET-01</x:v>
      </x:c>
      <x:c r="B63" t="str">
        <x:v>Physical / Management Network Design Freeze</x:v>
      </x:c>
      <x:c r="C63" t="str">
        <x:v>Design</x:v>
      </x:c>
      <x:c r="D63" t="str">
        <x:v>Network / Infrastructure Design</x:v>
      </x:c>
      <x:c r="E63" t="str">
        <x:v>Task</x:v>
      </x:c>
      <x:c r="F63" t="str">
        <x:v>P0</x:v>
      </x:c>
      <x:c r="G63" t="str">
        <x:v>Done</x:v>
      </x:c>
      <x:c r="H63" s="194" t="n">
        <x:v>46258</x:v>
      </x:c>
      <x:c r="I63" s="194" t="n">
        <x:v>46260</x:v>
      </x:c>
      <x:c r="J63" t="n">
        <x:f>IF(OR(H63="",I63=""),"",I63-H63+1)</x:f>
        <x:v>3</x:v>
      </x:c>
      <x:c r="K63" t="n">
        <x:f>IF(OR(H63="",I63=""),"",NETWORKDAYS(H63,I63,'Sources &amp; Change Log'!$J$2:$J$5)-COUNTIFS('Team Calendar'!$A$5:$A$14,L63,'Team Calendar'!$C$5:$C$14,"&gt;="&amp;H63,'Team Calendar'!$C$5:$C$14,"&lt;="&amp;I63,'Team Calendar'!$F$5:$F$14,"Personal absence"))</x:f>
        <x:v>3</x:v>
      </x:c>
      <x:c r="L63" t="str">
        <x:v>이권욱</x:v>
      </x:c>
      <x:c r="M63" t="str">
        <x:v>이하영</x:v>
      </x:c>
      <x:c r="N63" t="str">
        <x:v>D05 — Bridged Node / Service Endpoint`, `D13 — VMnet1/VMnet8 분리`, `D14 — Physical Return Route / Source NAT 금지`, `D15 — 10.1.93.254 프로젝트 비관리`, `D16 — Reserved / DO_NOT_USE IP</x:v>
      </x:c>
      <x:c r="O63" t="str">
        <x:v>RISK-02 — Bridged Multi-MAC 제한</x:v>
      </x:c>
      <x:c r="P63" s="198" t="str">
        <x:v>Windows server01~08 PostBuild FAIL=0, VMnet0/VMnet1/VMnet8 분리, Physical Return Route via 10.1.93.58, Source Preservation PASS=6/FAIL=0, Management VM 및 mgmt-gw01 Verify FAIL=0, Closure Report 승인</x:v>
      </x:c>
      <x:c r="Q63" s="198" t="str">
        <x:v>2026-08-26 실제 완료. 기존 계획보다 Closure가 1일 연장되었으나 Network Design/Implementation/Evidence를 포함해 DONE 처리. 후속 구축 범위는 P1-K8S-01 및 P1-DNS-01로 이관한다.
GitHub closed/completed</x:v>
      </x:c>
      <x:c r="R63" t="str">
        <x:v>https://github.com/321Team/fds-project-baseline/issues/60</x:v>
      </x:c>
      <x:c r="S63" t="str">
        <x:f>IF(G63="Done","Done",IF(I63="","End TBD",IF(I63&lt;'Executive Summary'!$B$4,"Target elapsed",IF(H63&gt;'Executive Summary'!$B$4,"Upcoming","Active window"))))</x:f>
        <x:v>Done</x:v>
      </x:c>
    </x:row>
    <x:row r="64" ht="110" customHeight="1">
      <x:c r="A64" t="str">
        <x:v>D-WBS-01</x:v>
      </x:c>
      <x:c r="B64" t="str">
        <x:v>WBS / Backlog / Interface Management Freeze</x:v>
      </x:c>
      <x:c r="C64" t="str">
        <x:v>Design</x:v>
      </x:c>
      <x:c r="D64" t="str">
        <x:v>Design / Planning</x:v>
      </x:c>
      <x:c r="E64" t="str">
        <x:v>Task</x:v>
      </x:c>
      <x:c r="F64" t="str">
        <x:v>P0</x:v>
      </x:c>
      <x:c r="G64" t="str">
        <x:v>Done</x:v>
      </x:c>
      <x:c r="H64" s="194" t="n">
        <x:v>46258</x:v>
      </x:c>
      <x:c r="I64" s="194" t="n">
        <x:v>46260</x:v>
      </x:c>
      <x:c r="J64" t="n">
        <x:f>IF(OR(H64="",I64=""),"",I64-H64+1)</x:f>
        <x:v>3</x:v>
      </x:c>
      <x:c r="K64" t="n">
        <x:f>IF(OR(H64="",I64=""),"",NETWORKDAYS(H64,I64,'Sources &amp; Change Log'!$J$2:$J$5)-COUNTIFS('Team Calendar'!$A$5:$A$14,L64,'Team Calendar'!$C$5:$C$14,"&gt;="&amp;H64,'Team Calendar'!$C$5:$C$14,"&lt;="&amp;I64,'Team Calendar'!$F$5:$F$14,"Personal absence"))</x:f>
        <x:v>3</x:v>
      </x:c>
      <x:c r="L64" t="str">
        <x:v>이권욱</x:v>
      </x:c>
      <x:c r="M64" t="str">
        <x:v>이하영, 이재환</x:v>
      </x:c>
      <x:c r="N64" t="str">
        <x:v>D01`~`D24</x:v>
      </x:c>
      <x:c r="O64" t="str">
        <x:v>RISK-05`, `RISK-13</x:v>
      </x:c>
      <x:c r="P64" s="198" t="str">
        <x:v>3인 WBS, Backlog, Decision / Milestone, Interface Register, 의존성, Exit Criteria, 상태 및 변경통제 기준 Freeze; 최신 WBS와 Notion 수동 입력본 배포</x:v>
      </x:c>
      <x:c r="Q64" s="198" t="str">
        <x:v>2026-08-26 WBS·Backlog·Decision·Milestone·Interface 관리체계 동결 완료. 종결 티켓은 Closed Register에 보존하고 Remaining Backlog에서 제외한다. 이후 백로그 변경은 D-WBS-01 재개가 아니라 동결된 Change Control에 따른 Version Update로 관리한다. D-SEC-01 및 D17의 후속 상태는 본 티켓 종결과 분리한다. 2026-09-11 사용자 확인으로 실제 완료일을 2026-08-26으로 확정했다. 첨부 상단의 8/28은 정정 전 기록이다.
GitHub closed/completed</x:v>
      </x:c>
      <x:c r="R64" t="str">
        <x:v>https://github.com/321Team/fds-project-baseline/issues/61</x:v>
      </x:c>
      <x:c r="S64" t="str">
        <x:f>IF(G64="Done","Done",IF(I64="","End TBD",IF(I64&lt;'Executive Summary'!$B$4,"Target elapsed",IF(H64&gt;'Executive Summary'!$B$4,"Upcoming","Active window"))))</x:f>
        <x:v>Done</x:v>
      </x:c>
    </x:row>
    <x:row r="65" ht="110" customHeight="1">
      <x:c r="A65" t="str">
        <x:v>DEC-P1-ENTRY-01</x:v>
      </x:c>
      <x:c r="B65" t="str">
        <x:v>Edge Service Exposure Decision</x:v>
      </x:c>
      <x:c r="C65" t="str">
        <x:v>Phase 1</x:v>
      </x:c>
      <x:c r="D65" t="str">
        <x:v>Architecture / Network</x:v>
      </x:c>
      <x:c r="E65" t="str">
        <x:v>Decision</x:v>
      </x:c>
      <x:c r="F65" t="str">
        <x:v>P0</x:v>
      </x:c>
      <x:c r="G65" t="str">
        <x:v>Done</x:v>
      </x:c>
      <x:c r="H65" s="194" t="n">
        <x:v>46261</x:v>
      </x:c>
      <x:c r="I65" s="194" t="n">
        <x:v>46265</x:v>
      </x:c>
      <x:c r="J65" t="n">
        <x:f>IF(OR(H65="",I65=""),"",I65-H65+1)</x:f>
        <x:v>5</x:v>
      </x:c>
      <x:c r="K65" t="n">
        <x:f>IF(OR(H65="",I65=""),"",NETWORKDAYS(H65,I65,'Sources &amp; Change Log'!$J$2:$J$5)-COUNTIFS('Team Calendar'!$A$5:$A$14,L65,'Team Calendar'!$C$5:$C$14,"&gt;="&amp;H65,'Team Calendar'!$C$5:$C$14,"&lt;="&amp;I65,'Team Calendar'!$F$5:$F$14,"Personal absence"))</x:f>
        <x:v>3</x:v>
      </x:c>
      <x:c r="L65" t="str">
        <x:v>이권욱</x:v>
      </x:c>
      <x:c r="M65" t="str">
        <x:v>이하영, 이재환</x:v>
      </x:c>
      <x:c r="N65" t="str">
        <x:v>D05; D18; D27</x:v>
      </x:c>
      <x:c r="O65" t="str">
        <x:v>RISK-02; RISK-07</x:v>
      </x:c>
      <x:c r="P65" s="198" t="str">
        <x:v>edge01→transaction-api 노출 방식을 Ingress/Reverse Proxy/NodePort 후보 중 확정하고 Port·Health Check·Firewall·NetworkPolicy 변경을 승인</x:v>
      </x:c>
      <x:c r="Q65" s="198" t="str">
        <x:v>D18 PASS(2026-08-31). P1-APP-01 External Exposure와 P1-SEC-01 Allowlist/NetworkPolicy에 승인 결정을 전달한다. P1-LB-01 API LB와 P1-K8S-01 Cluster Bootstrap에는 Non-blocking이다.
GitHub closed/completed</x:v>
      </x:c>
      <x:c r="R65" t="str">
        <x:v>https://github.com/321Team/fds-project-baseline/issues/62</x:v>
      </x:c>
      <x:c r="S65" t="str">
        <x:f>IF(G65="Done","Done",IF(I65="","End TBD",IF(I65&lt;'Executive Summary'!$B$4,"Target elapsed",IF(H65&gt;'Executive Summary'!$B$4,"Upcoming","Active window"))))</x:f>
        <x:v>Done</x:v>
      </x:c>
    </x:row>
    <x:row r="66" ht="110" customHeight="1">
      <x:c r="A66" t="str">
        <x:v>DEC-P1-MON-01</x:v>
      </x:c>
      <x:c r="B66" t="str">
        <x:v>Kubernetes-Integrated Hybrid Monitoring Architecture</x:v>
      </x:c>
      <x:c r="C66" t="str">
        <x:v>Phase 1</x:v>
      </x:c>
      <x:c r="D66" t="str">
        <x:v>Monitoring / Architecture / Security</x:v>
      </x:c>
      <x:c r="E66" t="str">
        <x:v>Decision</x:v>
      </x:c>
      <x:c r="F66" t="str">
        <x:v>P0</x:v>
      </x:c>
      <x:c r="G66" t="str">
        <x:v>Done</x:v>
      </x:c>
      <x:c r="H66" s="194" t="n">
        <x:v>46265</x:v>
      </x:c>
      <x:c r="I66" s="194" t="n">
        <x:v>46265</x:v>
      </x:c>
      <x:c r="J66" t="n">
        <x:f>IF(OR(H66="",I66=""),"",I66-H66+1)</x:f>
        <x:v>1</x:v>
      </x:c>
      <x:c r="K66" t="n">
        <x:f>IF(OR(H66="",I66=""),"",NETWORKDAYS(H66,I66,'Sources &amp; Change Log'!$J$2:$J$5)-COUNTIFS('Team Calendar'!$A$5:$A$14,L66,'Team Calendar'!$C$5:$C$14,"&gt;="&amp;H66,'Team Calendar'!$C$5:$C$14,"&lt;="&amp;I66,'Team Calendar'!$F$5:$F$14,"Personal absence"))</x:f>
        <x:v>1</x:v>
      </x:c>
      <x:c r="L66" t="str">
        <x:v>이권욱</x:v>
      </x:c>
      <x:c r="M66" t="str">
        <x:v>이하영, 이재환</x:v>
      </x:c>
      <x:c r="N66" t="str">
        <x:v>D05; D14; D17; D19; D33</x:v>
      </x:c>
      <x:c r="O66" t="str">
        <x:v>RISK-04; RISK-07</x:v>
      </x:c>
      <x:c r="P66" s="198" t="str">
        <x:v>Grafana 포함 Kubernetes 내부 관측 Stack, node-exporter 통제 예외, monitor01 외부 Watchdog, IF-05/IF-06 계열, 보안·Rollback·후속 구현 책임을 D33으로 승인하고 Baseline·Architecture·Addendum·Release Notes를 발행</x:v>
      </x:c>
      <x:c r="Q66" s="198" t="str">
        <x:v>D33 Done/2026-08-31. 본 후보의 Closed/Decision Register에 연결. Runtime 14개 Acceptance는 P1-MON-01, P1 고도화는 P1-MON-02 책임이다.
GitHub closed/completed</x:v>
      </x:c>
      <x:c r="R66" t="str">
        <x:v>https://github.com/321Team/fds-project-baseline/issues/63</x:v>
      </x:c>
      <x:c r="S66" t="str">
        <x:f>IF(G66="Done","Done",IF(I66="","End TBD",IF(I66&lt;'Executive Summary'!$B$4,"Target elapsed",IF(H66&gt;'Executive Summary'!$B$4,"Upcoming","Active window"))))</x:f>
        <x:v>Done</x:v>
      </x:c>
    </x:row>
    <x:row r="67" ht="110" customHeight="1">
      <x:c r="A67" t="str">
        <x:v>DEC-P1-TLS-01</x:v>
      </x:c>
      <x:c r="B67" t="str">
        <x:v>Harbor / Edge TLS Trust Decision</x:v>
      </x:c>
      <x:c r="C67" t="str">
        <x:v>Phase 1</x:v>
      </x:c>
      <x:c r="D67" t="str">
        <x:v>Security / PKI</x:v>
      </x:c>
      <x:c r="E67" t="str">
        <x:v>Decision</x:v>
      </x:c>
      <x:c r="F67" t="str">
        <x:v>P0</x:v>
      </x:c>
      <x:c r="G67" t="str">
        <x:v>Done</x:v>
      </x:c>
      <x:c r="H67" s="194" t="n">
        <x:v>46261</x:v>
      </x:c>
      <x:c r="I67" s="194" t="n">
        <x:v>46265</x:v>
      </x:c>
      <x:c r="J67" t="n">
        <x:f>IF(OR(H67="",I67=""),"",I67-H67+1)</x:f>
        <x:v>5</x:v>
      </x:c>
      <x:c r="K67" t="n">
        <x:f>IF(OR(H67="",I67=""),"",NETWORKDAYS(H67,I67,'Sources &amp; Change Log'!$J$2:$J$5)-COUNTIFS('Team Calendar'!$A$5:$A$14,L67,'Team Calendar'!$C$5:$C$14,"&gt;="&amp;H67,'Team Calendar'!$C$5:$C$14,"&lt;="&amp;I67,'Team Calendar'!$F$5:$F$14,"Personal absence"))</x:f>
        <x:v>3</x:v>
      </x:c>
      <x:c r="L67" t="str">
        <x:v>이권욱</x:v>
      </x:c>
      <x:c r="M67" t="str">
        <x:v>이하영</x:v>
      </x:c>
      <x:c r="N67" t="str">
        <x:v>D19</x:v>
      </x:c>
      <x:c r="O67" t="str">
        <x:v>RISK-06; RISK-08</x:v>
      </x:c>
      <x:c r="P67" s="198" t="str">
        <x:v>Harbor와 edge01의 인증서 발급·SAN·CA Trust 배포·갱신·Rollback 방식을 확정하고 Consumer별 검증방법 승인</x:v>
      </x:c>
      <x:c r="Q67" s="198" t="str"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R67" t="str">
        <x:v>https://github.com/321Team/fds-project-baseline/issues/64</x:v>
      </x:c>
      <x:c r="S67" t="str">
        <x:f>IF(G67="Done","Done",IF(I67="","End TBD",IF(I67&lt;'Executive Summary'!$B$4,"Target elapsed",IF(H67&gt;'Executive Summary'!$B$4,"Upcoming","Active window"))))</x:f>
        <x:v>Done</x:v>
      </x:c>
    </x:row>
    <x:row r="68" ht="110" customHeight="1">
      <x:c r="A68" t="str">
        <x:v>P1-ANS-01</x:v>
      </x:c>
      <x:c r="B68" t="str">
        <x:v>Ansible Inventory / OS-Node Bootstrap — Closed Update</x:v>
      </x:c>
      <x:c r="C68" t="str">
        <x:v>Phase 1</x:v>
      </x:c>
      <x:c r="D68" t="str">
        <x:v>Automation / Configuration Management</x:v>
      </x:c>
      <x:c r="E68" t="str">
        <x:v>Task</x:v>
      </x:c>
      <x:c r="F68" t="str">
        <x:v>P0</x:v>
      </x:c>
      <x:c r="G68" t="str">
        <x:v>Done</x:v>
      </x:c>
      <x:c r="H68" s="194" t="n">
        <x:v>46261</x:v>
      </x:c>
      <x:c r="I68" s="194" t="n">
        <x:v>46266</x:v>
      </x:c>
      <x:c r="J68" t="n">
        <x:f>IF(OR(H68="",I68=""),"",I68-H68+1)</x:f>
        <x:v>6</x:v>
      </x:c>
      <x:c r="K68" t="n">
        <x:f>IF(OR(H68="",I68=""),"",NETWORKDAYS(H68,I68,'Sources &amp; Change Log'!$J$2:$J$5)-COUNTIFS('Team Calendar'!$A$5:$A$14,L68,'Team Calendar'!$C$5:$C$14,"&gt;="&amp;H68,'Team Calendar'!$C$5:$C$14,"&lt;="&amp;I68,'Team Calendar'!$F$5:$F$14,"Personal absence"))</x:f>
        <x:v>4</x:v>
      </x:c>
      <x:c r="L68" t="str">
        <x:v>이권욱</x:v>
      </x:c>
      <x:c r="M68" t="str">
        <x:v>이하영, 이재환</x:v>
      </x:c>
      <x:c r="N68" t="str">
        <x:v>D01; D13; D25; D28; D31</x:v>
      </x:c>
      <x:c r="O68" t="str">
        <x:v>RISK-03; RISK-04; RISK-05; RISK-14</x:v>
      </x:c>
      <x:c r="P68" s="198" t="str">
        <x:v>ansible01 10.250.10.10에서 CP 3대·Worker 3대 Inventory/SSH PASS=6, OS·Kubernetes 선행조건 적용, 재실행 changed=0 및 Evidence 확보</x:v>
      </x:c>
      <x:c r="Q68" s="198" t="str">
        <x:v>2026-08-28 TECHNICAL PASS 후 2026-08-31 이하영 Reviewer PASS·Approver APPROVED를 기록했다. HO-ANS-08·09는 PASS이며 P1-ANS-01은 Done으로 종결한다. HO-ANS-01~04는 후속 Ticket Acceptance로 이관하고 미완료 상태를 유지한다.
GitHub closed/completed</x:v>
      </x:c>
      <x:c r="R68" t="str">
        <x:v>https://github.com/321Team/fds-project-baseline/issues/65</x:v>
      </x:c>
      <x:c r="S68" t="str">
        <x:f>IF(G68="Done","Done",IF(I68="","End TBD",IF(I68&lt;'Executive Summary'!$B$4,"Target elapsed",IF(H68&gt;'Executive Summary'!$B$4,"Upcoming","Active window"))))</x:f>
        <x:v>Done</x:v>
      </x:c>
    </x:row>
    <x:row r="69" ht="110" customHeight="1">
      <x:c r="A69" t="str">
        <x:v>P1-LNX-01</x:v>
      </x:c>
      <x:c r="B69" t="str">
        <x:v>CentOS Stream 10 Linux / Network Baseline</x:v>
      </x:c>
      <x:c r="C69" t="str">
        <x:v>Phase 1</x:v>
      </x:c>
      <x:c r="D69" t="str">
        <x:v>Linux / Network Baseline</x:v>
      </x:c>
      <x:c r="E69" t="str">
        <x:v>Task</x:v>
      </x:c>
      <x:c r="F69" t="str">
        <x:v>P0</x:v>
      </x:c>
      <x:c r="G69" t="str">
        <x:v>Done</x:v>
      </x:c>
      <x:c r="H69" s="194" t="n">
        <x:v>46258</x:v>
      </x:c>
      <x:c r="I69" s="194" t="n">
        <x:v>46260</x:v>
      </x:c>
      <x:c r="J69" t="n">
        <x:f>IF(OR(H69="",I69=""),"",I69-H69+1)</x:f>
        <x:v>3</x:v>
      </x:c>
      <x:c r="K69" t="n">
        <x:f>IF(OR(H69="",I69=""),"",NETWORKDAYS(H69,I69,'Sources &amp; Change Log'!$J$2:$J$5)-COUNTIFS('Team Calendar'!$A$5:$A$14,L69,'Team Calendar'!$C$5:$C$14,"&gt;="&amp;H69,'Team Calendar'!$C$5:$C$14,"&lt;="&amp;I69,'Team Calendar'!$F$5:$F$14,"Personal absence"))</x:f>
        <x:v>3</x:v>
      </x:c>
      <x:c r="L69" t="str">
        <x:v>이권욱</x:v>
      </x:c>
      <x:c r="M69" t="str">
        <x:v>이하영</x:v>
      </x:c>
      <x:c r="N69" t="str">
        <x:v>D01 — 3인 / 8 Server / CentOS 10`, `D05 — Bridged Node / Service Endpoint`, `D13 — VMnet1/VMnet8 분리`, `D14 — Physical Return Route / Source NAT 금지`, `D15 — Gateway 비관리 제약`, `D16 — Reserved / DO_NOT_USE IP</x:v>
      </x:c>
      <x:c r="O69" t="str">
        <x:v>RISK-02 — Bridged Multi-MAC 제한`, `RISK-03 — CentOS Stream 10 Kubernetes 조합 검증</x:v>
      </x:c>
      <x:c r="P69" s="198" t="str">
        <x:v>Kubernetes 예정 Node의 CentOS Stream 10 Linux 필수조건 PASS, Static Network/Route/MTU/DNS 기준 검증, Network Verify FAIL=0, Evidence 및 Rollback 정보 확보, Kubernetes Service Role Check는 P1-K8S-01로 이관</x:v>
      </x:c>
      <x:c r="Q69" s="198" t="str">
        <x:v>설계·사전구축 구간에서 2026-08-26 조기 완료. P1-LNX-01 완료판정은 Linux 필수조건과 Network Verify 기준이며 containerd/kubelet/kubeadm/API/Calico 동작은 포함하지 않는다. 해당 Role Check는 P1-K8S-01로 이관한다.
GitHub closed/completed</x:v>
      </x:c>
      <x:c r="R69" t="str">
        <x:v>https://github.com/321Team/fds-project-baseline/issues/66</x:v>
      </x:c>
      <x:c r="S69" t="str">
        <x:f>IF(G69="Done","Done",IF(I69="","End TBD",IF(I69&lt;'Executive Summary'!$B$4,"Target elapsed",IF(H69&gt;'Executive Summary'!$B$4,"Upcoming","Active window"))))</x:f>
        <x:v>Done</x:v>
      </x:c>
    </x:row>
    <x:row r="70" ht="110" customHeight="1">
      <x:c r="A70" t="str">
        <x:v>P1-NET-01</x:v>
      </x:c>
      <x:c r="B70" t="str">
        <x:v>Bridged Multi-MAC Smoke Test / Source Preservation</x:v>
      </x:c>
      <x:c r="C70" t="str">
        <x:v>Phase 1</x:v>
      </x:c>
      <x:c r="D70" t="str">
        <x:v>Network / Connectivity Validation</x:v>
      </x:c>
      <x:c r="E70" t="str">
        <x:v>Task</x:v>
      </x:c>
      <x:c r="F70" t="str">
        <x:v>P0</x:v>
      </x:c>
      <x:c r="G70" t="str">
        <x:v>Done</x:v>
      </x:c>
      <x:c r="H70" s="194" t="n">
        <x:v>46261</x:v>
      </x:c>
      <x:c r="I70" s="194" t="n">
        <x:v>46261</x:v>
      </x:c>
      <x:c r="J70" t="n">
        <x:f>IF(OR(H70="",I70=""),"",I70-H70+1)</x:f>
        <x:v>1</x:v>
      </x:c>
      <x:c r="K70" t="n">
        <x:f>IF(OR(H70="",I70=""),"",NETWORKDAYS(H70,I70,'Sources &amp; Change Log'!$J$2:$J$5)-COUNTIFS('Team Calendar'!$A$5:$A$14,L70,'Team Calendar'!$C$5:$C$14,"&gt;="&amp;H70,'Team Calendar'!$C$5:$C$14,"&lt;="&amp;I70,'Team Calendar'!$F$5:$F$14,"Personal absence"))</x:f>
        <x:v>1</x:v>
      </x:c>
      <x:c r="L70" t="str">
        <x:v>이권욱</x:v>
      </x:c>
      <x:c r="M70" t="str">
        <x:v>이하영</x:v>
      </x:c>
      <x:c r="N70" t="str">
        <x:v>D05; D13; D14; D15; D16</x:v>
      </x:c>
      <x:c r="O70" t="str">
        <x:v>RISK-02; RISK-04</x:v>
      </x:c>
      <x:c r="P70" s="198" t="str">
        <x:v>Bridged Node 6대의 `/24`·Gateway·승인 통신 경로와 Physical/Management Return Route를 검증하고, Management Source Preservation `PASS=6`, `FAIL=0` 증적을 확보</x:v>
      </x:c>
      <x:c r="Q70" s="198" t="str">
        <x:v>최초 계획은 2026-08-27 1일이었으나 D-NET-01 및 P1-LNX-01 통합 검증 증적이 2026-08-26 확보되어 조기 종결했다. Remaining Backlog에는 재등록하지 않고 Closed Ticket로 관리한다.
GitHub closed/completed</x:v>
      </x:c>
      <x:c r="R70" t="str">
        <x:v>https://github.com/321Team/fds-project-baseline/issues/67</x:v>
      </x:c>
      <x:c r="S70" t="str">
        <x:f>IF(G70="Done","Done",IF(I70="","End TBD",IF(I70&lt;'Executive Summary'!$B$4,"Target elapsed",IF(H70&gt;'Executive Summary'!$B$4,"Upcoming","Active window"))))</x:f>
        <x:v>Done</x:v>
      </x:c>
    </x:row>
    <x:row r="71" ht="110" customHeight="1">
      <x:c r="A71" t="str">
        <x:v>DEC-P2-RHOAI-01</x:v>
      </x:c>
      <x:c r="B71" t="str">
        <x:v>RHOAI(Red Hat OpenShift AI) 도입 범위 결정</x:v>
      </x:c>
      <x:c r="C71" t="str">
        <x:v>Phase 2</x:v>
      </x:c>
      <x:c r="D71" t="str">
        <x:v>OpenShift / AI Platform</x:v>
      </x:c>
      <x:c r="E71" t="str">
        <x:v>Decision</x:v>
      </x:c>
      <x:c r="F71" t="str">
        <x:v>P1</x:v>
      </x:c>
      <x:c r="G71" t="str">
        <x:v>To Do</x:v>
      </x:c>
      <x:c r="H71" s="194"/>
      <x:c r="I71" s="194"/>
      <x:c r="J71" t="str">
        <x:f>IF(OR(H71="",I71=""),"",I71-H71+1)</x:f>
      </x:c>
      <x:c r="K71" t="str">
        <x:f>IF(OR(H71="",I71=""),"",NETWORKDAYS(H71,I71,'Sources &amp; Change Log'!$J$2:$J$5)-COUNTIFS('Team Calendar'!$A$5:$A$14,L71,'Team Calendar'!$C$5:$C$14,"&gt;="&amp;H71,'Team Calendar'!$C$5:$C$14,"&lt;="&amp;I71,'Team Calendar'!$F$5:$F$14,"Personal absence"))</x:f>
      </x:c>
      <x:c r="L71" t="str">
        <x:v>이하영</x:v>
      </x:c>
      <x:c r="M71" t="str">
        <x:v>이권욱, 이재환</x:v>
      </x:c>
      <x:c r="N71" t="str">
        <x:v>D26 — 기존 의미 유지(ROSA Operator 공급망). 신규 D 순번은 정본 Decision Register 대조 후 부여</x:v>
      </x:c>
      <x:c r="O71" t="str">
        <x:v>미부여 — 정본 Risk Register 대조 후 부여</x:v>
      </x:c>
      <x:c r="P71" s="198" t="str">
        <x:v>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Q71" s="198" t="str"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R71" t="str">
        <x:v>https://github.com/321Team/fds-project-baseline/issues/95</x:v>
      </x:c>
      <x:c r="S71" t="str">
        <x:f>IF(G71="Done","Done",IF(I71="","End TBD",IF(I71&lt;'Executive Summary'!$B$4,"Target elapsed",IF(H71&gt;'Executive Summary'!$B$4,"Upcoming","Active window"))))</x:f>
        <x:v>End TBD</x:v>
      </x:c>
    </x:row>
    <x:row r="72" ht="110" customHeight="1">
      <x:c r="A72" t="str">
        <x:v>DEC-P1-MON-02</x:v>
      </x:c>
      <x:c r="B72" t="str">
        <x:v>Alertmanager Discord 제한 Egress·발송 범위·Secret Lifecycle 결정</x:v>
      </x:c>
      <x:c r="C72" t="str">
        <x:v>Phase 1</x:v>
      </x:c>
      <x:c r="D72" t="str">
        <x:v>Monitoring / Alerting / Security / Egress</x:v>
      </x:c>
      <x:c r="E72" t="str">
        <x:v>Decision</x:v>
      </x:c>
      <x:c r="F72" t="str">
        <x:v>P1</x:v>
      </x:c>
      <x:c r="G72" t="str">
        <x:v>Done</x:v>
      </x:c>
      <x:c r="H72" s="194" t="n">
        <x:v>46291</x:v>
      </x:c>
      <x:c r="I72" s="194" t="n">
        <x:v>46291</x:v>
      </x:c>
      <x:c r="J72" t="n">
        <x:f>IF(OR(H72="",I72=""),"",I72-H72+1)</x:f>
        <x:v>1</x:v>
      </x:c>
      <x:c r="K72" t="n">
        <x:f>IF(OR(H72="",I72=""),"",NETWORKDAYS(H72,I72,'Sources &amp; Change Log'!$J$2:$J$5)-COUNTIFS('Team Calendar'!$A$5:$A$14,L72,'Team Calendar'!$C$5:$C$14,"&gt;="&amp;H72,'Team Calendar'!$C$5:$C$14,"&lt;="&amp;I72,'Team Calendar'!$F$5:$F$14,"Personal absence"))</x:f>
        <x:v>0</x:v>
      </x:c>
      <x:c r="L72" t="str">
        <x:v>이권욱</x:v>
      </x:c>
      <x:c r="M72" t="str">
        <x:v>이하영, 이재환</x:v>
      </x:c>
      <x:c r="N72" t="str">
        <x:v>DEC-P1-MON-01; DEC-P1-EGRESS-01</x:v>
      </x:c>
      <x:c r="O72" t="str">
        <x:v>미부여 — 정본 Risk Register 대조 후 부여</x:v>
      </x:c>
      <x:c r="P72" s="198" t="str">
        <x:v>#75에서 승인된 Discord 제한 egress 범위, 발송 대상, Secret lifecycle, 실패·복구 인수 결과를 하나의 D-ID로 고정하고 #75/#17 및 v3.1.21 정본 인계 범위를 명시</x:v>
      </x:c>
      <x:c r="Q72" s="198" t="str">
        <x:v>2026-09-26 단일일 Decision으로 종결. #75의 Runtime/AC 인수 결과를 정책으로 고정했으며 P1-MON-01 route 형상·현장 반영 및 전체 Monitoring 인수는 별도 추적한다.
GitHub closed/completed</x:v>
      </x:c>
      <x:c r="R72" t="str">
        <x:v>https://github.com/321Team/fds-project-baseline/issues/109</x:v>
      </x:c>
      <x:c r="S72" t="str">
        <x:f>IF(G72="Done","Done",IF(I72="","End TBD",IF(I72&lt;'Executive Summary'!$B$4,"Target elapsed",IF(H72&gt;'Executive Summary'!$B$4,"Upcoming","Active window"))))</x:f>
        <x:v>Done</x:v>
      </x:c>
    </x:row>
    <x:row r="73" ht="110" customHeight="1">
      <x:c r="A73" t="str">
        <x:v>DEC-P1-IMG-01</x:v>
      </x:c>
      <x:c r="B73" t="str">
        <x:v>1단계 애플리케이션 런타임 이미지 공급망 변경 결정</x:v>
      </x:c>
      <x:c r="C73" t="str">
        <x:v>Phase 1</x:v>
      </x:c>
      <x:c r="D73" t="str">
        <x:v>Application / Container Supply Chain / Security</x:v>
      </x:c>
      <x:c r="E73" t="str">
        <x:v>Decision</x:v>
      </x:c>
      <x:c r="F73" t="str">
        <x:v>P0</x:v>
      </x:c>
      <x:c r="G73" t="str">
        <x:v>Done</x:v>
      </x:c>
      <x:c r="H73" s="194" t="n">
        <x:v>46292</x:v>
      </x:c>
      <x:c r="I73" s="194" t="n">
        <x:v>46301</x:v>
      </x:c>
      <x:c r="J73" t="n">
        <x:f>IF(OR(H73="",I73=""),"",I73-H73+1)</x:f>
        <x:v>10</x:v>
      </x:c>
      <x:c r="K73" t="n">
        <x:f>IF(OR(H73="",I73=""),"",NETWORKDAYS(H73,I73,'Sources &amp; Change Log'!$J$2:$J$5)-COUNTIFS('Team Calendar'!$A$5:$A$14,L73,'Team Calendar'!$C$5:$C$14,"&gt;="&amp;H73,'Team Calendar'!$C$5:$C$14,"&lt;="&amp;I73,'Team Calendar'!$F$5:$F$14,"Personal absence"))</x:f>
        <x:v>5</x:v>
      </x:c>
      <x:c r="L73" t="str">
        <x:v>이재환</x:v>
      </x:c>
      <x:c r="M73" t="str">
        <x:v>이하영, 이권욱</x:v>
      </x:c>
      <x:c r="N73" t="str">
        <x:v>D12; D17; D18; D19; D34; DEC-P1-TLS-01</x:v>
      </x:c>
      <x:c r="O73" t="str">
        <x:v>RISK-06; RISK-07; RISK-08; RISK-09</x:v>
      </x:c>
      <x:c r="P73" s="198" t="str">
        <x:v>P1 애플리케이션 런타임 공급망 선택안, signed attestation 처리 방식, 운영 Dockerfile·Harbor·Kubernetes 후속 게이트 및 롤백 조건을 명시적으로 승인</x:v>
      </x:c>
      <x:c r="Q73" s="198" t="str"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R73" t="str">
        <x:v>https://github.com/321Team/fds-project-baseline/issues/110</x:v>
      </x:c>
      <x:c r="S73" t="str">
        <x:f>IF(G73="Done","Done",IF(I73="","End TBD",IF(I73&lt;'Executive Summary'!$B$4,"Target elapsed",IF(H73&gt;'Executive Summary'!$B$4,"Upcoming","Active window"))))</x:f>
        <x:v>Done</x:v>
      </x:c>
    </x:row>
    <x:row r="74" ht="110" customHeight="1">
      <x:c r="A74" t="str">
        <x:v>CR-P1-APP-01-01</x:v>
      </x:c>
      <x:c r="B74" t="str">
        <x:v>P1-APP-01 AC "DB/FDS 장애 시 /readyz 503" 문구 정정 — fds-engine fail-open 정합</x:v>
      </x:c>
      <x:c r="C74" t="str">
        <x:v>Phase 1</x:v>
      </x:c>
      <x:c r="D74" t="str">
        <x:v>Application / Acceptance Criteria</x:v>
      </x:c>
      <x:c r="E74" t="str">
        <x:v>Change Request</x:v>
      </x:c>
      <x:c r="F74" t="str">
        <x:v>P0</x:v>
      </x:c>
      <x:c r="G74" t="str">
        <x:v>Done</x:v>
      </x:c>
      <x:c r="H74" s="194" t="n">
        <x:v>46294</x:v>
      </x:c>
      <x:c r="I74" s="194" t="n">
        <x:v>46297</x:v>
      </x:c>
      <x:c r="J74" t="n">
        <x:f>IF(OR(H74="",I74=""),"",I74-H74+1)</x:f>
        <x:v>4</x:v>
      </x:c>
      <x:c r="K74" t="n">
        <x:f>IF(OR(H74="",I74=""),"",NETWORKDAYS(H74,I74,'Sources &amp; Change Log'!$J$2:$J$5)-COUNTIFS('Team Calendar'!$A$5:$A$14,L74,'Team Calendar'!$C$5:$C$14,"&gt;="&amp;H74,'Team Calendar'!$C$5:$C$14,"&lt;="&amp;I74,'Team Calendar'!$F$5:$F$14,"Personal absence"))</x:f>
        <x:v>4</x:v>
      </x:c>
      <x:c r="L74" t="str">
        <x:v>이재환</x:v>
      </x:c>
      <x:c r="M74" t="str">
        <x:v>이하영</x:v>
      </x:c>
      <x:c r="N74" t="str">
        <x:v>D18; D34; DEC-P1-FDS-01</x:v>
      </x:c>
      <x:c r="O74" t="str">
        <x:v>RISK-07; RISK-09</x:v>
      </x:c>
      <x:c r="P74" s="198" t="str">
        <x:v>#15 AC 문구 정정 결정 기록과 Review Owner·G3 확인, #15 본문 AC 교체, FDS 장애 fail-open Runtime 증적, 차기 정본 Ticket Pack 동기화</x:v>
      </x:c>
      <x:c r="Q74" s="198" t="str">
        <x:v>AC 문구 정정 CR을 10-02(금)까지 Review 가능한 상태로 만드는 것을 계획 목표로 한다. 10-05는 비근무일이며 10-06 Phase 1 Review 전에 승인/잔여판정을 완료한다. 코드·Runtime 정책 변경은 포함하지 않는다.
승인된 DB/engine 장애 기대값 분리. ROSA 별도 실증.
GitHub closed/completed</x:v>
      </x:c>
      <x:c r="R74" t="str">
        <x:v>https://github.com/321Team/fds-project-baseline/issues/119</x:v>
      </x:c>
      <x:c r="S74" t="str">
        <x:f>IF(G74="Done","Done",IF(I74="","End TBD",IF(I74&lt;'Executive Summary'!$B$4,"Target elapsed",IF(H74&gt;'Executive Summary'!$B$4,"Upcoming","Active window"))))</x:f>
        <x:v>Done</x:v>
      </x:c>
    </x:row>
    <x:row r="75" ht="110" customHeight="1">
      <x:c r="A75" t="str">
        <x:v>DEC-P2-GITOPS-01</x:v>
      </x:c>
      <x:c r="B75" t="str">
        <x:v>OpenShift GitOps (Argo CD) 도입 범위 결정</x:v>
      </x:c>
      <x:c r="C75" t="str">
        <x:v>Phase 2</x:v>
      </x:c>
      <x:c r="D75" t="str">
        <x:v>CI/CD / OpenShift GitOps</x:v>
      </x:c>
      <x:c r="E75" t="str">
        <x:v>Decision</x:v>
      </x:c>
      <x:c r="F75" t="str">
        <x:v>P1</x:v>
      </x:c>
      <x:c r="G75" t="str">
        <x:v>To Do</x:v>
      </x:c>
      <x:c r="H75" s="194"/>
      <x:c r="I75" s="194"/>
      <x:c r="J75" t="str">
        <x:f>IF(OR(H75="",I75=""),"",I75-H75+1)</x:f>
      </x:c>
      <x:c r="K75" t="str">
        <x:f>IF(OR(H75="",I75=""),"",NETWORKDAYS(H75,I75,'Sources &amp; Change Log'!$J$2:$J$5)-COUNTIFS('Team Calendar'!$A$5:$A$14,L75,'Team Calendar'!$C$5:$C$14,"&gt;="&amp;H75,'Team Calendar'!$C$5:$C$14,"&lt;="&amp;I75,'Team Calendar'!$F$5:$F$14,"Personal absence"))</x:f>
      </x:c>
      <x:c r="L75" t="str">
        <x:v>이권욱</x:v>
      </x:c>
      <x:c r="M75" t="str">
        <x:v>이하영, 이재환</x:v>
      </x:c>
      <x:c r="N75" t="str">
        <x:v>D26(Operator 공급망); 신규 Decision Register 순번은 차기 정본에서 부여</x:v>
      </x:c>
      <x:c r="O75" t="str">
        <x:v>RISK-06; RISK-08; RISK-11</x:v>
      </x:c>
      <x:c r="P75" s="198" t="str">
        <x:v>OpenShift GitOps 도입/미도입/유예를 단일안으로 결정하고, 도입 시 #46 Delivery Contract 변경 CR·권한모델·Git Source·재생성/Rollback·D26 Operator 공급경로를 승인</x:v>
      </x:c>
      <x:c r="Q75" s="198" t="str">
        <x:v>P1/non-blocking. #42/#46 P0 Registry/Delivery와 겹치지 않도록 G5 이후 capacity가 있을 때만 Go/No-Go를 판단한다. Go 전에는 기존 Runner direct ROSA Delivery Contract를 유지한다.
GitHub open/-
원문 일정: TBD — G5 이후 P0 잔여 capacity 시 / TBD — 10-26 이전 강제하지 않음</x:v>
      </x:c>
      <x:c r="R75" t="str">
        <x:v>https://github.com/321Team/fds-project-baseline/issues/120</x:v>
      </x:c>
      <x:c r="S75" t="str">
        <x:f>IF(G75="Done","Done",IF(I75="","End TBD",IF(I75&lt;'Executive Summary'!$B$4,"Target elapsed",IF(H75&gt;'Executive Summary'!$B$4,"Upcoming","Active window"))))</x:f>
        <x:v>End TBD</x:v>
      </x:c>
    </x:row>
    <x:row r="76" ht="110" customHeight="1">
      <x:c r="A76" t="str">
        <x:v>DEC-P2-COMP-01</x:v>
      </x:c>
      <x:c r="B76" t="str">
        <x:v>Compliance Operator 도입 범위 결정</x:v>
      </x:c>
      <x:c r="C76" t="str">
        <x:v>Phase 2</x:v>
      </x:c>
      <x:c r="D76" t="str">
        <x:v>OpenShift / Security Compliance</x:v>
      </x:c>
      <x:c r="E76" t="str">
        <x:v>Decision</x:v>
      </x:c>
      <x:c r="F76" t="str">
        <x:v>P1</x:v>
      </x:c>
      <x:c r="G76" t="str">
        <x:v>To Do</x:v>
      </x:c>
      <x:c r="H76" s="194"/>
      <x:c r="I76" s="194"/>
      <x:c r="J76" t="str">
        <x:f>IF(OR(H76="",I76=""),"",I76-H76+1)</x:f>
      </x:c>
      <x:c r="K76" t="str">
        <x:f>IF(OR(H76="",I76=""),"",NETWORKDAYS(H76,I76,'Sources &amp; Change Log'!$J$2:$J$5)-COUNTIFS('Team Calendar'!$A$5:$A$14,L76,'Team Calendar'!$C$5:$C$14,"&gt;="&amp;H76,'Team Calendar'!$C$5:$C$14,"&lt;="&amp;I76,'Team Calendar'!$F$5:$F$14,"Personal absence"))</x:f>
      </x:c>
      <x:c r="L76" t="str">
        <x:v>이하영</x:v>
      </x:c>
      <x:c r="M76" t="str">
        <x:v>이권욱, 이재환</x:v>
      </x:c>
      <x:c r="N76" t="str">
        <x:v>D17(Security); D26(Operator 공급망); 신규 Decision Register 순번은 차기 정본에서 부여</x:v>
      </x:c>
      <x:c r="O76" t="str">
        <x:v>RISK-07; RISK-10; RISK-11</x:v>
      </x:c>
      <x:c r="P76" s="198" t="str">
        <x:v>Compliance Operator 도입/미도입/유예를 단일안으로 결정하고, 도입 시 ROSA topology(HCP 여부)·지원 Version·Scan profile/suite·결과 처리·Known Issue 경계·Operator 공급경로를 승인</x:v>
      </x:c>
      <x:c r="Q76" s="198" t="str"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R76" t="str">
        <x:v>https://github.com/321Team/fds-project-baseline/issues/121</x:v>
      </x:c>
      <x:c r="S76" t="str">
        <x:f>IF(G76="Done","Done",IF(I76="","End TBD",IF(I76&lt;'Executive Summary'!$B$4,"Target elapsed",IF(H76&gt;'Executive Summary'!$B$4,"Upcoming","Active window"))))</x:f>
        <x:v>End TBD</x:v>
      </x:c>
    </x:row>
    <x:row r="77" ht="110" customHeight="1">
      <x:c r="A77" t="str">
        <x:v>CR-P1-SEC-01-01</x:v>
      </x:c>
      <x:c r="B77" t="str">
        <x:v>SEC-AC-05 예방 rotation을 P1 NOT MET/RISK ACCEPTED로 기록 (backup·rollback은 P1 유지)</x:v>
      </x:c>
      <x:c r="C77" t="str">
        <x:v>Phase 1</x:v>
      </x:c>
      <x:c r="D77" t="str">
        <x:v>Security / Acceptance Criteria</x:v>
      </x:c>
      <x:c r="E77" t="str">
        <x:v>Change Request</x:v>
      </x:c>
      <x:c r="F77" t="str">
        <x:v>P1</x:v>
      </x:c>
      <x:c r="G77" t="str">
        <x:v>Done</x:v>
      </x:c>
      <x:c r="H77" s="194" t="n">
        <x:v>46295</x:v>
      </x:c>
      <x:c r="I77" s="194" t="n">
        <x:v>46297</x:v>
      </x:c>
      <x:c r="J77" t="n">
        <x:f>IF(OR(H77="",I77=""),"",I77-H77+1)</x:f>
        <x:v>3</x:v>
      </x:c>
      <x:c r="K77" t="n">
        <x:f>IF(OR(H77="",I77=""),"",NETWORKDAYS(H77,I77,'Sources &amp; Change Log'!$J$2:$J$5)-COUNTIFS('Team Calendar'!$A$5:$A$14,L77,'Team Calendar'!$C$5:$C$14,"&gt;="&amp;H77,'Team Calendar'!$C$5:$C$14,"&lt;="&amp;I77,'Team Calendar'!$F$5:$F$14,"Personal absence"))</x:f>
        <x:v>3</x:v>
      </x:c>
      <x:c r="L77" t="str">
        <x:v>이하영</x:v>
      </x:c>
      <x:c r="M77" t="str">
        <x:v>이권욱, 이재환</x:v>
      </x:c>
      <x:c r="N77" t="str">
        <x:v>D17; D18; D34; D-SEC-01</x:v>
      </x:c>
      <x:c r="O77" t="str">
        <x:v>RISK-06; RISK-07; RISK-08</x:v>
      </x:c>
      <x:c r="P77" s="198" t="str">
        <x:v>#19 AC-05 처리 결정 기록(backup·rollback P1 유지, 예방 rotation `NOT MET / RISK ACCEPTED`)과 Review Owner 확인, #19 본문/후보 정본 구조 동기화. backup·rollback Runtime 증적은 #19 실행 잔여로 분리</x:v>
      </x:c>
      <x:c r="Q77" s="198" t="str">
        <x:v>10-02(금)까지 Review 가능한 상태를 계획 목표로 한다. 코드·Runtime 정책 변경은 포함하지 않는다.
구조 승인 Done. backup/rollback P1 유지, rotation NOT MET/RISK ACCEPTED.
GitHub closed/completed</x:v>
      </x:c>
      <x:c r="R77" t="str">
        <x:v>https://github.com/321Team/fds-project-baseline/issues/125</x:v>
      </x:c>
      <x:c r="S77" t="str">
        <x:f>IF(G77="Done","Done",IF(I77="","End TBD",IF(I77&lt;'Executive Summary'!$B$4,"Target elapsed",IF(H77&gt;'Executive Summary'!$B$4,"Upcoming","Active window"))))</x:f>
        <x:v>Done</x:v>
      </x:c>
    </x:row>
    <x:row r="78" ht="110" customHeight="1">
      <x:c r="A78" t="str">
        <x:v>CR-P1-SEC-01-02</x:v>
      </x:c>
      <x:c r="B78" t="str">
        <x:v>SEC-AC-02 Allow/Deny Matrix 범위를 소관 티켓 기준으로 정리</x:v>
      </x:c>
      <x:c r="C78" t="str">
        <x:v>Phase 1</x:v>
      </x:c>
      <x:c r="D78" t="str">
        <x:v>Security / Acceptance Criteria</x:v>
      </x:c>
      <x:c r="E78" t="str">
        <x:v>Change Request</x:v>
      </x:c>
      <x:c r="F78" t="str">
        <x:v>P1</x:v>
      </x:c>
      <x:c r="G78" t="str">
        <x:v>Done</x:v>
      </x:c>
      <x:c r="H78" s="194" t="n">
        <x:v>46295</x:v>
      </x:c>
      <x:c r="I78" s="194" t="n">
        <x:v>46297</x:v>
      </x:c>
      <x:c r="J78" t="n">
        <x:f>IF(OR(H78="",I78=""),"",I78-H78+1)</x:f>
        <x:v>3</x:v>
      </x:c>
      <x:c r="K78" t="n">
        <x:f>IF(OR(H78="",I78=""),"",NETWORKDAYS(H78,I78,'Sources &amp; Change Log'!$J$2:$J$5)-COUNTIFS('Team Calendar'!$A$5:$A$14,L78,'Team Calendar'!$C$5:$C$14,"&gt;="&amp;H78,'Team Calendar'!$C$5:$C$14,"&lt;="&amp;I78,'Team Calendar'!$F$5:$F$14,"Personal absence"))</x:f>
        <x:v>3</x:v>
      </x:c>
      <x:c r="L78" t="str">
        <x:v>이하영</x:v>
      </x:c>
      <x:c r="M78" t="str">
        <x:v>이권욱, 이재환</x:v>
      </x:c>
      <x:c r="N78" t="str">
        <x:v>D17; D18; D34; D-SEC-01</x:v>
      </x:c>
      <x:c r="O78" t="str">
        <x:v>RISK-06; RISK-07; RISK-08</x:v>
      </x:c>
      <x:c r="P78" s="198" t="str">
        <x:v>#19 AC-02 범위 정리 결정 기록과 Review Owner 확인, 소관 티켓 AC 확인, #19 본문 AC 교체, 차기 정본 Ticket Pack 동기화</x:v>
      </x:c>
      <x:c r="Q78" s="198" t="str">
        <x:v>10-02(금)까지 Review 가능한 상태를 계획 목표로 한다. 코드·Runtime 정책 변경은 포함하지 않는다.
WITHDRAWN_NO_CHANGE
GitHub closed/not_planned</x:v>
      </x:c>
      <x:c r="R78" t="str">
        <x:v>https://github.com/321Team/fds-project-baseline/issues/126</x:v>
      </x:c>
      <x:c r="S78" t="str">
        <x:f>IF(G78="Done","Done",IF(I78="","End TBD",IF(I78&lt;'Executive Summary'!$B$4,"Target elapsed",IF(H78&gt;'Executive Summary'!$B$4,"Upcoming","Active window"))))</x:f>
        <x:v>Done</x:v>
      </x:c>
    </x:row>
    <x:row r="79" ht="110" customHeight="1">
      <x:c r="A79" t="str">
        <x:v>CR-P1-SEC-01-03</x:v>
      </x:c>
      <x:c r="B79" t="str">
        <x:v>B2 source-preservation(#63)의 AC-04 필수 여부 결정 요청</x:v>
      </x:c>
      <x:c r="C79" t="str">
        <x:v>Phase 1</x:v>
      </x:c>
      <x:c r="D79" t="str">
        <x:v>Security / Acceptance Criteria</x:v>
      </x:c>
      <x:c r="E79" t="str">
        <x:v>Change Request</x:v>
      </x:c>
      <x:c r="F79" t="str">
        <x:v>P1</x:v>
      </x:c>
      <x:c r="G79" t="str">
        <x:v>Done</x:v>
      </x:c>
      <x:c r="H79" s="194" t="n">
        <x:v>46295</x:v>
      </x:c>
      <x:c r="I79" s="194" t="n">
        <x:v>46297</x:v>
      </x:c>
      <x:c r="J79" t="n">
        <x:f>IF(OR(H79="",I79=""),"",I79-H79+1)</x:f>
        <x:v>3</x:v>
      </x:c>
      <x:c r="K79" t="n">
        <x:f>IF(OR(H79="",I79=""),"",NETWORKDAYS(H79,I79,'Sources &amp; Change Log'!$J$2:$J$5)-COUNTIFS('Team Calendar'!$A$5:$A$14,L79,'Team Calendar'!$C$5:$C$14,"&gt;="&amp;H79,'Team Calendar'!$C$5:$C$14,"&lt;="&amp;I79,'Team Calendar'!$F$5:$F$14,"Personal absence"))</x:f>
        <x:v>3</x:v>
      </x:c>
      <x:c r="L79" t="str">
        <x:v>이하영</x:v>
      </x:c>
      <x:c r="M79" t="str">
        <x:v>이권욱, 이재환</x:v>
      </x:c>
      <x:c r="N79" t="str">
        <x:v>D17; D18; D34; D-SEC-01</x:v>
      </x:c>
      <x:c r="O79" t="str">
        <x:v>RISK-06; RISK-07; RISK-08</x:v>
      </x:c>
      <x:c r="P79" s="198" t="str">
        <x:v>Review Owner의 A/B 결정 기록, #19 AC-04·핵심요구 4 판정 범위 확정, 남는 작업 3건 완료 또는 이관, 차기 정본 Ticket Pack 동기화</x:v>
      </x:c>
      <x:c r="Q79" s="198" t="str">
        <x:v>10-02(금)까지 Review 가능한 상태를 계획 목표로 한다. 코드·Runtime 정책 변경은 포함하지 않는다.
REJECTED_NO_CHANGE
GitHub closed/not_planned</x:v>
      </x:c>
      <x:c r="R79" t="str">
        <x:v>https://github.com/321Team/fds-project-baseline/issues/127</x:v>
      </x:c>
      <x:c r="S79" t="str">
        <x:f>IF(G79="Done","Done",IF(I79="","End TBD",IF(I79&lt;'Executive Summary'!$B$4,"Target elapsed",IF(H79&gt;'Executive Summary'!$B$4,"Upcoming","Active window"))))</x:f>
        <x:v>Done</x:v>
      </x:c>
    </x:row>
    <x:row r="80" ht="110" customHeight="1">
      <x:c r="A80" t="str">
        <x:v>CR-P1-K8S-01-01</x:v>
      </x:c>
      <x:c r="B80" t="str">
        <x:v>P1-K8S-01 복구(T19) 실행 범위 구체화(worker01 대표 1대)·Secret 책임 #19 정리 (MTU는 비ICMP 시험으로 수용)</x:v>
      </x:c>
      <x:c r="C80" t="str">
        <x:v>Phase 1</x:v>
      </x:c>
      <x:c r="D80" t="str">
        <x:v>Kubernetes / Acceptance Criteria</x:v>
      </x:c>
      <x:c r="E80" t="str">
        <x:v>Change Request</x:v>
      </x:c>
      <x:c r="F80" t="str">
        <x:v>P1</x:v>
      </x:c>
      <x:c r="G80" t="str">
        <x:v>Todo</x:v>
      </x:c>
      <x:c r="H80" s="194" t="n">
        <x:v>46295</x:v>
      </x:c>
      <x:c r="I80" s="194" t="n">
        <x:v>46297</x:v>
      </x:c>
      <x:c r="J80" t="n">
        <x:f>IF(OR(H80="",I80=""),"",I80-H80+1)</x:f>
        <x:v>3</x:v>
      </x:c>
      <x:c r="K80" t="n">
        <x:f>IF(OR(H80="",I80=""),"",NETWORKDAYS(H80,I80,'Sources &amp; Change Log'!$J$2:$J$5)-COUNTIFS('Team Calendar'!$A$5:$A$14,L80,'Team Calendar'!$C$5:$C$14,"&gt;="&amp;H80,'Team Calendar'!$C$5:$C$14,"&lt;="&amp;I80,'Team Calendar'!$F$5:$F$14,"Personal absence"))</x:f>
        <x:v>3</x:v>
      </x:c>
      <x:c r="L80" t="str">
        <x:v>이하영</x:v>
      </x:c>
      <x:c r="M80" t="str">
        <x:v>미기재</x:v>
      </x:c>
      <x:c r="N80" t="str">
        <x:v>D34</x:v>
      </x:c>
      <x:c r="O80" t="str">
        <x:v>미기재</x:v>
      </x:c>
      <x:c r="P80" s="198" t="str">
        <x:v>#10 핵심 요구 문구 조정 결정 기록(복구 AC 문구는 변경 없음)과 Review Owner 확인, 복구 T19: #10 AC/Exit에 유지하고 worker01 대표 1대 시험 증적(성공 시 복구 AC 수용 근거, 미실행이면 NOT MET / Known Issue), MTU 경로 시험 인정 여부 기록, #125와 통합한 Change Matrix, #10 본문 교체, 차기 정본 Ticket Pack 동기화</x:v>
      </x:c>
      <x:c r="Q80" s="198" t="str">
        <x:v>원문 Schedule Note 미기재
WITHDRAWN_NO_AC_CHANGE; body Todo / closed not_planned 차이 보존.
GitHub closed/not_planned</x:v>
      </x:c>
      <x:c r="R80" t="str">
        <x:v>https://github.com/321Team/fds-project-baseline/issues/128</x:v>
      </x:c>
      <x:c r="S80" t="str">
        <x:f>IF(G80="Done","Done",IF(I80="","End TBD",IF(I80&lt;'Executive Summary'!$B$4,"Target elapsed",IF(H80&gt;'Executive Summary'!$B$4,"Upcoming","Active window"))))</x:f>
        <x:v>Target elapsed</x:v>
      </x:c>
    </x:row>
    <x:row r="81" ht="110" customHeight="1">
      <x:c r="A81" t="str">
        <x:v>CR-P1-HBR-01-01</x:v>
      </x:c>
      <x:c r="B81" t="str">
        <x:v>P1-HBR-01 종결 범위 조정 (OID-02 결정 이관·AC-05 05A/05B 분리)</x:v>
      </x:c>
      <x:c r="C81" t="str">
        <x:v>Phase 1</x:v>
      </x:c>
      <x:c r="D81" t="str">
        <x:v>Registry / Scope Change Control</x:v>
      </x:c>
      <x:c r="E81" t="str">
        <x:v>Change Request</x:v>
      </x:c>
      <x:c r="F81" t="str">
        <x:v>P0</x:v>
      </x:c>
      <x:c r="G81" t="str">
        <x:v>Done</x:v>
      </x:c>
      <x:c r="H81" s="194" t="n">
        <x:v>46295</x:v>
      </x:c>
      <x:c r="I81" s="194" t="n">
        <x:v>46297</x:v>
      </x:c>
      <x:c r="J81" t="n">
        <x:f>IF(OR(H81="",I81=""),"",I81-H81+1)</x:f>
        <x:v>3</x:v>
      </x:c>
      <x:c r="K81" t="n">
        <x:f>IF(OR(H81="",I81=""),"",NETWORKDAYS(H81,I81,'Sources &amp; Change Log'!$J$2:$J$5)-COUNTIFS('Team Calendar'!$A$5:$A$14,L81,'Team Calendar'!$C$5:$C$14,"&gt;="&amp;H81,'Team Calendar'!$C$5:$C$14,"&lt;="&amp;I81,'Team Calendar'!$F$5:$F$14,"Personal absence"))</x:f>
        <x:v>3</x:v>
      </x:c>
      <x:c r="L81" t="str">
        <x:v>이하영</x:v>
      </x:c>
      <x:c r="M81" t="str">
        <x:v>이권욱 (#16 Lead — AC-05B 인수 구조 확인)</x:v>
      </x:c>
      <x:c r="N81" t="str">
        <x:v>D19; D-SEC-01; [2026-09-14 Robot 유한 30일 결정](https://github.com/321Team/fds-project-baseline/issues/13#issuecomment-5659049448)</x:v>
      </x:c>
      <x:c r="O81" t="str">
        <x:v>미기재</x:v>
      </x:c>
      <x:c r="P81" s="198" t="str">
        <x:v>#13 핵심 요구/AC-05 구조 조정 결정 기록, #14의 OID-02 완료조건/Owner/Due 명시, #16 Lead의 4/4 Review Run 산출물 제공 확인, #13 본문 교체</x:v>
      </x:c>
      <x:c r="Q81" s="198" t="str">
        <x:v>원문 Schedule Note 미기재
CHG01/02 구조 승인; #16 생산/#13 05B 인수 유지.
GitHub closed/completed</x:v>
      </x:c>
      <x:c r="R81" t="str">
        <x:v>https://github.com/321Team/fds-project-baseline/issues/130</x:v>
      </x:c>
      <x:c r="S81" t="str">
        <x:f>IF(G81="Done","Done",IF(I81="","End TBD",IF(I81&lt;'Executive Summary'!$B$4,"Target elapsed",IF(H81&gt;'Executive Summary'!$B$4,"Upcoming","Active window"))))</x:f>
        <x:v>Done</x:v>
      </x:c>
    </x:row>
  </x:sheetData>
  <x:conditionalFormatting sqref="G4:G5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In Review"/>
    <x:cfRule type="containsText" dxfId="3" priority="4" operator="containsText" text="Blocked"/>
  </x:conditionalFormatting>
  <x:conditionalFormatting sqref="S4:S54">
    <x:cfRule type="containsText" dxfId="3" priority="5" operator="containsText" text="Overdue"/>
    <x:cfRule type="containsText" dxfId="2" priority="6" operator="containsText" text="End TBD"/>
  </x:conditionalFormatting>
  <x:conditionalFormatting sqref="G55:G58">
    <x:cfRule type="containsText" dxfId="0" priority="7" operator="containsText" text="Done"/>
    <x:cfRule type="containsText" dxfId="24" priority="8" operator="containsText" text="In Progress"/>
    <x:cfRule type="containsText" dxfId="2" priority="9" operator="containsText" text="In Review"/>
    <x:cfRule type="containsText" dxfId="3" priority="10" operator="containsText" text="Blocked"/>
  </x:conditionalFormatting>
  <x:conditionalFormatting sqref="S55:S58">
    <x:cfRule type="containsText" dxfId="3" priority="11" operator="containsText" text="Overdue"/>
    <x:cfRule type="containsText" dxfId="2" priority="12" operator="containsText" text="End TBD"/>
  </x:conditionalFormatting>
  <x:conditionalFormatting sqref="G59:G61">
    <x:cfRule type="containsText" dxfId="45" priority="13" operator="containsText" text="Done"/>
    <x:cfRule type="containsText" dxfId="46" priority="14" operator="containsText" text="In Progress"/>
  </x:conditionalFormatting>
  <x:dataValidations count="5">
    <x:dataValidation type="list" allowBlank="0" showDropDown="0" showInputMessage="0" showErrorMessage="0" sqref="G4:G54">
      <x:formula1>"To Do,In Progress,In Review,Blocked,Done"</x:formula1>
    </x:dataValidation>
    <x:dataValidation type="list" allowBlank="0" showDropDown="0" showInputMessage="0" showErrorMessage="0" sqref="F4:F54">
      <x:formula1>"P0,P1,P2"</x:formula1>
    </x:dataValidation>
    <x:dataValidation type="list" allowBlank="0" showDropDown="0" showInputMessage="0" showErrorMessage="0" sqref="G55:G58">
      <x:formula1>"To Do,In Progress,In Review,Blocked,Done"</x:formula1>
    </x:dataValidation>
    <x:dataValidation type="list" allowBlank="0" showDropDown="0" showInputMessage="0" showErrorMessage="0" sqref="F55:F58">
      <x:formula1>"P0,P1,P2"</x:formula1>
    </x:dataValidation>
    <x:dataValidation type="list" allowBlank="0" showDropDown="0" showInputMessage="0" showErrorMessage="0" sqref="F59:F6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a010d7c98e47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  <x:col min="37" max="37" width="6" hidden="0" customWidth="1"/>
    <x:col min="38" max="38" width="6" hidden="0" customWidth="1"/>
    <x:col min="39" max="39" width="6" hidden="0" customWidth="1"/>
    <x:col min="40" max="40" width="6" hidden="0" customWidth="1"/>
    <x:col min="41" max="41" width="6" hidden="0" customWidth="1"/>
    <x:col min="42" max="42" width="6" hidden="0" customWidth="1"/>
    <x:col min="43" max="43" width="6" hidden="0" customWidth="1"/>
    <x:col min="44" max="44" width="6" hidden="0" customWidth="1"/>
    <x:col min="45" max="45" width="6" hidden="0" customWidth="1"/>
    <x:col min="46" max="46" width="6" hidden="0" customWidth="1"/>
    <x:col min="47" max="47" width="6" hidden="0" customWidth="1"/>
    <x:col min="48" max="48" width="6" hidden="0" customWidth="1"/>
    <x:col min="49" max="49" width="6" hidden="0" customWidth="1"/>
    <x:col min="50" max="50" width="6" hidden="0" customWidth="1"/>
  </x:cols>
  <x:sheetData>
    <x:row r="1" ht="32" customHeight="1">
      <x:c r="A1" s="237" t="str">
        <x:v>FDS v3.1.21 · Phase 1 Gantt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Plan windows only. No Runtime completion claim. Current test gates: Test Strategy.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46258</x:v>
      </x:c>
      <x:c r="H4" s="221" t="n">
        <x:v>46259</x:v>
      </x:c>
      <x:c r="I4" s="221" t="n">
        <x:v>46260</x:v>
      </x:c>
      <x:c r="J4" s="222" t="n">
        <x:v>46261</x:v>
      </x:c>
      <x:c r="K4" s="222" t="n">
        <x:v>46262</x:v>
      </x:c>
      <x:c r="L4" s="221" t="n">
        <x:v>46263</x:v>
      </x:c>
      <x:c r="M4" s="223" t="n">
        <x:v>46264</x:v>
      </x:c>
      <x:c r="N4" s="221" t="n">
        <x:v>46265</x:v>
      </x:c>
      <x:c r="O4" s="221" t="n">
        <x:v>46266</x:v>
      </x:c>
      <x:c r="P4" s="221" t="n">
        <x:v>46267</x:v>
      </x:c>
      <x:c r="Q4" s="222" t="n">
        <x:v>46268</x:v>
      </x:c>
      <x:c r="R4" s="222" t="n">
        <x:v>46269</x:v>
      </x:c>
      <x:c r="S4" s="221" t="n">
        <x:v>46270</x:v>
      </x:c>
      <x:c r="T4" s="221" t="n">
        <x:v>46271</x:v>
      </x:c>
      <x:c r="U4" s="221" t="n">
        <x:v>46272</x:v>
      </x:c>
      <x:c r="V4" s="221" t="n">
        <x:v>46273</x:v>
      </x:c>
      <x:c r="W4" s="221" t="n">
        <x:v>46274</x:v>
      </x:c>
      <x:c r="X4" s="222" t="n">
        <x:v>46275</x:v>
      </x:c>
      <x:c r="Y4" s="222" t="n">
        <x:v>46276</x:v>
      </x:c>
      <x:c r="Z4" s="221" t="n">
        <x:v>46277</x:v>
      </x:c>
      <x:c r="AA4" s="221" t="n">
        <x:v>46278</x:v>
      </x:c>
      <x:c r="AB4" s="221" t="n">
        <x:v>46279</x:v>
      </x:c>
      <x:c r="AC4" s="221" t="n">
        <x:v>46280</x:v>
      </x:c>
      <x:c r="AD4" s="221" t="n">
        <x:v>46281</x:v>
      </x:c>
      <x:c r="AE4" s="222" t="n">
        <x:v>46282</x:v>
      </x:c>
      <x:c r="AF4" s="222" t="n">
        <x:v>46283</x:v>
      </x:c>
      <x:c r="AG4" s="221" t="n">
        <x:v>46284</x:v>
      </x:c>
      <x:c r="AH4" s="221" t="n">
        <x:v>46285</x:v>
      </x:c>
      <x:c r="AI4" s="221" t="n">
        <x:v>46286</x:v>
      </x:c>
      <x:c r="AJ4" s="224" t="n">
        <x:v>46287</x:v>
      </x:c>
      <x:c r="AK4" s="224" t="n">
        <x:v>46288</x:v>
      </x:c>
      <x:c r="AL4" s="224" t="n">
        <x:v>46289</x:v>
      </x:c>
      <x:c r="AM4" s="224" t="n">
        <x:v>46290</x:v>
      </x:c>
      <x:c r="AN4" s="224" t="n">
        <x:v>46291</x:v>
      </x:c>
      <x:c r="AO4" s="224" t="n">
        <x:v>46292</x:v>
      </x:c>
      <x:c r="AP4" s="224" t="n">
        <x:v>46293</x:v>
      </x:c>
      <x:c r="AQ4" s="224" t="n">
        <x:v>46294</x:v>
      </x:c>
      <x:c r="AR4" s="224" t="n">
        <x:v>46295</x:v>
      </x:c>
      <x:c r="AS4" s="224" t="n">
        <x:v>46296</x:v>
      </x:c>
      <x:c r="AT4" s="224" t="n">
        <x:v>46297</x:v>
      </x:c>
      <x:c r="AU4" s="224" t="n">
        <x:v>46298</x:v>
      </x:c>
      <x:c r="AV4" s="224" t="n">
        <x:v>46299</x:v>
      </x:c>
      <x:c r="AW4" s="224" t="n">
        <x:v>46300</x:v>
      </x:c>
      <x:c r="AX4" s="224" t="n">
        <x:v>46301</x:v>
      </x:c>
      <x:c r="AY4" s="206"/>
      <x:c r="AZ4" s="206"/>
    </x:row>
    <x:row r="5" ht="30" customHeight="1">
      <x:c r="A5" s="195" t="str">
        <x:f>WBS!A6</x:f>
        <x:v>P1-LB-01</x:v>
      </x:c>
      <x:c r="B5" s="195" t="str">
        <x:f>WBS!B6</x:f>
        <x:v>Kubernetes API Load Balancer</x:v>
      </x:c>
      <x:c r="C5" s="195" t="str">
        <x:f>WBS!G6</x:f>
        <x:v>In Progress</x:v>
      </x:c>
      <x:c r="D5" s="225" t="n">
        <x:f>WBS!H6</x:f>
        <x:v>46261</x:v>
      </x:c>
      <x:c r="E5" s="225" t="n">
        <x:f>WBS!I6</x:f>
        <x:v>46282</x:v>
      </x:c>
      <x:c r="F5" s="13" t="str">
        <x:f>WBS!L6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n">
        <x:f>IF(AND(ISNUMBER($D5),ISNUMBER($E5),J$4&gt;=$D5,J$4&lt;=$E5,NETWORKDAYS(J$4,J$4,'Sources &amp; Change Log'!$J$2:$J$5)=1,COUNTIFS('Team Calendar'!$A$5:$A$14,$F5,'Team Calendar'!$C$5:$C$14,J$4,'Team Calendar'!$F$5:$F$14,"Personal absence")=0),1,"")</x:f>
        <x:v>1</x:v>
      </x:c>
      <x:c r="K5" s="207" t="n">
        <x:f>IF(AND(ISNUMBER($D5),ISNUMBER($E5),K$4&gt;=$D5,K$4&lt;=$E5,NETWORKDAYS(K$4,K$4,'Sources &amp; Change Log'!$J$2:$J$5)=1,COUNTIFS('Team Calendar'!$A$5:$A$14,$F5,'Team Calendar'!$C$5:$C$14,K$4,'Team Calendar'!$F$5:$F$14,"Personal absence")=0),1,"")</x:f>
        <x:v>1</x:v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8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n">
        <x:f>IF(AND(ISNUMBER($D5),ISNUMBER($E5),N$4&gt;=$D5,N$4&lt;=$E5,NETWORKDAYS(N$4,N$4,'Sources &amp; Change Log'!$J$2:$J$5)=1,COUNTIFS('Team Calendar'!$A$5:$A$14,$F5,'Team Calendar'!$C$5:$C$14,N$4,'Team Calendar'!$F$5:$F$14,"Personal absence")=0),1,"")</x:f>
        <x:v>1</x:v>
      </x:c>
      <x:c r="O5" s="207" t="n">
        <x:f>IF(AND(ISNUMBER($D5),ISNUMBER($E5),O$4&gt;=$D5,O$4&lt;=$E5,NETWORKDAYS(O$4,O$4,'Sources &amp; Change Log'!$J$2:$J$5)=1,COUNTIFS('Team Calendar'!$A$5:$A$14,$F5,'Team Calendar'!$C$5:$C$14,O$4,'Team Calendar'!$F$5:$F$14,"Personal absence")=0),1,"")</x:f>
        <x:v>1</x:v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n">
        <x:f>IF(AND(ISNUMBER($D5),ISNUMBER($E5),Q$4&gt;=$D5,Q$4&lt;=$E5,NETWORKDAYS(Q$4,Q$4,'Sources &amp; Change Log'!$J$2:$J$5)=1,COUNTIFS('Team Calendar'!$A$5:$A$14,$F5,'Team Calendar'!$C$5:$C$14,Q$4,'Team Calendar'!$F$5:$F$14,"Personal absence")=0),1,"")</x:f>
        <x:v>1</x:v>
      </x:c>
      <x:c r="R5" s="207" t="n">
        <x:f>IF(AND(ISNUMBER($D5),ISNUMBER($E5),R$4&gt;=$D5,R$4&lt;=$E5,NETWORKDAYS(R$4,R$4,'Sources &amp; Change Log'!$J$2:$J$5)=1,COUNTIFS('Team Calendar'!$A$5:$A$14,$F5,'Team Calendar'!$C$5:$C$14,R$4,'Team Calendar'!$F$5:$F$14,"Personal absence")=0),1,"")</x:f>
        <x:v>1</x:v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n">
        <x:f>IF(AND(ISNUMBER($D5),ISNUMBER($E5),U$4&gt;=$D5,U$4&lt;=$E5,NETWORKDAYS(U$4,U$4,'Sources &amp; Change Log'!$J$2:$J$5)=1,COUNTIFS('Team Calendar'!$A$5:$A$14,$F5,'Team Calendar'!$C$5:$C$14,U$4,'Team Calendar'!$F$5:$F$14,"Personal absence")=0),1,"")</x:f>
        <x:v>1</x:v>
      </x:c>
      <x:c r="V5" s="207" t="n">
        <x:f>IF(AND(ISNUMBER($D5),ISNUMBER($E5),V$4&gt;=$D5,V$4&lt;=$E5,NETWORKDAYS(V$4,V$4,'Sources &amp; Change Log'!$J$2:$J$5)=1,COUNTIFS('Team Calendar'!$A$5:$A$14,$F5,'Team Calendar'!$C$5:$C$14,V$4,'Team Calendar'!$F$5:$F$14,"Personal absence")=0),1,"")</x:f>
        <x:v>1</x:v>
      </x:c>
      <x:c r="W5" s="207" t="n">
        <x:f>IF(AND(ISNUMBER($D5),ISNUMBER($E5),W$4&gt;=$D5,W$4&lt;=$E5,NETWORKDAYS(W$4,W$4,'Sources &amp; Change Log'!$J$2:$J$5)=1,COUNTIFS('Team Calendar'!$A$5:$A$14,$F5,'Team Calendar'!$C$5:$C$14,W$4,'Team Calendar'!$F$5:$F$14,"Personal absence")=0),1,"")</x:f>
        <x:v>1</x:v>
      </x:c>
      <x:c r="X5" s="207" t="n">
        <x:f>IF(AND(ISNUMBER($D5),ISNUMBER($E5),X$4&gt;=$D5,X$4&lt;=$E5,NETWORKDAYS(X$4,X$4,'Sources &amp; Change Log'!$J$2:$J$5)=1,COUNTIFS('Team Calendar'!$A$5:$A$14,$F5,'Team Calendar'!$C$5:$C$14,X$4,'Team Calendar'!$F$5:$F$14,"Personal absence")=0),1,"")</x:f>
        <x:v>1</x:v>
      </x:c>
      <x:c r="Y5" s="207" t="n">
        <x:f>IF(AND(ISNUMBER($D5),ISNUMBER($E5),Y$4&gt;=$D5,Y$4&lt;=$E5,NETWORKDAYS(Y$4,Y$4,'Sources &amp; Change Log'!$J$2:$J$5)=1,COUNTIFS('Team Calendar'!$A$5:$A$14,$F5,'Team Calendar'!$C$5:$C$14,Y$4,'Team Calendar'!$F$5:$F$14,"Personal absence")=0),1,"")</x:f>
        <x:v>1</x:v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n">
        <x:f>IF(AND(ISNUMBER($D5),ISNUMBER($E5),AB$4&gt;=$D5,AB$4&lt;=$E5,NETWORKDAYS(AB$4,AB$4,'Sources &amp; Change Log'!$J$2:$J$5)=1,COUNTIFS('Team Calendar'!$A$5:$A$14,$F5,'Team Calendar'!$C$5:$C$14,AB$4,'Team Calendar'!$F$5:$F$14,"Personal absence")=0),1,"")</x:f>
        <x:v>1</x:v>
      </x:c>
      <x:c r="AC5" s="207" t="n">
        <x:f>IF(AND(ISNUMBER($D5),ISNUMBER($E5),AC$4&gt;=$D5,AC$4&lt;=$E5,NETWORKDAYS(AC$4,AC$4,'Sources &amp; Change Log'!$J$2:$J$5)=1,COUNTIFS('Team Calendar'!$A$5:$A$14,$F5,'Team Calendar'!$C$5:$C$14,AC$4,'Team Calendar'!$F$5:$F$14,"Personal absence")=0),1,"")</x:f>
        <x:v>1</x:v>
      </x:c>
      <x:c r="AD5" s="207" t="n">
        <x:f>IF(AND(ISNUMBER($D5),ISNUMBER($E5),AD$4&gt;=$D5,AD$4&lt;=$E5,NETWORKDAYS(AD$4,AD$4,'Sources &amp; Change Log'!$J$2:$J$5)=1,COUNTIFS('Team Calendar'!$A$5:$A$14,$F5,'Team Calendar'!$C$5:$C$14,AD$4,'Team Calendar'!$F$5:$F$14,"Personal absence")=0),1,"")</x:f>
        <x:v>1</x:v>
      </x:c>
      <x:c r="AE5" s="207" t="n">
        <x:f>IF(AND(ISNUMBER($D5),ISNUMBER($E5),AE$4&gt;=$D5,AE$4&lt;=$E5,NETWORKDAYS(AE$4,AE$4,'Sources &amp; Change Log'!$J$2:$J$5)=1,COUNTIFS('Team Calendar'!$A$5:$A$14,$F5,'Team Calendar'!$C$5:$C$14,AE$4,'Team Calendar'!$F$5:$F$14,"Personal absence")=0),1,"")</x:f>
        <x:v>1</x:v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11" t="str">
        <x:f>IF(AND(ISNUMBER($D5),ISNUMBER($E5),AJ$4&gt;=$D5,AJ$4&lt;=$E5,NETWORKDAYS(AJ$4,AJ$4,'Sources &amp; Change Log'!$J$2:$J$5)=1,COUNTIFS('Team Calendar'!$A$5:$A$14,$F5,'Team Calendar'!$C$5:$C$14,AJ$4,'Team Calendar'!$F$5:$F$14,"Personal absence")=0),1,"")</x:f>
      </x:c>
      <x:c r="AK5" s="211" t="str">
        <x:f>IF(AND(ISNUMBER($D5),ISNUMBER($E5),AK$4&gt;=$D5,AK$4&lt;=$E5,NETWORKDAYS(AK$4,AK$4,'Sources &amp; Change Log'!$J$2:$J$5)=1,COUNTIFS('Team Calendar'!$A$5:$A$14,$F5,'Team Calendar'!$C$5:$C$14,AK$4,'Team Calendar'!$F$5:$F$14,"Personal absence")=0),1,"")</x:f>
      </x:c>
      <x:c r="AL5" s="211" t="str">
        <x:f>IF(AND(ISNUMBER($D5),ISNUMBER($E5),AL$4&gt;=$D5,AL$4&lt;=$E5,NETWORKDAYS(AL$4,AL$4,'Sources &amp; Change Log'!$J$2:$J$5)=1,COUNTIFS('Team Calendar'!$A$5:$A$14,$F5,'Team Calendar'!$C$5:$C$14,AL$4,'Team Calendar'!$F$5:$F$14,"Personal absence")=0),1,"")</x:f>
      </x:c>
      <x:c r="AM5" s="211" t="str">
        <x:f>IF(AND(ISNUMBER($D5),ISNUMBER($E5),AM$4&gt;=$D5,AM$4&lt;=$E5,NETWORKDAYS(AM$4,AM$4,'Sources &amp; Change Log'!$J$2:$J$5)=1,COUNTIFS('Team Calendar'!$A$5:$A$14,$F5,'Team Calendar'!$C$5:$C$14,AM$4,'Team Calendar'!$F$5:$F$14,"Personal absence")=0),1,"")</x:f>
      </x:c>
      <x:c r="AN5" s="211" t="str">
        <x:f>IF(AND(ISNUMBER($D5),ISNUMBER($E5),AN$4&gt;=$D5,AN$4&lt;=$E5,NETWORKDAYS(AN$4,AN$4,'Sources &amp; Change Log'!$J$2:$J$5)=1,COUNTIFS('Team Calendar'!$A$5:$A$14,$F5,'Team Calendar'!$C$5:$C$14,AN$4,'Team Calendar'!$F$5:$F$14,"Personal absence")=0),1,"")</x:f>
      </x:c>
      <x:c r="AO5" s="211" t="str">
        <x:f>IF(AND(ISNUMBER($D5),ISNUMBER($E5),AO$4&gt;=$D5,AO$4&lt;=$E5,NETWORKDAYS(AO$4,AO$4,'Sources &amp; Change Log'!$J$2:$J$5)=1,COUNTIFS('Team Calendar'!$A$5:$A$14,$F5,'Team Calendar'!$C$5:$C$14,AO$4,'Team Calendar'!$F$5:$F$14,"Personal absence")=0),1,"")</x:f>
      </x:c>
      <x:c r="AP5" s="211" t="str">
        <x:f>IF(AND(ISNUMBER($D5),ISNUMBER($E5),AP$4&gt;=$D5,AP$4&lt;=$E5,NETWORKDAYS(AP$4,AP$4,'Sources &amp; Change Log'!$J$2:$J$5)=1,COUNTIFS('Team Calendar'!$A$5:$A$14,$F5,'Team Calendar'!$C$5:$C$14,AP$4,'Team Calendar'!$F$5:$F$14,"Personal absence")=0),1,"")</x:f>
      </x:c>
      <x:c r="AQ5" s="211" t="str">
        <x:f>IF(AND(ISNUMBER($D5),ISNUMBER($E5),AQ$4&gt;=$D5,AQ$4&lt;=$E5,NETWORKDAYS(AQ$4,AQ$4,'Sources &amp; Change Log'!$J$2:$J$5)=1,COUNTIFS('Team Calendar'!$A$5:$A$14,$F5,'Team Calendar'!$C$5:$C$14,AQ$4,'Team Calendar'!$F$5:$F$14,"Personal absence")=0),1,"")</x:f>
      </x:c>
      <x:c r="AR5" s="211" t="str">
        <x:f>IF(AND(ISNUMBER($D5),ISNUMBER($E5),AR$4&gt;=$D5,AR$4&lt;=$E5,NETWORKDAYS(AR$4,AR$4,'Sources &amp; Change Log'!$J$2:$J$5)=1,COUNTIFS('Team Calendar'!$A$5:$A$14,$F5,'Team Calendar'!$C$5:$C$14,AR$4,'Team Calendar'!$F$5:$F$14,"Personal absence")=0),1,"")</x:f>
      </x:c>
      <x:c r="AS5" s="211" t="str">
        <x:f>IF(AND(ISNUMBER($D5),ISNUMBER($E5),AS$4&gt;=$D5,AS$4&lt;=$E5,NETWORKDAYS(AS$4,AS$4,'Sources &amp; Change Log'!$J$2:$J$5)=1,COUNTIFS('Team Calendar'!$A$5:$A$14,$F5,'Team Calendar'!$C$5:$C$14,AS$4,'Team Calendar'!$F$5:$F$14,"Personal absence")=0),1,"")</x:f>
      </x:c>
      <x:c r="AT5" s="211" t="str">
        <x:f>IF(AND(ISNUMBER($D5),ISNUMBER($E5),AT$4&gt;=$D5,AT$4&lt;=$E5,NETWORKDAYS(AT$4,AT$4,'Sources &amp; Change Log'!$J$2:$J$5)=1,COUNTIFS('Team Calendar'!$A$5:$A$14,$F5,'Team Calendar'!$C$5:$C$14,AT$4,'Team Calendar'!$F$5:$F$14,"Personal absence")=0),1,"")</x:f>
      </x:c>
      <x:c r="AU5" s="211" t="str">
        <x:f>IF(AND(ISNUMBER($D5),ISNUMBER($E5),AU$4&gt;=$D5,AU$4&lt;=$E5,NETWORKDAYS(AU$4,AU$4,'Sources &amp; Change Log'!$J$2:$J$5)=1,COUNTIFS('Team Calendar'!$A$5:$A$14,$F5,'Team Calendar'!$C$5:$C$14,AU$4,'Team Calendar'!$F$5:$F$14,"Personal absence")=0),1,"")</x:f>
      </x:c>
      <x:c r="AV5" s="211" t="str">
        <x:f>IF(AND(ISNUMBER($D5),ISNUMBER($E5),AV$4&gt;=$D5,AV$4&lt;=$E5,NETWORKDAYS(AV$4,AV$4,'Sources &amp; Change Log'!$J$2:$J$5)=1,COUNTIFS('Team Calendar'!$A$5:$A$14,$F5,'Team Calendar'!$C$5:$C$14,AV$4,'Team Calendar'!$F$5:$F$14,"Personal absence")=0),1,"")</x:f>
      </x:c>
      <x:c r="AW5" s="211" t="str">
        <x:f>IF(AND(ISNUMBER($D5),ISNUMBER($E5),AW$4&gt;=$D5,AW$4&lt;=$E5,NETWORKDAYS(AW$4,AW$4,'Sources &amp; Change Log'!$J$2:$J$5)=1,COUNTIFS('Team Calendar'!$A$5:$A$14,$F5,'Team Calendar'!$C$5:$C$14,AW$4,'Team Calendar'!$F$5:$F$14,"Personal absence")=0),1,"")</x:f>
      </x:c>
      <x:c r="AX5" s="211" t="str">
        <x:f>IF(AND(ISNUMBER($D5),ISNUMBER($E5),AX$4&gt;=$D5,AX$4&lt;=$E5,NETWORKDAYS(AX$4,AX$4,'Sources &amp; Change Log'!$J$2:$J$5)=1,COUNTIFS('Team Calendar'!$A$5:$A$14,$F5,'Team Calendar'!$C$5:$C$14,AX$4,'Team Calendar'!$F$5:$F$14,"Personal absence")=0),1,"")</x:f>
      </x:c>
      <x:c r="AY5" s="206"/>
      <x:c r="AZ5" s="206"/>
    </x:row>
    <x:row r="6" ht="30" customHeight="1">
      <x:c r="A6" s="195" t="str">
        <x:f>WBS!A7</x:f>
        <x:v>P1-K8S-01</x:v>
      </x:c>
      <x:c r="B6" s="195" t="str">
        <x:f>WBS!B7</x:f>
        <x:v>kubeadm 3CP + 3Worker / Calico</x:v>
      </x:c>
      <x:c r="C6" s="195" t="str">
        <x:f>WBS!G7</x:f>
        <x:v>In Progress</x:v>
      </x:c>
      <x:c r="D6" s="225" t="n">
        <x:f>WBS!H7</x:f>
        <x:v>46261</x:v>
      </x:c>
      <x:c r="E6" s="225" t="n">
        <x:f>WBS!I7</x:f>
        <x:v>46282</x:v>
      </x:c>
      <x:c r="F6" s="13" t="str">
        <x:f>WBS!L7</x:f>
        <x:v>이하영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n">
        <x:f>IF(AND(ISNUMBER($D6),ISNUMBER($E6),J$4&gt;=$D6,J$4&lt;=$E6,NETWORKDAYS(J$4,J$4,'Sources &amp; Change Log'!$J$2:$J$5)=1,COUNTIFS('Team Calendar'!$A$5:$A$14,$F6,'Team Calendar'!$C$5:$C$14,J$4,'Team Calendar'!$F$5:$F$14,"Personal absence")=0),1,"")</x:f>
        <x:v>1</x:v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8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n">
        <x:f>IF(AND(ISNUMBER($D6),ISNUMBER($E6),N$4&gt;=$D6,N$4&lt;=$E6,NETWORKDAYS(N$4,N$4,'Sources &amp; Change Log'!$J$2:$J$5)=1,COUNTIFS('Team Calendar'!$A$5:$A$14,$F6,'Team Calendar'!$C$5:$C$14,N$4,'Team Calendar'!$F$5:$F$14,"Personal absence")=0),1,"")</x:f>
        <x:v>1</x:v>
      </x:c>
      <x:c r="O6" s="207" t="n">
        <x:f>IF(AND(ISNUMBER($D6),ISNUMBER($E6),O$4&gt;=$D6,O$4&lt;=$E6,NETWORKDAYS(O$4,O$4,'Sources &amp; Change Log'!$J$2:$J$5)=1,COUNTIFS('Team Calendar'!$A$5:$A$14,$F6,'Team Calendar'!$C$5:$C$14,O$4,'Team Calendar'!$F$5:$F$14,"Personal absence")=0),1,"")</x:f>
        <x:v>1</x:v>
      </x:c>
      <x:c r="P6" s="207" t="n">
        <x:f>IF(AND(ISNUMBER($D6),ISNUMBER($E6),P$4&gt;=$D6,P$4&lt;=$E6,NETWORKDAYS(P$4,P$4,'Sources &amp; Change Log'!$J$2:$J$5)=1,COUNTIFS('Team Calendar'!$A$5:$A$14,$F6,'Team Calendar'!$C$5:$C$14,P$4,'Team Calendar'!$F$5:$F$14,"Personal absence")=0),1,"")</x:f>
        <x:v>1</x:v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n">
        <x:f>IF(AND(ISNUMBER($D6),ISNUMBER($E6),R$4&gt;=$D6,R$4&lt;=$E6,NETWORKDAYS(R$4,R$4,'Sources &amp; Change Log'!$J$2:$J$5)=1,COUNTIFS('Team Calendar'!$A$5:$A$14,$F6,'Team Calendar'!$C$5:$C$14,R$4,'Team Calendar'!$F$5:$F$14,"Personal absence")=0),1,"")</x:f>
        <x:v>1</x:v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n">
        <x:f>IF(AND(ISNUMBER($D6),ISNUMBER($E6),U$4&gt;=$D6,U$4&lt;=$E6,NETWORKDAYS(U$4,U$4,'Sources &amp; Change Log'!$J$2:$J$5)=1,COUNTIFS('Team Calendar'!$A$5:$A$14,$F6,'Team Calendar'!$C$5:$C$14,U$4,'Team Calendar'!$F$5:$F$14,"Personal absence")=0),1,"")</x:f>
        <x:v>1</x:v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n">
        <x:f>IF(AND(ISNUMBER($D6),ISNUMBER($E6),W$4&gt;=$D6,W$4&lt;=$E6,NETWORKDAYS(W$4,W$4,'Sources &amp; Change Log'!$J$2:$J$5)=1,COUNTIFS('Team Calendar'!$A$5:$A$14,$F6,'Team Calendar'!$C$5:$C$14,W$4,'Team Calendar'!$F$5:$F$14,"Personal absence")=0),1,"")</x:f>
        <x:v>1</x:v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n">
        <x:f>IF(AND(ISNUMBER($D6),ISNUMBER($E6),Y$4&gt;=$D6,Y$4&lt;=$E6,NETWORKDAYS(Y$4,Y$4,'Sources &amp; Change Log'!$J$2:$J$5)=1,COUNTIFS('Team Calendar'!$A$5:$A$14,$F6,'Team Calendar'!$C$5:$C$14,Y$4,'Team Calendar'!$F$5:$F$14,"Personal absence")=0),1,"")</x:f>
        <x:v>1</x:v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n">
        <x:f>IF(AND(ISNUMBER($D6),ISNUMBER($E6),AB$4&gt;=$D6,AB$4&lt;=$E6,NETWORKDAYS(AB$4,AB$4,'Sources &amp; Change Log'!$J$2:$J$5)=1,COUNTIFS('Team Calendar'!$A$5:$A$14,$F6,'Team Calendar'!$C$5:$C$14,AB$4,'Team Calendar'!$F$5:$F$14,"Personal absence")=0),1,"")</x:f>
        <x:v>1</x:v>
      </x:c>
      <x:c r="AC6" s="207" t="n">
        <x:f>IF(AND(ISNUMBER($D6),ISNUMBER($E6),AC$4&gt;=$D6,AC$4&lt;=$E6,NETWORKDAYS(AC$4,AC$4,'Sources &amp; Change Log'!$J$2:$J$5)=1,COUNTIFS('Team Calendar'!$A$5:$A$14,$F6,'Team Calendar'!$C$5:$C$14,AC$4,'Team Calendar'!$F$5:$F$14,"Personal absence")=0),1,"")</x:f>
        <x:v>1</x:v>
      </x:c>
      <x:c r="AD6" s="207" t="n">
        <x:f>IF(AND(ISNUMBER($D6),ISNUMBER($E6),AD$4&gt;=$D6,AD$4&lt;=$E6,NETWORKDAYS(AD$4,AD$4,'Sources &amp; Change Log'!$J$2:$J$5)=1,COUNTIFS('Team Calendar'!$A$5:$A$14,$F6,'Team Calendar'!$C$5:$C$14,AD$4,'Team Calendar'!$F$5:$F$14,"Personal absence")=0),1,"")</x:f>
        <x:v>1</x:v>
      </x:c>
      <x:c r="AE6" s="207" t="n">
        <x:f>IF(AND(ISNUMBER($D6),ISNUMBER($E6),AE$4&gt;=$D6,AE$4&lt;=$E6,NETWORKDAYS(AE$4,AE$4,'Sources &amp; Change Log'!$J$2:$J$5)=1,COUNTIFS('Team Calendar'!$A$5:$A$14,$F6,'Team Calendar'!$C$5:$C$14,AE$4,'Team Calendar'!$F$5:$F$14,"Personal absence")=0),1,"")</x:f>
        <x:v>1</x:v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11" t="str">
        <x:f>IF(AND(ISNUMBER($D6),ISNUMBER($E6),AJ$4&gt;=$D6,AJ$4&lt;=$E6,NETWORKDAYS(AJ$4,AJ$4,'Sources &amp; Change Log'!$J$2:$J$5)=1,COUNTIFS('Team Calendar'!$A$5:$A$14,$F6,'Team Calendar'!$C$5:$C$14,AJ$4,'Team Calendar'!$F$5:$F$14,"Personal absence")=0),1,"")</x:f>
      </x:c>
      <x:c r="AK6" s="211" t="str">
        <x:f>IF(AND(ISNUMBER($D6),ISNUMBER($E6),AK$4&gt;=$D6,AK$4&lt;=$E6,NETWORKDAYS(AK$4,AK$4,'Sources &amp; Change Log'!$J$2:$J$5)=1,COUNTIFS('Team Calendar'!$A$5:$A$14,$F6,'Team Calendar'!$C$5:$C$14,AK$4,'Team Calendar'!$F$5:$F$14,"Personal absence")=0),1,"")</x:f>
      </x:c>
      <x:c r="AL6" s="211" t="str">
        <x:f>IF(AND(ISNUMBER($D6),ISNUMBER($E6),AL$4&gt;=$D6,AL$4&lt;=$E6,NETWORKDAYS(AL$4,AL$4,'Sources &amp; Change Log'!$J$2:$J$5)=1,COUNTIFS('Team Calendar'!$A$5:$A$14,$F6,'Team Calendar'!$C$5:$C$14,AL$4,'Team Calendar'!$F$5:$F$14,"Personal absence")=0),1,"")</x:f>
      </x:c>
      <x:c r="AM6" s="211" t="str">
        <x:f>IF(AND(ISNUMBER($D6),ISNUMBER($E6),AM$4&gt;=$D6,AM$4&lt;=$E6,NETWORKDAYS(AM$4,AM$4,'Sources &amp; Change Log'!$J$2:$J$5)=1,COUNTIFS('Team Calendar'!$A$5:$A$14,$F6,'Team Calendar'!$C$5:$C$14,AM$4,'Team Calendar'!$F$5:$F$14,"Personal absence")=0),1,"")</x:f>
      </x:c>
      <x:c r="AN6" s="211" t="str">
        <x:f>IF(AND(ISNUMBER($D6),ISNUMBER($E6),AN$4&gt;=$D6,AN$4&lt;=$E6,NETWORKDAYS(AN$4,AN$4,'Sources &amp; Change Log'!$J$2:$J$5)=1,COUNTIFS('Team Calendar'!$A$5:$A$14,$F6,'Team Calendar'!$C$5:$C$14,AN$4,'Team Calendar'!$F$5:$F$14,"Personal absence")=0),1,"")</x:f>
      </x:c>
      <x:c r="AO6" s="211" t="str">
        <x:f>IF(AND(ISNUMBER($D6),ISNUMBER($E6),AO$4&gt;=$D6,AO$4&lt;=$E6,NETWORKDAYS(AO$4,AO$4,'Sources &amp; Change Log'!$J$2:$J$5)=1,COUNTIFS('Team Calendar'!$A$5:$A$14,$F6,'Team Calendar'!$C$5:$C$14,AO$4,'Team Calendar'!$F$5:$F$14,"Personal absence")=0),1,"")</x:f>
      </x:c>
      <x:c r="AP6" s="211" t="str">
        <x:f>IF(AND(ISNUMBER($D6),ISNUMBER($E6),AP$4&gt;=$D6,AP$4&lt;=$E6,NETWORKDAYS(AP$4,AP$4,'Sources &amp; Change Log'!$J$2:$J$5)=1,COUNTIFS('Team Calendar'!$A$5:$A$14,$F6,'Team Calendar'!$C$5:$C$14,AP$4,'Team Calendar'!$F$5:$F$14,"Personal absence")=0),1,"")</x:f>
      </x:c>
      <x:c r="AQ6" s="211" t="str">
        <x:f>IF(AND(ISNUMBER($D6),ISNUMBER($E6),AQ$4&gt;=$D6,AQ$4&lt;=$E6,NETWORKDAYS(AQ$4,AQ$4,'Sources &amp; Change Log'!$J$2:$J$5)=1,COUNTIFS('Team Calendar'!$A$5:$A$14,$F6,'Team Calendar'!$C$5:$C$14,AQ$4,'Team Calendar'!$F$5:$F$14,"Personal absence")=0),1,"")</x:f>
      </x:c>
      <x:c r="AR6" s="211" t="str">
        <x:f>IF(AND(ISNUMBER($D6),ISNUMBER($E6),AR$4&gt;=$D6,AR$4&lt;=$E6,NETWORKDAYS(AR$4,AR$4,'Sources &amp; Change Log'!$J$2:$J$5)=1,COUNTIFS('Team Calendar'!$A$5:$A$14,$F6,'Team Calendar'!$C$5:$C$14,AR$4,'Team Calendar'!$F$5:$F$14,"Personal absence")=0),1,"")</x:f>
      </x:c>
      <x:c r="AS6" s="211" t="str">
        <x:f>IF(AND(ISNUMBER($D6),ISNUMBER($E6),AS$4&gt;=$D6,AS$4&lt;=$E6,NETWORKDAYS(AS$4,AS$4,'Sources &amp; Change Log'!$J$2:$J$5)=1,COUNTIFS('Team Calendar'!$A$5:$A$14,$F6,'Team Calendar'!$C$5:$C$14,AS$4,'Team Calendar'!$F$5:$F$14,"Personal absence")=0),1,"")</x:f>
      </x:c>
      <x:c r="AT6" s="211" t="str">
        <x:f>IF(AND(ISNUMBER($D6),ISNUMBER($E6),AT$4&gt;=$D6,AT$4&lt;=$E6,NETWORKDAYS(AT$4,AT$4,'Sources &amp; Change Log'!$J$2:$J$5)=1,COUNTIFS('Team Calendar'!$A$5:$A$14,$F6,'Team Calendar'!$C$5:$C$14,AT$4,'Team Calendar'!$F$5:$F$14,"Personal absence")=0),1,"")</x:f>
      </x:c>
      <x:c r="AU6" s="211" t="str">
        <x:f>IF(AND(ISNUMBER($D6),ISNUMBER($E6),AU$4&gt;=$D6,AU$4&lt;=$E6,NETWORKDAYS(AU$4,AU$4,'Sources &amp; Change Log'!$J$2:$J$5)=1,COUNTIFS('Team Calendar'!$A$5:$A$14,$F6,'Team Calendar'!$C$5:$C$14,AU$4,'Team Calendar'!$F$5:$F$14,"Personal absence")=0),1,"")</x:f>
      </x:c>
      <x:c r="AV6" s="211" t="str">
        <x:f>IF(AND(ISNUMBER($D6),ISNUMBER($E6),AV$4&gt;=$D6,AV$4&lt;=$E6,NETWORKDAYS(AV$4,AV$4,'Sources &amp; Change Log'!$J$2:$J$5)=1,COUNTIFS('Team Calendar'!$A$5:$A$14,$F6,'Team Calendar'!$C$5:$C$14,AV$4,'Team Calendar'!$F$5:$F$14,"Personal absence")=0),1,"")</x:f>
      </x:c>
      <x:c r="AW6" s="211" t="str">
        <x:f>IF(AND(ISNUMBER($D6),ISNUMBER($E6),AW$4&gt;=$D6,AW$4&lt;=$E6,NETWORKDAYS(AW$4,AW$4,'Sources &amp; Change Log'!$J$2:$J$5)=1,COUNTIFS('Team Calendar'!$A$5:$A$14,$F6,'Team Calendar'!$C$5:$C$14,AW$4,'Team Calendar'!$F$5:$F$14,"Personal absence")=0),1,"")</x:f>
      </x:c>
      <x:c r="AX6" s="211" t="str">
        <x:f>IF(AND(ISNUMBER($D6),ISNUMBER($E6),AX$4&gt;=$D6,AX$4&lt;=$E6,NETWORKDAYS(AX$4,AX$4,'Sources &amp; Change Log'!$J$2:$J$5)=1,COUNTIFS('Team Calendar'!$A$5:$A$14,$F6,'Team Calendar'!$C$5:$C$14,AX$4,'Team Calendar'!$F$5:$F$14,"Personal absence")=0),1,"")</x:f>
      </x:c>
      <x:c r="AY6" s="206"/>
      <x:c r="AZ6" s="206"/>
    </x:row>
    <x:row r="7" ht="30" customHeight="1">
      <x:c r="A7" s="195" t="str">
        <x:f>WBS!A8</x:f>
        <x:v>P1-DB-01</x:v>
      </x:c>
      <x:c r="B7" s="195" t="str">
        <x:f>WBS!B8</x:f>
        <x:v>PostgreSQL External VM</x:v>
      </x:c>
      <x:c r="C7" s="195" t="str">
        <x:f>WBS!G8</x:f>
        <x:v>In Progress</x:v>
      </x:c>
      <x:c r="D7" s="225" t="n">
        <x:f>WBS!H8</x:f>
        <x:v>46262</x:v>
      </x:c>
      <x:c r="E7" s="225" t="n">
        <x:f>WBS!I8</x:f>
        <x:v>46282</x:v>
      </x:c>
      <x:c r="F7" s="13" t="str">
        <x:f>WBS!L8</x:f>
        <x:v>이재환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n">
        <x:f>IF(AND(ISNUMBER($D7),ISNUMBER($E7),K$4&gt;=$D7,K$4&lt;=$E7,NETWORKDAYS(K$4,K$4,'Sources &amp; Change Log'!$J$2:$J$5)=1,COUNTIFS('Team Calendar'!$A$5:$A$14,$F7,'Team Calendar'!$C$5:$C$14,K$4,'Team Calendar'!$F$5:$F$14,"Personal absence")=0),1,"")</x:f>
        <x:v>1</x:v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8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n">
        <x:f>IF(AND(ISNUMBER($D7),ISNUMBER($E7),N$4&gt;=$D7,N$4&lt;=$E7,NETWORKDAYS(N$4,N$4,'Sources &amp; Change Log'!$J$2:$J$5)=1,COUNTIFS('Team Calendar'!$A$5:$A$14,$F7,'Team Calendar'!$C$5:$C$14,N$4,'Team Calendar'!$F$5:$F$14,"Personal absence")=0),1,"")</x:f>
        <x:v>1</x:v>
      </x:c>
      <x:c r="O7" s="207" t="n">
        <x:f>IF(AND(ISNUMBER($D7),ISNUMBER($E7),O$4&gt;=$D7,O$4&lt;=$E7,NETWORKDAYS(O$4,O$4,'Sources &amp; Change Log'!$J$2:$J$5)=1,COUNTIFS('Team Calendar'!$A$5:$A$14,$F7,'Team Calendar'!$C$5:$C$14,O$4,'Team Calendar'!$F$5:$F$14,"Personal absence")=0),1,"")</x:f>
        <x:v>1</x:v>
      </x:c>
      <x:c r="P7" s="207" t="n">
        <x:f>IF(AND(ISNUMBER($D7),ISNUMBER($E7),P$4&gt;=$D7,P$4&lt;=$E7,NETWORKDAYS(P$4,P$4,'Sources &amp; Change Log'!$J$2:$J$5)=1,COUNTIFS('Team Calendar'!$A$5:$A$14,$F7,'Team Calendar'!$C$5:$C$14,P$4,'Team Calendar'!$F$5:$F$14,"Personal absence")=0),1,"")</x:f>
        <x:v>1</x:v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9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n">
        <x:f>IF(AND(ISNUMBER($D7),ISNUMBER($E7),X$4&gt;=$D7,X$4&lt;=$E7,NETWORKDAYS(X$4,X$4,'Sources &amp; Change Log'!$J$2:$J$5)=1,COUNTIFS('Team Calendar'!$A$5:$A$14,$F7,'Team Calendar'!$C$5:$C$14,X$4,'Team Calendar'!$F$5:$F$14,"Personal absence")=0),1,"")</x:f>
        <x:v>1</x:v>
      </x:c>
      <x:c r="Y7" s="207" t="n">
        <x:f>IF(AND(ISNUMBER($D7),ISNUMBER($E7),Y$4&gt;=$D7,Y$4&lt;=$E7,NETWORKDAYS(Y$4,Y$4,'Sources &amp; Change Log'!$J$2:$J$5)=1,COUNTIFS('Team Calendar'!$A$5:$A$14,$F7,'Team Calendar'!$C$5:$C$14,Y$4,'Team Calendar'!$F$5:$F$14,"Personal absence")=0),1,"")</x:f>
        <x:v>1</x:v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11" t="str">
        <x:f>IF(AND(ISNUMBER($D7),ISNUMBER($E7),AJ$4&gt;=$D7,AJ$4&lt;=$E7,NETWORKDAYS(AJ$4,AJ$4,'Sources &amp; Change Log'!$J$2:$J$5)=1,COUNTIFS('Team Calendar'!$A$5:$A$14,$F7,'Team Calendar'!$C$5:$C$14,AJ$4,'Team Calendar'!$F$5:$F$14,"Personal absence")=0),1,"")</x:f>
      </x:c>
      <x:c r="AK7" s="211" t="str">
        <x:f>IF(AND(ISNUMBER($D7),ISNUMBER($E7),AK$4&gt;=$D7,AK$4&lt;=$E7,NETWORKDAYS(AK$4,AK$4,'Sources &amp; Change Log'!$J$2:$J$5)=1,COUNTIFS('Team Calendar'!$A$5:$A$14,$F7,'Team Calendar'!$C$5:$C$14,AK$4,'Team Calendar'!$F$5:$F$14,"Personal absence")=0),1,"")</x:f>
      </x:c>
      <x:c r="AL7" s="211" t="str">
        <x:f>IF(AND(ISNUMBER($D7),ISNUMBER($E7),AL$4&gt;=$D7,AL$4&lt;=$E7,NETWORKDAYS(AL$4,AL$4,'Sources &amp; Change Log'!$J$2:$J$5)=1,COUNTIFS('Team Calendar'!$A$5:$A$14,$F7,'Team Calendar'!$C$5:$C$14,AL$4,'Team Calendar'!$F$5:$F$14,"Personal absence")=0),1,"")</x:f>
      </x:c>
      <x:c r="AM7" s="211" t="str">
        <x:f>IF(AND(ISNUMBER($D7),ISNUMBER($E7),AM$4&gt;=$D7,AM$4&lt;=$E7,NETWORKDAYS(AM$4,AM$4,'Sources &amp; Change Log'!$J$2:$J$5)=1,COUNTIFS('Team Calendar'!$A$5:$A$14,$F7,'Team Calendar'!$C$5:$C$14,AM$4,'Team Calendar'!$F$5:$F$14,"Personal absence")=0),1,"")</x:f>
      </x:c>
      <x:c r="AN7" s="211" t="str">
        <x:f>IF(AND(ISNUMBER($D7),ISNUMBER($E7),AN$4&gt;=$D7,AN$4&lt;=$E7,NETWORKDAYS(AN$4,AN$4,'Sources &amp; Change Log'!$J$2:$J$5)=1,COUNTIFS('Team Calendar'!$A$5:$A$14,$F7,'Team Calendar'!$C$5:$C$14,AN$4,'Team Calendar'!$F$5:$F$14,"Personal absence")=0),1,"")</x:f>
      </x:c>
      <x:c r="AO7" s="211" t="str">
        <x:f>IF(AND(ISNUMBER($D7),ISNUMBER($E7),AO$4&gt;=$D7,AO$4&lt;=$E7,NETWORKDAYS(AO$4,AO$4,'Sources &amp; Change Log'!$J$2:$J$5)=1,COUNTIFS('Team Calendar'!$A$5:$A$14,$F7,'Team Calendar'!$C$5:$C$14,AO$4,'Team Calendar'!$F$5:$F$14,"Personal absence")=0),1,"")</x:f>
      </x:c>
      <x:c r="AP7" s="211" t="str">
        <x:f>IF(AND(ISNUMBER($D7),ISNUMBER($E7),AP$4&gt;=$D7,AP$4&lt;=$E7,NETWORKDAYS(AP$4,AP$4,'Sources &amp; Change Log'!$J$2:$J$5)=1,COUNTIFS('Team Calendar'!$A$5:$A$14,$F7,'Team Calendar'!$C$5:$C$14,AP$4,'Team Calendar'!$F$5:$F$14,"Personal absence")=0),1,"")</x:f>
      </x:c>
      <x:c r="AQ7" s="211" t="str">
        <x:f>IF(AND(ISNUMBER($D7),ISNUMBER($E7),AQ$4&gt;=$D7,AQ$4&lt;=$E7,NETWORKDAYS(AQ$4,AQ$4,'Sources &amp; Change Log'!$J$2:$J$5)=1,COUNTIFS('Team Calendar'!$A$5:$A$14,$F7,'Team Calendar'!$C$5:$C$14,AQ$4,'Team Calendar'!$F$5:$F$14,"Personal absence")=0),1,"")</x:f>
      </x:c>
      <x:c r="AR7" s="211" t="str">
        <x:f>IF(AND(ISNUMBER($D7),ISNUMBER($E7),AR$4&gt;=$D7,AR$4&lt;=$E7,NETWORKDAYS(AR$4,AR$4,'Sources &amp; Change Log'!$J$2:$J$5)=1,COUNTIFS('Team Calendar'!$A$5:$A$14,$F7,'Team Calendar'!$C$5:$C$14,AR$4,'Team Calendar'!$F$5:$F$14,"Personal absence")=0),1,"")</x:f>
      </x:c>
      <x:c r="AS7" s="211" t="str">
        <x:f>IF(AND(ISNUMBER($D7),ISNUMBER($E7),AS$4&gt;=$D7,AS$4&lt;=$E7,NETWORKDAYS(AS$4,AS$4,'Sources &amp; Change Log'!$J$2:$J$5)=1,COUNTIFS('Team Calendar'!$A$5:$A$14,$F7,'Team Calendar'!$C$5:$C$14,AS$4,'Team Calendar'!$F$5:$F$14,"Personal absence")=0),1,"")</x:f>
      </x:c>
      <x:c r="AT7" s="211" t="str">
        <x:f>IF(AND(ISNUMBER($D7),ISNUMBER($E7),AT$4&gt;=$D7,AT$4&lt;=$E7,NETWORKDAYS(AT$4,AT$4,'Sources &amp; Change Log'!$J$2:$J$5)=1,COUNTIFS('Team Calendar'!$A$5:$A$14,$F7,'Team Calendar'!$C$5:$C$14,AT$4,'Team Calendar'!$F$5:$F$14,"Personal absence")=0),1,"")</x:f>
      </x:c>
      <x:c r="AU7" s="211" t="str">
        <x:f>IF(AND(ISNUMBER($D7),ISNUMBER($E7),AU$4&gt;=$D7,AU$4&lt;=$E7,NETWORKDAYS(AU$4,AU$4,'Sources &amp; Change Log'!$J$2:$J$5)=1,COUNTIFS('Team Calendar'!$A$5:$A$14,$F7,'Team Calendar'!$C$5:$C$14,AU$4,'Team Calendar'!$F$5:$F$14,"Personal absence")=0),1,"")</x:f>
      </x:c>
      <x:c r="AV7" s="211" t="str">
        <x:f>IF(AND(ISNUMBER($D7),ISNUMBER($E7),AV$4&gt;=$D7,AV$4&lt;=$E7,NETWORKDAYS(AV$4,AV$4,'Sources &amp; Change Log'!$J$2:$J$5)=1,COUNTIFS('Team Calendar'!$A$5:$A$14,$F7,'Team Calendar'!$C$5:$C$14,AV$4,'Team Calendar'!$F$5:$F$14,"Personal absence")=0),1,"")</x:f>
      </x:c>
      <x:c r="AW7" s="211" t="str">
        <x:f>IF(AND(ISNUMBER($D7),ISNUMBER($E7),AW$4&gt;=$D7,AW$4&lt;=$E7,NETWORKDAYS(AW$4,AW$4,'Sources &amp; Change Log'!$J$2:$J$5)=1,COUNTIFS('Team Calendar'!$A$5:$A$14,$F7,'Team Calendar'!$C$5:$C$14,AW$4,'Team Calendar'!$F$5:$F$14,"Personal absence")=0),1,"")</x:f>
      </x:c>
      <x:c r="AX7" s="211" t="str">
        <x:f>IF(AND(ISNUMBER($D7),ISNUMBER($E7),AX$4&gt;=$D7,AX$4&lt;=$E7,NETWORKDAYS(AX$4,AX$4,'Sources &amp; Change Log'!$J$2:$J$5)=1,COUNTIFS('Team Calendar'!$A$5:$A$14,$F7,'Team Calendar'!$C$5:$C$14,AX$4,'Team Calendar'!$F$5:$F$14,"Personal absence")=0),1,"")</x:f>
      </x:c>
      <x:c r="AY7" s="206"/>
      <x:c r="AZ7" s="206"/>
    </x:row>
    <x:row r="8" ht="30" customHeight="1">
      <x:c r="A8" s="195" t="str">
        <x:f>WBS!A9</x:f>
        <x:v>P1-DNS-01</x:v>
      </x:c>
      <x:c r="B8" s="195" t="str">
        <x:f>WBS!B9</x:f>
        <x:v>Internal DNS Primary/Secondary</x:v>
      </x:c>
      <x:c r="C8" s="195" t="str">
        <x:f>WBS!G9</x:f>
        <x:v>Done</x:v>
      </x:c>
      <x:c r="D8" s="225" t="n">
        <x:f>WBS!H9</x:f>
        <x:v>46262</x:v>
      </x:c>
      <x:c r="E8" s="225" t="n">
        <x:f>WBS!I9</x:f>
        <x:v>46268</x:v>
      </x:c>
      <x:c r="F8" s="13" t="str">
        <x:f>WBS!L9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n">
        <x:f>IF(AND(ISNUMBER($D8),ISNUMBER($E8),K$4&gt;=$D8,K$4&lt;=$E8,NETWORKDAYS(K$4,K$4,'Sources &amp; Change Log'!$J$2:$J$5)=1,COUNTIFS('Team Calendar'!$A$5:$A$14,$F8,'Team Calendar'!$C$5:$C$14,K$4,'Team Calendar'!$F$5:$F$14,"Personal absence")=0),1,"")</x:f>
        <x:v>1</x:v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8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n">
        <x:f>IF(AND(ISNUMBER($D8),ISNUMBER($E8),N$4&gt;=$D8,N$4&lt;=$E8,NETWORKDAYS(N$4,N$4,'Sources &amp; Change Log'!$J$2:$J$5)=1,COUNTIFS('Team Calendar'!$A$5:$A$14,$F8,'Team Calendar'!$C$5:$C$14,N$4,'Team Calendar'!$F$5:$F$14,"Personal absence")=0),1,"")</x:f>
        <x:v>1</x:v>
      </x:c>
      <x:c r="O8" s="207" t="n">
        <x:f>IF(AND(ISNUMBER($D8),ISNUMBER($E8),O$4&gt;=$D8,O$4&lt;=$E8,NETWORKDAYS(O$4,O$4,'Sources &amp; Change Log'!$J$2:$J$5)=1,COUNTIFS('Team Calendar'!$A$5:$A$14,$F8,'Team Calendar'!$C$5:$C$14,O$4,'Team Calendar'!$F$5:$F$14,"Personal absence")=0),1,"")</x:f>
        <x:v>1</x:v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11" t="str">
        <x:f>IF(AND(ISNUMBER($D8),ISNUMBER($E8),AJ$4&gt;=$D8,AJ$4&lt;=$E8,NETWORKDAYS(AJ$4,AJ$4,'Sources &amp; Change Log'!$J$2:$J$5)=1,COUNTIFS('Team Calendar'!$A$5:$A$14,$F8,'Team Calendar'!$C$5:$C$14,AJ$4,'Team Calendar'!$F$5:$F$14,"Personal absence")=0),1,"")</x:f>
      </x:c>
      <x:c r="AK8" s="211" t="str">
        <x:f>IF(AND(ISNUMBER($D8),ISNUMBER($E8),AK$4&gt;=$D8,AK$4&lt;=$E8,NETWORKDAYS(AK$4,AK$4,'Sources &amp; Change Log'!$J$2:$J$5)=1,COUNTIFS('Team Calendar'!$A$5:$A$14,$F8,'Team Calendar'!$C$5:$C$14,AK$4,'Team Calendar'!$F$5:$F$14,"Personal absence")=0),1,"")</x:f>
      </x:c>
      <x:c r="AL8" s="211" t="str">
        <x:f>IF(AND(ISNUMBER($D8),ISNUMBER($E8),AL$4&gt;=$D8,AL$4&lt;=$E8,NETWORKDAYS(AL$4,AL$4,'Sources &amp; Change Log'!$J$2:$J$5)=1,COUNTIFS('Team Calendar'!$A$5:$A$14,$F8,'Team Calendar'!$C$5:$C$14,AL$4,'Team Calendar'!$F$5:$F$14,"Personal absence")=0),1,"")</x:f>
      </x:c>
      <x:c r="AM8" s="211" t="str">
        <x:f>IF(AND(ISNUMBER($D8),ISNUMBER($E8),AM$4&gt;=$D8,AM$4&lt;=$E8,NETWORKDAYS(AM$4,AM$4,'Sources &amp; Change Log'!$J$2:$J$5)=1,COUNTIFS('Team Calendar'!$A$5:$A$14,$F8,'Team Calendar'!$C$5:$C$14,AM$4,'Team Calendar'!$F$5:$F$14,"Personal absence")=0),1,"")</x:f>
      </x:c>
      <x:c r="AN8" s="211" t="str">
        <x:f>IF(AND(ISNUMBER($D8),ISNUMBER($E8),AN$4&gt;=$D8,AN$4&lt;=$E8,NETWORKDAYS(AN$4,AN$4,'Sources &amp; Change Log'!$J$2:$J$5)=1,COUNTIFS('Team Calendar'!$A$5:$A$14,$F8,'Team Calendar'!$C$5:$C$14,AN$4,'Team Calendar'!$F$5:$F$14,"Personal absence")=0),1,"")</x:f>
      </x:c>
      <x:c r="AO8" s="211" t="str">
        <x:f>IF(AND(ISNUMBER($D8),ISNUMBER($E8),AO$4&gt;=$D8,AO$4&lt;=$E8,NETWORKDAYS(AO$4,AO$4,'Sources &amp; Change Log'!$J$2:$J$5)=1,COUNTIFS('Team Calendar'!$A$5:$A$14,$F8,'Team Calendar'!$C$5:$C$14,AO$4,'Team Calendar'!$F$5:$F$14,"Personal absence")=0),1,"")</x:f>
      </x:c>
      <x:c r="AP8" s="211" t="str">
        <x:f>IF(AND(ISNUMBER($D8),ISNUMBER($E8),AP$4&gt;=$D8,AP$4&lt;=$E8,NETWORKDAYS(AP$4,AP$4,'Sources &amp; Change Log'!$J$2:$J$5)=1,COUNTIFS('Team Calendar'!$A$5:$A$14,$F8,'Team Calendar'!$C$5:$C$14,AP$4,'Team Calendar'!$F$5:$F$14,"Personal absence")=0),1,"")</x:f>
      </x:c>
      <x:c r="AQ8" s="211" t="str">
        <x:f>IF(AND(ISNUMBER($D8),ISNUMBER($E8),AQ$4&gt;=$D8,AQ$4&lt;=$E8,NETWORKDAYS(AQ$4,AQ$4,'Sources &amp; Change Log'!$J$2:$J$5)=1,COUNTIFS('Team Calendar'!$A$5:$A$14,$F8,'Team Calendar'!$C$5:$C$14,AQ$4,'Team Calendar'!$F$5:$F$14,"Personal absence")=0),1,"")</x:f>
      </x:c>
      <x:c r="AR8" s="211" t="str">
        <x:f>IF(AND(ISNUMBER($D8),ISNUMBER($E8),AR$4&gt;=$D8,AR$4&lt;=$E8,NETWORKDAYS(AR$4,AR$4,'Sources &amp; Change Log'!$J$2:$J$5)=1,COUNTIFS('Team Calendar'!$A$5:$A$14,$F8,'Team Calendar'!$C$5:$C$14,AR$4,'Team Calendar'!$F$5:$F$14,"Personal absence")=0),1,"")</x:f>
      </x:c>
      <x:c r="AS8" s="211" t="str">
        <x:f>IF(AND(ISNUMBER($D8),ISNUMBER($E8),AS$4&gt;=$D8,AS$4&lt;=$E8,NETWORKDAYS(AS$4,AS$4,'Sources &amp; Change Log'!$J$2:$J$5)=1,COUNTIFS('Team Calendar'!$A$5:$A$14,$F8,'Team Calendar'!$C$5:$C$14,AS$4,'Team Calendar'!$F$5:$F$14,"Personal absence")=0),1,"")</x:f>
      </x:c>
      <x:c r="AT8" s="211" t="str">
        <x:f>IF(AND(ISNUMBER($D8),ISNUMBER($E8),AT$4&gt;=$D8,AT$4&lt;=$E8,NETWORKDAYS(AT$4,AT$4,'Sources &amp; Change Log'!$J$2:$J$5)=1,COUNTIFS('Team Calendar'!$A$5:$A$14,$F8,'Team Calendar'!$C$5:$C$14,AT$4,'Team Calendar'!$F$5:$F$14,"Personal absence")=0),1,"")</x:f>
      </x:c>
      <x:c r="AU8" s="211" t="str">
        <x:f>IF(AND(ISNUMBER($D8),ISNUMBER($E8),AU$4&gt;=$D8,AU$4&lt;=$E8,NETWORKDAYS(AU$4,AU$4,'Sources &amp; Change Log'!$J$2:$J$5)=1,COUNTIFS('Team Calendar'!$A$5:$A$14,$F8,'Team Calendar'!$C$5:$C$14,AU$4,'Team Calendar'!$F$5:$F$14,"Personal absence")=0),1,"")</x:f>
      </x:c>
      <x:c r="AV8" s="211" t="str">
        <x:f>IF(AND(ISNUMBER($D8),ISNUMBER($E8),AV$4&gt;=$D8,AV$4&lt;=$E8,NETWORKDAYS(AV$4,AV$4,'Sources &amp; Change Log'!$J$2:$J$5)=1,COUNTIFS('Team Calendar'!$A$5:$A$14,$F8,'Team Calendar'!$C$5:$C$14,AV$4,'Team Calendar'!$F$5:$F$14,"Personal absence")=0),1,"")</x:f>
      </x:c>
      <x:c r="AW8" s="211" t="str">
        <x:f>IF(AND(ISNUMBER($D8),ISNUMBER($E8),AW$4&gt;=$D8,AW$4&lt;=$E8,NETWORKDAYS(AW$4,AW$4,'Sources &amp; Change Log'!$J$2:$J$5)=1,COUNTIFS('Team Calendar'!$A$5:$A$14,$F8,'Team Calendar'!$C$5:$C$14,AW$4,'Team Calendar'!$F$5:$F$14,"Personal absence")=0),1,"")</x:f>
      </x:c>
      <x:c r="AX8" s="211" t="str">
        <x:f>IF(AND(ISNUMBER($D8),ISNUMBER($E8),AX$4&gt;=$D8,AX$4&lt;=$E8,NETWORKDAYS(AX$4,AX$4,'Sources &amp; Change Log'!$J$2:$J$5)=1,COUNTIFS('Team Calendar'!$A$5:$A$14,$F8,'Team Calendar'!$C$5:$C$14,AX$4,'Team Calendar'!$F$5:$F$14,"Personal absence")=0),1,"")</x:f>
      </x:c>
      <x:c r="AY8" s="206"/>
      <x:c r="AZ8" s="206"/>
    </x:row>
    <x:row r="9" ht="30" customHeight="1">
      <x:c r="A9" s="195" t="str">
        <x:f>WBS!A10</x:f>
        <x:v>P1-HBR-01</x:v>
      </x:c>
      <x:c r="B9" s="195" t="str">
        <x:f>WBS!B10</x:f>
        <x:v>Harbor / Trivy Registry</x:v>
      </x:c>
      <x:c r="C9" s="195" t="str">
        <x:f>WBS!G10</x:f>
        <x:v>In Progress</x:v>
      </x:c>
      <x:c r="D9" s="225" t="n">
        <x:f>WBS!H10</x:f>
        <x:v>46265</x:v>
      </x:c>
      <x:c r="E9" s="225" t="n">
        <x:f>WBS!I10</x:f>
        <x:v>46282</x:v>
      </x:c>
      <x:c r="F9" s="13" t="str">
        <x:f>WBS!L10</x:f>
        <x:v>이하영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8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n">
        <x:f>IF(AND(ISNUMBER($D9),ISNUMBER($E9),N$4&gt;=$D9,N$4&lt;=$E9,NETWORKDAYS(N$4,N$4,'Sources &amp; Change Log'!$J$2:$J$5)=1,COUNTIFS('Team Calendar'!$A$5:$A$14,$F9,'Team Calendar'!$C$5:$C$14,N$4,'Team Calendar'!$F$5:$F$14,"Personal absence")=0),1,"")</x:f>
        <x:v>1</x:v>
      </x:c>
      <x:c r="O9" s="207" t="n">
        <x:f>IF(AND(ISNUMBER($D9),ISNUMBER($E9),O$4&gt;=$D9,O$4&lt;=$E9,NETWORKDAYS(O$4,O$4,'Sources &amp; Change Log'!$J$2:$J$5)=1,COUNTIFS('Team Calendar'!$A$5:$A$14,$F9,'Team Calendar'!$C$5:$C$14,O$4,'Team Calendar'!$F$5:$F$14,"Personal absence")=0),1,"")</x:f>
        <x:v>1</x:v>
      </x:c>
      <x:c r="P9" s="210" t="n">
        <x:f>IF(AND(ISNUMBER($D9),ISNUMBER($E9),P$4&gt;=$D9,P$4&lt;=$E9,NETWORKDAYS(P$4,P$4,'Sources &amp; Change Log'!$J$2:$J$5)=1,COUNTIFS('Team Calendar'!$A$5:$A$14,$F9,'Team Calendar'!$C$5:$C$14,P$4,'Team Calendar'!$F$5:$F$14,"Personal absence")=0),1,"")</x:f>
        <x:v>1</x:v>
      </x:c>
      <x:c r="Q9" s="207" t="n">
        <x:f>IF(AND(ISNUMBER($D9),ISNUMBER($E9),Q$4&gt;=$D9,Q$4&lt;=$E9,NETWORKDAYS(Q$4,Q$4,'Sources &amp; Change Log'!$J$2:$J$5)=1,COUNTIFS('Team Calendar'!$A$5:$A$14,$F9,'Team Calendar'!$C$5:$C$14,Q$4,'Team Calendar'!$F$5:$F$14,"Personal absence")=0),1,"")</x:f>
        <x:v>1</x:v>
      </x:c>
      <x:c r="R9" s="207" t="n">
        <x:f>IF(AND(ISNUMBER($D9),ISNUMBER($E9),R$4&gt;=$D9,R$4&lt;=$E9,NETWORKDAYS(R$4,R$4,'Sources &amp; Change Log'!$J$2:$J$5)=1,COUNTIFS('Team Calendar'!$A$5:$A$14,$F9,'Team Calendar'!$C$5:$C$14,R$4,'Team Calendar'!$F$5:$F$14,"Personal absence")=0),1,"")</x:f>
        <x:v>1</x:v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str">
        <x:f>IF(AND(ISNUMBER($D9),ISNUMBER($E9),V$4&gt;=$D9,V$4&lt;=$E9,NETWORKDAYS(V$4,V$4,'Sources &amp; Change Log'!$J$2:$J$5)=1,COUNTIFS('Team Calendar'!$A$5:$A$14,$F9,'Team Calendar'!$C$5:$C$14,V$4,'Team Calendar'!$F$5:$F$14,"Personal absence")=0),1,"")</x:f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n">
        <x:f>IF(AND(ISNUMBER($D9),ISNUMBER($E9),Y$4&gt;=$D9,Y$4&lt;=$E9,NETWORKDAYS(Y$4,Y$4,'Sources &amp; Change Log'!$J$2:$J$5)=1,COUNTIFS('Team Calendar'!$A$5:$A$14,$F9,'Team Calendar'!$C$5:$C$14,Y$4,'Team Calendar'!$F$5:$F$14,"Personal absence")=0),1,"")</x:f>
        <x:v>1</x:v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n">
        <x:f>IF(AND(ISNUMBER($D9),ISNUMBER($E9),AB$4&gt;=$D9,AB$4&lt;=$E9,NETWORKDAYS(AB$4,AB$4,'Sources &amp; Change Log'!$J$2:$J$5)=1,COUNTIFS('Team Calendar'!$A$5:$A$14,$F9,'Team Calendar'!$C$5:$C$14,AB$4,'Team Calendar'!$F$5:$F$14,"Personal absence")=0),1,"")</x:f>
        <x:v>1</x:v>
      </x:c>
      <x:c r="AC9" s="207" t="n">
        <x:f>IF(AND(ISNUMBER($D9),ISNUMBER($E9),AC$4&gt;=$D9,AC$4&lt;=$E9,NETWORKDAYS(AC$4,AC$4,'Sources &amp; Change Log'!$J$2:$J$5)=1,COUNTIFS('Team Calendar'!$A$5:$A$14,$F9,'Team Calendar'!$C$5:$C$14,AC$4,'Team Calendar'!$F$5:$F$14,"Personal absence")=0),1,"")</x:f>
        <x:v>1</x:v>
      </x:c>
      <x:c r="AD9" s="207" t="n">
        <x:f>IF(AND(ISNUMBER($D9),ISNUMBER($E9),AD$4&gt;=$D9,AD$4&lt;=$E9,NETWORKDAYS(AD$4,AD$4,'Sources &amp; Change Log'!$J$2:$J$5)=1,COUNTIFS('Team Calendar'!$A$5:$A$14,$F9,'Team Calendar'!$C$5:$C$14,AD$4,'Team Calendar'!$F$5:$F$14,"Personal absence")=0),1,"")</x:f>
        <x:v>1</x:v>
      </x:c>
      <x:c r="AE9" s="207" t="n">
        <x:f>IF(AND(ISNUMBER($D9),ISNUMBER($E9),AE$4&gt;=$D9,AE$4&lt;=$E9,NETWORKDAYS(AE$4,AE$4,'Sources &amp; Change Log'!$J$2:$J$5)=1,COUNTIFS('Team Calendar'!$A$5:$A$14,$F9,'Team Calendar'!$C$5:$C$14,AE$4,'Team Calendar'!$F$5:$F$14,"Personal absence")=0),1,"")</x:f>
        <x:v>1</x:v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11" t="str">
        <x:f>IF(AND(ISNUMBER($D9),ISNUMBER($E9),AJ$4&gt;=$D9,AJ$4&lt;=$E9,NETWORKDAYS(AJ$4,AJ$4,'Sources &amp; Change Log'!$J$2:$J$5)=1,COUNTIFS('Team Calendar'!$A$5:$A$14,$F9,'Team Calendar'!$C$5:$C$14,AJ$4,'Team Calendar'!$F$5:$F$14,"Personal absence")=0),1,"")</x:f>
      </x:c>
      <x:c r="AK9" s="211" t="str">
        <x:f>IF(AND(ISNUMBER($D9),ISNUMBER($E9),AK$4&gt;=$D9,AK$4&lt;=$E9,NETWORKDAYS(AK$4,AK$4,'Sources &amp; Change Log'!$J$2:$J$5)=1,COUNTIFS('Team Calendar'!$A$5:$A$14,$F9,'Team Calendar'!$C$5:$C$14,AK$4,'Team Calendar'!$F$5:$F$14,"Personal absence")=0),1,"")</x:f>
      </x:c>
      <x:c r="AL9" s="211" t="str">
        <x:f>IF(AND(ISNUMBER($D9),ISNUMBER($E9),AL$4&gt;=$D9,AL$4&lt;=$E9,NETWORKDAYS(AL$4,AL$4,'Sources &amp; Change Log'!$J$2:$J$5)=1,COUNTIFS('Team Calendar'!$A$5:$A$14,$F9,'Team Calendar'!$C$5:$C$14,AL$4,'Team Calendar'!$F$5:$F$14,"Personal absence")=0),1,"")</x:f>
      </x:c>
      <x:c r="AM9" s="211" t="str">
        <x:f>IF(AND(ISNUMBER($D9),ISNUMBER($E9),AM$4&gt;=$D9,AM$4&lt;=$E9,NETWORKDAYS(AM$4,AM$4,'Sources &amp; Change Log'!$J$2:$J$5)=1,COUNTIFS('Team Calendar'!$A$5:$A$14,$F9,'Team Calendar'!$C$5:$C$14,AM$4,'Team Calendar'!$F$5:$F$14,"Personal absence")=0),1,"")</x:f>
      </x:c>
      <x:c r="AN9" s="211" t="str">
        <x:f>IF(AND(ISNUMBER($D9),ISNUMBER($E9),AN$4&gt;=$D9,AN$4&lt;=$E9,NETWORKDAYS(AN$4,AN$4,'Sources &amp; Change Log'!$J$2:$J$5)=1,COUNTIFS('Team Calendar'!$A$5:$A$14,$F9,'Team Calendar'!$C$5:$C$14,AN$4,'Team Calendar'!$F$5:$F$14,"Personal absence")=0),1,"")</x:f>
      </x:c>
      <x:c r="AO9" s="211" t="str">
        <x:f>IF(AND(ISNUMBER($D9),ISNUMBER($E9),AO$4&gt;=$D9,AO$4&lt;=$E9,NETWORKDAYS(AO$4,AO$4,'Sources &amp; Change Log'!$J$2:$J$5)=1,COUNTIFS('Team Calendar'!$A$5:$A$14,$F9,'Team Calendar'!$C$5:$C$14,AO$4,'Team Calendar'!$F$5:$F$14,"Personal absence")=0),1,"")</x:f>
      </x:c>
      <x:c r="AP9" s="211" t="str">
        <x:f>IF(AND(ISNUMBER($D9),ISNUMBER($E9),AP$4&gt;=$D9,AP$4&lt;=$E9,NETWORKDAYS(AP$4,AP$4,'Sources &amp; Change Log'!$J$2:$J$5)=1,COUNTIFS('Team Calendar'!$A$5:$A$14,$F9,'Team Calendar'!$C$5:$C$14,AP$4,'Team Calendar'!$F$5:$F$14,"Personal absence")=0),1,"")</x:f>
      </x:c>
      <x:c r="AQ9" s="211" t="str">
        <x:f>IF(AND(ISNUMBER($D9),ISNUMBER($E9),AQ$4&gt;=$D9,AQ$4&lt;=$E9,NETWORKDAYS(AQ$4,AQ$4,'Sources &amp; Change Log'!$J$2:$J$5)=1,COUNTIFS('Team Calendar'!$A$5:$A$14,$F9,'Team Calendar'!$C$5:$C$14,AQ$4,'Team Calendar'!$F$5:$F$14,"Personal absence")=0),1,"")</x:f>
      </x:c>
      <x:c r="AR9" s="211" t="str">
        <x:f>IF(AND(ISNUMBER($D9),ISNUMBER($E9),AR$4&gt;=$D9,AR$4&lt;=$E9,NETWORKDAYS(AR$4,AR$4,'Sources &amp; Change Log'!$J$2:$J$5)=1,COUNTIFS('Team Calendar'!$A$5:$A$14,$F9,'Team Calendar'!$C$5:$C$14,AR$4,'Team Calendar'!$F$5:$F$14,"Personal absence")=0),1,"")</x:f>
      </x:c>
      <x:c r="AS9" s="211" t="str">
        <x:f>IF(AND(ISNUMBER($D9),ISNUMBER($E9),AS$4&gt;=$D9,AS$4&lt;=$E9,NETWORKDAYS(AS$4,AS$4,'Sources &amp; Change Log'!$J$2:$J$5)=1,COUNTIFS('Team Calendar'!$A$5:$A$14,$F9,'Team Calendar'!$C$5:$C$14,AS$4,'Team Calendar'!$F$5:$F$14,"Personal absence")=0),1,"")</x:f>
      </x:c>
      <x:c r="AT9" s="211" t="str">
        <x:f>IF(AND(ISNUMBER($D9),ISNUMBER($E9),AT$4&gt;=$D9,AT$4&lt;=$E9,NETWORKDAYS(AT$4,AT$4,'Sources &amp; Change Log'!$J$2:$J$5)=1,COUNTIFS('Team Calendar'!$A$5:$A$14,$F9,'Team Calendar'!$C$5:$C$14,AT$4,'Team Calendar'!$F$5:$F$14,"Personal absence")=0),1,"")</x:f>
      </x:c>
      <x:c r="AU9" s="211" t="str">
        <x:f>IF(AND(ISNUMBER($D9),ISNUMBER($E9),AU$4&gt;=$D9,AU$4&lt;=$E9,NETWORKDAYS(AU$4,AU$4,'Sources &amp; Change Log'!$J$2:$J$5)=1,COUNTIFS('Team Calendar'!$A$5:$A$14,$F9,'Team Calendar'!$C$5:$C$14,AU$4,'Team Calendar'!$F$5:$F$14,"Personal absence")=0),1,"")</x:f>
      </x:c>
      <x:c r="AV9" s="211" t="str">
        <x:f>IF(AND(ISNUMBER($D9),ISNUMBER($E9),AV$4&gt;=$D9,AV$4&lt;=$E9,NETWORKDAYS(AV$4,AV$4,'Sources &amp; Change Log'!$J$2:$J$5)=1,COUNTIFS('Team Calendar'!$A$5:$A$14,$F9,'Team Calendar'!$C$5:$C$14,AV$4,'Team Calendar'!$F$5:$F$14,"Personal absence")=0),1,"")</x:f>
      </x:c>
      <x:c r="AW9" s="211" t="str">
        <x:f>IF(AND(ISNUMBER($D9),ISNUMBER($E9),AW$4&gt;=$D9,AW$4&lt;=$E9,NETWORKDAYS(AW$4,AW$4,'Sources &amp; Change Log'!$J$2:$J$5)=1,COUNTIFS('Team Calendar'!$A$5:$A$14,$F9,'Team Calendar'!$C$5:$C$14,AW$4,'Team Calendar'!$F$5:$F$14,"Personal absence")=0),1,"")</x:f>
      </x:c>
      <x:c r="AX9" s="211" t="str">
        <x:f>IF(AND(ISNUMBER($D9),ISNUMBER($E9),AX$4&gt;=$D9,AX$4&lt;=$E9,NETWORKDAYS(AX$4,AX$4,'Sources &amp; Change Log'!$J$2:$J$5)=1,COUNTIFS('Team Calendar'!$A$5:$A$14,$F9,'Team Calendar'!$C$5:$C$14,AX$4,'Team Calendar'!$F$5:$F$14,"Personal absence")=0),1,"")</x:f>
      </x:c>
      <x:c r="AY9" s="206"/>
      <x:c r="AZ9" s="206"/>
    </x:row>
    <x:row r="10" ht="30" customHeight="1">
      <x:c r="A10" s="195" t="str">
        <x:f>WBS!A11</x:f>
        <x:v>ICR-D-NET-01-01</x:v>
      </x:c>
      <x:c r="B10" s="195" t="str">
        <x:f>WBS!B11</x:f>
        <x:v>Kubernetes Node Host Firewall / Monitoring Route</x:v>
      </x:c>
      <x:c r="C10" s="195" t="str">
        <x:f>WBS!G11</x:f>
        <x:v>In Progress</x:v>
      </x:c>
      <x:c r="D10" s="225" t="n">
        <x:f>WBS!H11</x:f>
        <x:v>46266</x:v>
      </x:c>
      <x:c r="E10" s="225" t="n">
        <x:f>WBS!I11</x:f>
        <x:v>46286</x:v>
      </x:c>
      <x:c r="F10" s="13" t="str">
        <x:f>WBS!L11</x:f>
        <x:v>이권욱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8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n">
        <x:f>IF(AND(ISNUMBER($D10),ISNUMBER($E10),O$4&gt;=$D10,O$4&lt;=$E10,NETWORKDAYS(O$4,O$4,'Sources &amp; Change Log'!$J$2:$J$5)=1,COUNTIFS('Team Calendar'!$A$5:$A$14,$F10,'Team Calendar'!$C$5:$C$14,O$4,'Team Calendar'!$F$5:$F$14,"Personal absence")=0),1,"")</x:f>
        <x:v>1</x:v>
      </x:c>
      <x:c r="P10" s="207" t="n">
        <x:f>IF(AND(ISNUMBER($D10),ISNUMBER($E10),P$4&gt;=$D10,P$4&lt;=$E10,NETWORKDAYS(P$4,P$4,'Sources &amp; Change Log'!$J$2:$J$5)=1,COUNTIFS('Team Calendar'!$A$5:$A$14,$F10,'Team Calendar'!$C$5:$C$14,P$4,'Team Calendar'!$F$5:$F$14,"Personal absence")=0),1,"")</x:f>
        <x:v>1</x:v>
      </x:c>
      <x:c r="Q10" s="207" t="n">
        <x:f>IF(AND(ISNUMBER($D10),ISNUMBER($E10),Q$4&gt;=$D10,Q$4&lt;=$E10,NETWORKDAYS(Q$4,Q$4,'Sources &amp; Change Log'!$J$2:$J$5)=1,COUNTIFS('Team Calendar'!$A$5:$A$14,$F10,'Team Calendar'!$C$5:$C$14,Q$4,'Team Calendar'!$F$5:$F$14,"Personal absence")=0),1,"")</x:f>
        <x:v>1</x:v>
      </x:c>
      <x:c r="R10" s="207" t="n">
        <x:f>IF(AND(ISNUMBER($D10),ISNUMBER($E10),R$4&gt;=$D10,R$4&lt;=$E10,NETWORKDAYS(R$4,R$4,'Sources &amp; Change Log'!$J$2:$J$5)=1,COUNTIFS('Team Calendar'!$A$5:$A$14,$F10,'Team Calendar'!$C$5:$C$14,R$4,'Team Calendar'!$F$5:$F$14,"Personal absence")=0),1,"")</x:f>
        <x:v>1</x:v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n">
        <x:f>IF(AND(ISNUMBER($D10),ISNUMBER($E10),U$4&gt;=$D10,U$4&lt;=$E10,NETWORKDAYS(U$4,U$4,'Sources &amp; Change Log'!$J$2:$J$5)=1,COUNTIFS('Team Calendar'!$A$5:$A$14,$F10,'Team Calendar'!$C$5:$C$14,U$4,'Team Calendar'!$F$5:$F$14,"Personal absence")=0),1,"")</x:f>
        <x:v>1</x:v>
      </x:c>
      <x:c r="V10" s="207" t="n">
        <x:f>IF(AND(ISNUMBER($D10),ISNUMBER($E10),V$4&gt;=$D10,V$4&lt;=$E10,NETWORKDAYS(V$4,V$4,'Sources &amp; Change Log'!$J$2:$J$5)=1,COUNTIFS('Team Calendar'!$A$5:$A$14,$F10,'Team Calendar'!$C$5:$C$14,V$4,'Team Calendar'!$F$5:$F$14,"Personal absence")=0),1,"")</x:f>
        <x:v>1</x:v>
      </x:c>
      <x:c r="W10" s="207" t="n">
        <x:f>IF(AND(ISNUMBER($D10),ISNUMBER($E10),W$4&gt;=$D10,W$4&lt;=$E10,NETWORKDAYS(W$4,W$4,'Sources &amp; Change Log'!$J$2:$J$5)=1,COUNTIFS('Team Calendar'!$A$5:$A$14,$F10,'Team Calendar'!$C$5:$C$14,W$4,'Team Calendar'!$F$5:$F$14,"Personal absence")=0),1,"")</x:f>
        <x:v>1</x:v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n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  <x:v>1</x:v>
      </x:c>
      <x:c r="AD10" s="207" t="n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  <x:v>1</x:v>
      </x:c>
      <x:c r="AE10" s="207" t="n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  <x:v>1</x:v>
      </x:c>
      <x:c r="AF10" s="207" t="n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  <x:v>1</x:v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n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  <x:v>1</x:v>
      </x:c>
      <x:c r="AJ10" s="211" t="str">
        <x:f>IF(AND(ISNUMBER($D10),ISNUMBER($E10),AJ$4&gt;=$D10,AJ$4&lt;=$E10,NETWORKDAYS(AJ$4,AJ$4,'Sources &amp; Change Log'!$J$2:$J$5)=1,COUNTIFS('Team Calendar'!$A$5:$A$14,$F10,'Team Calendar'!$C$5:$C$14,AJ$4,'Team Calendar'!$F$5:$F$14,"Personal absence")=0),1,"")</x:f>
      </x:c>
      <x:c r="AK10" s="211" t="str">
        <x:f>IF(AND(ISNUMBER($D10),ISNUMBER($E10),AK$4&gt;=$D10,AK$4&lt;=$E10,NETWORKDAYS(AK$4,AK$4,'Sources &amp; Change Log'!$J$2:$J$5)=1,COUNTIFS('Team Calendar'!$A$5:$A$14,$F10,'Team Calendar'!$C$5:$C$14,AK$4,'Team Calendar'!$F$5:$F$14,"Personal absence")=0),1,"")</x:f>
      </x:c>
      <x:c r="AL10" s="211" t="str">
        <x:f>IF(AND(ISNUMBER($D10),ISNUMBER($E10),AL$4&gt;=$D10,AL$4&lt;=$E10,NETWORKDAYS(AL$4,AL$4,'Sources &amp; Change Log'!$J$2:$J$5)=1,COUNTIFS('Team Calendar'!$A$5:$A$14,$F10,'Team Calendar'!$C$5:$C$14,AL$4,'Team Calendar'!$F$5:$F$14,"Personal absence")=0),1,"")</x:f>
      </x:c>
      <x:c r="AM10" s="211" t="str">
        <x:f>IF(AND(ISNUMBER($D10),ISNUMBER($E10),AM$4&gt;=$D10,AM$4&lt;=$E10,NETWORKDAYS(AM$4,AM$4,'Sources &amp; Change Log'!$J$2:$J$5)=1,COUNTIFS('Team Calendar'!$A$5:$A$14,$F10,'Team Calendar'!$C$5:$C$14,AM$4,'Team Calendar'!$F$5:$F$14,"Personal absence")=0),1,"")</x:f>
      </x:c>
      <x:c r="AN10" s="211" t="str">
        <x:f>IF(AND(ISNUMBER($D10),ISNUMBER($E10),AN$4&gt;=$D10,AN$4&lt;=$E10,NETWORKDAYS(AN$4,AN$4,'Sources &amp; Change Log'!$J$2:$J$5)=1,COUNTIFS('Team Calendar'!$A$5:$A$14,$F10,'Team Calendar'!$C$5:$C$14,AN$4,'Team Calendar'!$F$5:$F$14,"Personal absence")=0),1,"")</x:f>
      </x:c>
      <x:c r="AO10" s="211" t="str">
        <x:f>IF(AND(ISNUMBER($D10),ISNUMBER($E10),AO$4&gt;=$D10,AO$4&lt;=$E10,NETWORKDAYS(AO$4,AO$4,'Sources &amp; Change Log'!$J$2:$J$5)=1,COUNTIFS('Team Calendar'!$A$5:$A$14,$F10,'Team Calendar'!$C$5:$C$14,AO$4,'Team Calendar'!$F$5:$F$14,"Personal absence")=0),1,"")</x:f>
      </x:c>
      <x:c r="AP10" s="211" t="str">
        <x:f>IF(AND(ISNUMBER($D10),ISNUMBER($E10),AP$4&gt;=$D10,AP$4&lt;=$E10,NETWORKDAYS(AP$4,AP$4,'Sources &amp; Change Log'!$J$2:$J$5)=1,COUNTIFS('Team Calendar'!$A$5:$A$14,$F10,'Team Calendar'!$C$5:$C$14,AP$4,'Team Calendar'!$F$5:$F$14,"Personal absence")=0),1,"")</x:f>
      </x:c>
      <x:c r="AQ10" s="211" t="str">
        <x:f>IF(AND(ISNUMBER($D10),ISNUMBER($E10),AQ$4&gt;=$D10,AQ$4&lt;=$E10,NETWORKDAYS(AQ$4,AQ$4,'Sources &amp; Change Log'!$J$2:$J$5)=1,COUNTIFS('Team Calendar'!$A$5:$A$14,$F10,'Team Calendar'!$C$5:$C$14,AQ$4,'Team Calendar'!$F$5:$F$14,"Personal absence")=0),1,"")</x:f>
      </x:c>
      <x:c r="AR10" s="211" t="str">
        <x:f>IF(AND(ISNUMBER($D10),ISNUMBER($E10),AR$4&gt;=$D10,AR$4&lt;=$E10,NETWORKDAYS(AR$4,AR$4,'Sources &amp; Change Log'!$J$2:$J$5)=1,COUNTIFS('Team Calendar'!$A$5:$A$14,$F10,'Team Calendar'!$C$5:$C$14,AR$4,'Team Calendar'!$F$5:$F$14,"Personal absence")=0),1,"")</x:f>
      </x:c>
      <x:c r="AS10" s="211" t="str">
        <x:f>IF(AND(ISNUMBER($D10),ISNUMBER($E10),AS$4&gt;=$D10,AS$4&lt;=$E10,NETWORKDAYS(AS$4,AS$4,'Sources &amp; Change Log'!$J$2:$J$5)=1,COUNTIFS('Team Calendar'!$A$5:$A$14,$F10,'Team Calendar'!$C$5:$C$14,AS$4,'Team Calendar'!$F$5:$F$14,"Personal absence")=0),1,"")</x:f>
      </x:c>
      <x:c r="AT10" s="211" t="str">
        <x:f>IF(AND(ISNUMBER($D10),ISNUMBER($E10),AT$4&gt;=$D10,AT$4&lt;=$E10,NETWORKDAYS(AT$4,AT$4,'Sources &amp; Change Log'!$J$2:$J$5)=1,COUNTIFS('Team Calendar'!$A$5:$A$14,$F10,'Team Calendar'!$C$5:$C$14,AT$4,'Team Calendar'!$F$5:$F$14,"Personal absence")=0),1,"")</x:f>
      </x:c>
      <x:c r="AU10" s="211" t="str">
        <x:f>IF(AND(ISNUMBER($D10),ISNUMBER($E10),AU$4&gt;=$D10,AU$4&lt;=$E10,NETWORKDAYS(AU$4,AU$4,'Sources &amp; Change Log'!$J$2:$J$5)=1,COUNTIFS('Team Calendar'!$A$5:$A$14,$F10,'Team Calendar'!$C$5:$C$14,AU$4,'Team Calendar'!$F$5:$F$14,"Personal absence")=0),1,"")</x:f>
      </x:c>
      <x:c r="AV10" s="211" t="str">
        <x:f>IF(AND(ISNUMBER($D10),ISNUMBER($E10),AV$4&gt;=$D10,AV$4&lt;=$E10,NETWORKDAYS(AV$4,AV$4,'Sources &amp; Change Log'!$J$2:$J$5)=1,COUNTIFS('Team Calendar'!$A$5:$A$14,$F10,'Team Calendar'!$C$5:$C$14,AV$4,'Team Calendar'!$F$5:$F$14,"Personal absence")=0),1,"")</x:f>
      </x:c>
      <x:c r="AW10" s="211" t="str">
        <x:f>IF(AND(ISNUMBER($D10),ISNUMBER($E10),AW$4&gt;=$D10,AW$4&lt;=$E10,NETWORKDAYS(AW$4,AW$4,'Sources &amp; Change Log'!$J$2:$J$5)=1,COUNTIFS('Team Calendar'!$A$5:$A$14,$F10,'Team Calendar'!$C$5:$C$14,AW$4,'Team Calendar'!$F$5:$F$14,"Personal absence")=0),1,"")</x:f>
      </x:c>
      <x:c r="AX10" s="211" t="str">
        <x:f>IF(AND(ISNUMBER($D10),ISNUMBER($E10),AX$4&gt;=$D10,AX$4&lt;=$E10,NETWORKDAYS(AX$4,AX$4,'Sources &amp; Change Log'!$J$2:$J$5)=1,COUNTIFS('Team Calendar'!$A$5:$A$14,$F10,'Team Calendar'!$C$5:$C$14,AX$4,'Team Calendar'!$F$5:$F$14,"Personal absence")=0),1,"")</x:f>
      </x:c>
      <x:c r="AY10" s="206"/>
      <x:c r="AZ10" s="206"/>
    </x:row>
    <x:row r="11" ht="30" customHeight="1">
      <x:c r="A11" s="195" t="str">
        <x:f>WBS!A12</x:f>
        <x:v>CR-P1-ANS-01-01</x:v>
      </x:c>
      <x:c r="B11" s="195" t="str">
        <x:f>WBS!B12</x:f>
        <x:v>Ansible Kubernetes Node DNS Resolver 변경</x:v>
      </x:c>
      <x:c r="C11" s="195" t="str">
        <x:f>WBS!G12</x:f>
        <x:v>Done</x:v>
      </x:c>
      <x:c r="D11" s="225" t="n">
        <x:f>WBS!H12</x:f>
        <x:v>46269</x:v>
      </x:c>
      <x:c r="E11" s="225" t="n">
        <x:f>WBS!I12</x:f>
        <x:v>46272</x:v>
      </x:c>
      <x:c r="F11" s="13" t="str">
        <x:f>WBS!L12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8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n">
        <x:f>IF(AND(ISNUMBER($D11),ISNUMBER($E11),R$4&gt;=$D11,R$4&lt;=$E11,NETWORKDAYS(R$4,R$4,'Sources &amp; Change Log'!$J$2:$J$5)=1,COUNTIFS('Team Calendar'!$A$5:$A$14,$F11,'Team Calendar'!$C$5:$C$14,R$4,'Team Calendar'!$F$5:$F$14,"Personal absence")=0),1,"")</x:f>
        <x:v>1</x:v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9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n">
        <x:f>IF(AND(ISNUMBER($D11),ISNUMBER($E11),U$4&gt;=$D11,U$4&lt;=$E11,NETWORKDAYS(U$4,U$4,'Sources &amp; Change Log'!$J$2:$J$5)=1,COUNTIFS('Team Calendar'!$A$5:$A$14,$F11,'Team Calendar'!$C$5:$C$14,U$4,'Team Calendar'!$F$5:$F$14,"Personal absence")=0),1,"")</x:f>
        <x:v>1</x:v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str">
        <x:f>IF(AND(ISNUMBER($D11),ISNUMBER($E11),W$4&gt;=$D11,W$4&lt;=$E11,NETWORKDAYS(W$4,W$4,'Sources &amp; Change Log'!$J$2:$J$5)=1,COUNTIFS('Team Calendar'!$A$5:$A$14,$F11,'Team Calendar'!$C$5:$C$14,W$4,'Team Calendar'!$F$5:$F$14,"Personal absence")=0),1,"")</x:f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11" t="str">
        <x:f>IF(AND(ISNUMBER($D11),ISNUMBER($E11),AJ$4&gt;=$D11,AJ$4&lt;=$E11,NETWORKDAYS(AJ$4,AJ$4,'Sources &amp; Change Log'!$J$2:$J$5)=1,COUNTIFS('Team Calendar'!$A$5:$A$14,$F11,'Team Calendar'!$C$5:$C$14,AJ$4,'Team Calendar'!$F$5:$F$14,"Personal absence")=0),1,"")</x:f>
      </x:c>
      <x:c r="AK11" s="211" t="str">
        <x:f>IF(AND(ISNUMBER($D11),ISNUMBER($E11),AK$4&gt;=$D11,AK$4&lt;=$E11,NETWORKDAYS(AK$4,AK$4,'Sources &amp; Change Log'!$J$2:$J$5)=1,COUNTIFS('Team Calendar'!$A$5:$A$14,$F11,'Team Calendar'!$C$5:$C$14,AK$4,'Team Calendar'!$F$5:$F$14,"Personal absence")=0),1,"")</x:f>
      </x:c>
      <x:c r="AL11" s="211" t="str">
        <x:f>IF(AND(ISNUMBER($D11),ISNUMBER($E11),AL$4&gt;=$D11,AL$4&lt;=$E11,NETWORKDAYS(AL$4,AL$4,'Sources &amp; Change Log'!$J$2:$J$5)=1,COUNTIFS('Team Calendar'!$A$5:$A$14,$F11,'Team Calendar'!$C$5:$C$14,AL$4,'Team Calendar'!$F$5:$F$14,"Personal absence")=0),1,"")</x:f>
      </x:c>
      <x:c r="AM11" s="211" t="str">
        <x:f>IF(AND(ISNUMBER($D11),ISNUMBER($E11),AM$4&gt;=$D11,AM$4&lt;=$E11,NETWORKDAYS(AM$4,AM$4,'Sources &amp; Change Log'!$J$2:$J$5)=1,COUNTIFS('Team Calendar'!$A$5:$A$14,$F11,'Team Calendar'!$C$5:$C$14,AM$4,'Team Calendar'!$F$5:$F$14,"Personal absence")=0),1,"")</x:f>
      </x:c>
      <x:c r="AN11" s="211" t="str">
        <x:f>IF(AND(ISNUMBER($D11),ISNUMBER($E11),AN$4&gt;=$D11,AN$4&lt;=$E11,NETWORKDAYS(AN$4,AN$4,'Sources &amp; Change Log'!$J$2:$J$5)=1,COUNTIFS('Team Calendar'!$A$5:$A$14,$F11,'Team Calendar'!$C$5:$C$14,AN$4,'Team Calendar'!$F$5:$F$14,"Personal absence")=0),1,"")</x:f>
      </x:c>
      <x:c r="AO11" s="211" t="str">
        <x:f>IF(AND(ISNUMBER($D11),ISNUMBER($E11),AO$4&gt;=$D11,AO$4&lt;=$E11,NETWORKDAYS(AO$4,AO$4,'Sources &amp; Change Log'!$J$2:$J$5)=1,COUNTIFS('Team Calendar'!$A$5:$A$14,$F11,'Team Calendar'!$C$5:$C$14,AO$4,'Team Calendar'!$F$5:$F$14,"Personal absence")=0),1,"")</x:f>
      </x:c>
      <x:c r="AP11" s="211" t="str">
        <x:f>IF(AND(ISNUMBER($D11),ISNUMBER($E11),AP$4&gt;=$D11,AP$4&lt;=$E11,NETWORKDAYS(AP$4,AP$4,'Sources &amp; Change Log'!$J$2:$J$5)=1,COUNTIFS('Team Calendar'!$A$5:$A$14,$F11,'Team Calendar'!$C$5:$C$14,AP$4,'Team Calendar'!$F$5:$F$14,"Personal absence")=0),1,"")</x:f>
      </x:c>
      <x:c r="AQ11" s="211" t="str">
        <x:f>IF(AND(ISNUMBER($D11),ISNUMBER($E11),AQ$4&gt;=$D11,AQ$4&lt;=$E11,NETWORKDAYS(AQ$4,AQ$4,'Sources &amp; Change Log'!$J$2:$J$5)=1,COUNTIFS('Team Calendar'!$A$5:$A$14,$F11,'Team Calendar'!$C$5:$C$14,AQ$4,'Team Calendar'!$F$5:$F$14,"Personal absence")=0),1,"")</x:f>
      </x:c>
      <x:c r="AR11" s="211" t="str">
        <x:f>IF(AND(ISNUMBER($D11),ISNUMBER($E11),AR$4&gt;=$D11,AR$4&lt;=$E11,NETWORKDAYS(AR$4,AR$4,'Sources &amp; Change Log'!$J$2:$J$5)=1,COUNTIFS('Team Calendar'!$A$5:$A$14,$F11,'Team Calendar'!$C$5:$C$14,AR$4,'Team Calendar'!$F$5:$F$14,"Personal absence")=0),1,"")</x:f>
      </x:c>
      <x:c r="AS11" s="211" t="str">
        <x:f>IF(AND(ISNUMBER($D11),ISNUMBER($E11),AS$4&gt;=$D11,AS$4&lt;=$E11,NETWORKDAYS(AS$4,AS$4,'Sources &amp; Change Log'!$J$2:$J$5)=1,COUNTIFS('Team Calendar'!$A$5:$A$14,$F11,'Team Calendar'!$C$5:$C$14,AS$4,'Team Calendar'!$F$5:$F$14,"Personal absence")=0),1,"")</x:f>
      </x:c>
      <x:c r="AT11" s="211" t="str">
        <x:f>IF(AND(ISNUMBER($D11),ISNUMBER($E11),AT$4&gt;=$D11,AT$4&lt;=$E11,NETWORKDAYS(AT$4,AT$4,'Sources &amp; Change Log'!$J$2:$J$5)=1,COUNTIFS('Team Calendar'!$A$5:$A$14,$F11,'Team Calendar'!$C$5:$C$14,AT$4,'Team Calendar'!$F$5:$F$14,"Personal absence")=0),1,"")</x:f>
      </x:c>
      <x:c r="AU11" s="211" t="str">
        <x:f>IF(AND(ISNUMBER($D11),ISNUMBER($E11),AU$4&gt;=$D11,AU$4&lt;=$E11,NETWORKDAYS(AU$4,AU$4,'Sources &amp; Change Log'!$J$2:$J$5)=1,COUNTIFS('Team Calendar'!$A$5:$A$14,$F11,'Team Calendar'!$C$5:$C$14,AU$4,'Team Calendar'!$F$5:$F$14,"Personal absence")=0),1,"")</x:f>
      </x:c>
      <x:c r="AV11" s="211" t="str">
        <x:f>IF(AND(ISNUMBER($D11),ISNUMBER($E11),AV$4&gt;=$D11,AV$4&lt;=$E11,NETWORKDAYS(AV$4,AV$4,'Sources &amp; Change Log'!$J$2:$J$5)=1,COUNTIFS('Team Calendar'!$A$5:$A$14,$F11,'Team Calendar'!$C$5:$C$14,AV$4,'Team Calendar'!$F$5:$F$14,"Personal absence")=0),1,"")</x:f>
      </x:c>
      <x:c r="AW11" s="211" t="str">
        <x:f>IF(AND(ISNUMBER($D11),ISNUMBER($E11),AW$4&gt;=$D11,AW$4&lt;=$E11,NETWORKDAYS(AW$4,AW$4,'Sources &amp; Change Log'!$J$2:$J$5)=1,COUNTIFS('Team Calendar'!$A$5:$A$14,$F11,'Team Calendar'!$C$5:$C$14,AW$4,'Team Calendar'!$F$5:$F$14,"Personal absence")=0),1,"")</x:f>
      </x:c>
      <x:c r="AX11" s="211" t="str">
        <x:f>IF(AND(ISNUMBER($D11),ISNUMBER($E11),AX$4&gt;=$D11,AX$4&lt;=$E11,NETWORKDAYS(AX$4,AX$4,'Sources &amp; Change Log'!$J$2:$J$5)=1,COUNTIFS('Team Calendar'!$A$5:$A$14,$F11,'Team Calendar'!$C$5:$C$14,AX$4,'Team Calendar'!$F$5:$F$14,"Personal absence")=0),1,"")</x:f>
      </x:c>
      <x:c r="AY11" s="206"/>
      <x:c r="AZ11" s="206"/>
    </x:row>
    <x:row r="12" ht="30" customHeight="1">
      <x:c r="A12" s="195" t="str">
        <x:f>WBS!A13</x:f>
        <x:v>P1-APP-01</x:v>
      </x:c>
      <x:c r="B12" s="195" t="str">
        <x:f>WBS!B13</x:f>
        <x:v>transaction-api / fds-engine</x:v>
      </x:c>
      <x:c r="C12" s="195" t="str">
        <x:f>WBS!G13</x:f>
        <x:v>In Progress</x:v>
      </x:c>
      <x:c r="D12" s="225" t="n">
        <x:f>WBS!H13</x:f>
        <x:v>46266</x:v>
      </x:c>
      <x:c r="E12" s="225" t="n">
        <x:f>WBS!I13</x:f>
        <x:v>46283</x:v>
      </x:c>
      <x:c r="F12" s="13" t="str">
        <x:f>WBS!L13</x:f>
        <x:v>이재환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8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n">
        <x:f>IF(AND(ISNUMBER($D12),ISNUMBER($E12),O$4&gt;=$D12,O$4&lt;=$E12,NETWORKDAYS(O$4,O$4,'Sources &amp; Change Log'!$J$2:$J$5)=1,COUNTIFS('Team Calendar'!$A$5:$A$14,$F12,'Team Calendar'!$C$5:$C$14,O$4,'Team Calendar'!$F$5:$F$14,"Personal absence")=0),1,"")</x:f>
        <x:v>1</x:v>
      </x:c>
      <x:c r="P12" s="207" t="n">
        <x:f>IF(AND(ISNUMBER($D12),ISNUMBER($E12),P$4&gt;=$D12,P$4&lt;=$E12,NETWORKDAYS(P$4,P$4,'Sources &amp; Change Log'!$J$2:$J$5)=1,COUNTIFS('Team Calendar'!$A$5:$A$14,$F12,'Team Calendar'!$C$5:$C$14,P$4,'Team Calendar'!$F$5:$F$14,"Personal absence")=0),1,"")</x:f>
        <x:v>1</x:v>
      </x:c>
      <x:c r="Q12" s="207" t="n">
        <x:f>IF(AND(ISNUMBER($D12),ISNUMBER($E12),Q$4&gt;=$D12,Q$4&lt;=$E12,NETWORKDAYS(Q$4,Q$4,'Sources &amp; Change Log'!$J$2:$J$5)=1,COUNTIFS('Team Calendar'!$A$5:$A$14,$F12,'Team Calendar'!$C$5:$C$14,Q$4,'Team Calendar'!$F$5:$F$14,"Personal absence")=0),1,"")</x:f>
        <x:v>1</x:v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n">
        <x:f>IF(AND(ISNUMBER($D12),ISNUMBER($E12),U$4&gt;=$D12,U$4&lt;=$E12,NETWORKDAYS(U$4,U$4,'Sources &amp; Change Log'!$J$2:$J$5)=1,COUNTIFS('Team Calendar'!$A$5:$A$14,$F12,'Team Calendar'!$C$5:$C$14,U$4,'Team Calendar'!$F$5:$F$14,"Personal absence")=0),1,"")</x:f>
        <x:v>1</x:v>
      </x:c>
      <x:c r="V12" s="207" t="n">
        <x:f>IF(AND(ISNUMBER($D12),ISNUMBER($E12),V$4&gt;=$D12,V$4&lt;=$E12,NETWORKDAYS(V$4,V$4,'Sources &amp; Change Log'!$J$2:$J$5)=1,COUNTIFS('Team Calendar'!$A$5:$A$14,$F12,'Team Calendar'!$C$5:$C$14,V$4,'Team Calendar'!$F$5:$F$14,"Personal absence")=0),1,"")</x:f>
        <x:v>1</x:v>
      </x:c>
      <x:c r="W12" s="207" t="n">
        <x:f>IF(AND(ISNUMBER($D12),ISNUMBER($E12),W$4&gt;=$D12,W$4&lt;=$E12,NETWORKDAYS(W$4,W$4,'Sources &amp; Change Log'!$J$2:$J$5)=1,COUNTIFS('Team Calendar'!$A$5:$A$14,$F12,'Team Calendar'!$C$5:$C$14,W$4,'Team Calendar'!$F$5:$F$14,"Personal absence")=0),1,"")</x:f>
        <x:v>1</x:v>
      </x:c>
      <x:c r="X12" s="207" t="n">
        <x:f>IF(AND(ISNUMBER($D12),ISNUMBER($E12),X$4&gt;=$D12,X$4&lt;=$E12,NETWORKDAYS(X$4,X$4,'Sources &amp; Change Log'!$J$2:$J$5)=1,COUNTIFS('Team Calendar'!$A$5:$A$14,$F12,'Team Calendar'!$C$5:$C$14,X$4,'Team Calendar'!$F$5:$F$14,"Personal absence")=0),1,"")</x:f>
        <x:v>1</x:v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n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  <x:v>1</x:v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11" t="str">
        <x:f>IF(AND(ISNUMBER($D12),ISNUMBER($E12),AJ$4&gt;=$D12,AJ$4&lt;=$E12,NETWORKDAYS(AJ$4,AJ$4,'Sources &amp; Change Log'!$J$2:$J$5)=1,COUNTIFS('Team Calendar'!$A$5:$A$14,$F12,'Team Calendar'!$C$5:$C$14,AJ$4,'Team Calendar'!$F$5:$F$14,"Personal absence")=0),1,"")</x:f>
      </x:c>
      <x:c r="AK12" s="211" t="str">
        <x:f>IF(AND(ISNUMBER($D12),ISNUMBER($E12),AK$4&gt;=$D12,AK$4&lt;=$E12,NETWORKDAYS(AK$4,AK$4,'Sources &amp; Change Log'!$J$2:$J$5)=1,COUNTIFS('Team Calendar'!$A$5:$A$14,$F12,'Team Calendar'!$C$5:$C$14,AK$4,'Team Calendar'!$F$5:$F$14,"Personal absence")=0),1,"")</x:f>
      </x:c>
      <x:c r="AL12" s="211" t="str">
        <x:f>IF(AND(ISNUMBER($D12),ISNUMBER($E12),AL$4&gt;=$D12,AL$4&lt;=$E12,NETWORKDAYS(AL$4,AL$4,'Sources &amp; Change Log'!$J$2:$J$5)=1,COUNTIFS('Team Calendar'!$A$5:$A$14,$F12,'Team Calendar'!$C$5:$C$14,AL$4,'Team Calendar'!$F$5:$F$14,"Personal absence")=0),1,"")</x:f>
      </x:c>
      <x:c r="AM12" s="211" t="str">
        <x:f>IF(AND(ISNUMBER($D12),ISNUMBER($E12),AM$4&gt;=$D12,AM$4&lt;=$E12,NETWORKDAYS(AM$4,AM$4,'Sources &amp; Change Log'!$J$2:$J$5)=1,COUNTIFS('Team Calendar'!$A$5:$A$14,$F12,'Team Calendar'!$C$5:$C$14,AM$4,'Team Calendar'!$F$5:$F$14,"Personal absence")=0),1,"")</x:f>
      </x:c>
      <x:c r="AN12" s="211" t="str">
        <x:f>IF(AND(ISNUMBER($D12),ISNUMBER($E12),AN$4&gt;=$D12,AN$4&lt;=$E12,NETWORKDAYS(AN$4,AN$4,'Sources &amp; Change Log'!$J$2:$J$5)=1,COUNTIFS('Team Calendar'!$A$5:$A$14,$F12,'Team Calendar'!$C$5:$C$14,AN$4,'Team Calendar'!$F$5:$F$14,"Personal absence")=0),1,"")</x:f>
      </x:c>
      <x:c r="AO12" s="211" t="str">
        <x:f>IF(AND(ISNUMBER($D12),ISNUMBER($E12),AO$4&gt;=$D12,AO$4&lt;=$E12,NETWORKDAYS(AO$4,AO$4,'Sources &amp; Change Log'!$J$2:$J$5)=1,COUNTIFS('Team Calendar'!$A$5:$A$14,$F12,'Team Calendar'!$C$5:$C$14,AO$4,'Team Calendar'!$F$5:$F$14,"Personal absence")=0),1,"")</x:f>
      </x:c>
      <x:c r="AP12" s="211" t="str">
        <x:f>IF(AND(ISNUMBER($D12),ISNUMBER($E12),AP$4&gt;=$D12,AP$4&lt;=$E12,NETWORKDAYS(AP$4,AP$4,'Sources &amp; Change Log'!$J$2:$J$5)=1,COUNTIFS('Team Calendar'!$A$5:$A$14,$F12,'Team Calendar'!$C$5:$C$14,AP$4,'Team Calendar'!$F$5:$F$14,"Personal absence")=0),1,"")</x:f>
      </x:c>
      <x:c r="AQ12" s="211" t="str">
        <x:f>IF(AND(ISNUMBER($D12),ISNUMBER($E12),AQ$4&gt;=$D12,AQ$4&lt;=$E12,NETWORKDAYS(AQ$4,AQ$4,'Sources &amp; Change Log'!$J$2:$J$5)=1,COUNTIFS('Team Calendar'!$A$5:$A$14,$F12,'Team Calendar'!$C$5:$C$14,AQ$4,'Team Calendar'!$F$5:$F$14,"Personal absence")=0),1,"")</x:f>
      </x:c>
      <x:c r="AR12" s="211" t="str">
        <x:f>IF(AND(ISNUMBER($D12),ISNUMBER($E12),AR$4&gt;=$D12,AR$4&lt;=$E12,NETWORKDAYS(AR$4,AR$4,'Sources &amp; Change Log'!$J$2:$J$5)=1,COUNTIFS('Team Calendar'!$A$5:$A$14,$F12,'Team Calendar'!$C$5:$C$14,AR$4,'Team Calendar'!$F$5:$F$14,"Personal absence")=0),1,"")</x:f>
      </x:c>
      <x:c r="AS12" s="211" t="str">
        <x:f>IF(AND(ISNUMBER($D12),ISNUMBER($E12),AS$4&gt;=$D12,AS$4&lt;=$E12,NETWORKDAYS(AS$4,AS$4,'Sources &amp; Change Log'!$J$2:$J$5)=1,COUNTIFS('Team Calendar'!$A$5:$A$14,$F12,'Team Calendar'!$C$5:$C$14,AS$4,'Team Calendar'!$F$5:$F$14,"Personal absence")=0),1,"")</x:f>
      </x:c>
      <x:c r="AT12" s="211" t="str">
        <x:f>IF(AND(ISNUMBER($D12),ISNUMBER($E12),AT$4&gt;=$D12,AT$4&lt;=$E12,NETWORKDAYS(AT$4,AT$4,'Sources &amp; Change Log'!$J$2:$J$5)=1,COUNTIFS('Team Calendar'!$A$5:$A$14,$F12,'Team Calendar'!$C$5:$C$14,AT$4,'Team Calendar'!$F$5:$F$14,"Personal absence")=0),1,"")</x:f>
      </x:c>
      <x:c r="AU12" s="211" t="str">
        <x:f>IF(AND(ISNUMBER($D12),ISNUMBER($E12),AU$4&gt;=$D12,AU$4&lt;=$E12,NETWORKDAYS(AU$4,AU$4,'Sources &amp; Change Log'!$J$2:$J$5)=1,COUNTIFS('Team Calendar'!$A$5:$A$14,$F12,'Team Calendar'!$C$5:$C$14,AU$4,'Team Calendar'!$F$5:$F$14,"Personal absence")=0),1,"")</x:f>
      </x:c>
      <x:c r="AV12" s="211" t="str">
        <x:f>IF(AND(ISNUMBER($D12),ISNUMBER($E12),AV$4&gt;=$D12,AV$4&lt;=$E12,NETWORKDAYS(AV$4,AV$4,'Sources &amp; Change Log'!$J$2:$J$5)=1,COUNTIFS('Team Calendar'!$A$5:$A$14,$F12,'Team Calendar'!$C$5:$C$14,AV$4,'Team Calendar'!$F$5:$F$14,"Personal absence")=0),1,"")</x:f>
      </x:c>
      <x:c r="AW12" s="211" t="str">
        <x:f>IF(AND(ISNUMBER($D12),ISNUMBER($E12),AW$4&gt;=$D12,AW$4&lt;=$E12,NETWORKDAYS(AW$4,AW$4,'Sources &amp; Change Log'!$J$2:$J$5)=1,COUNTIFS('Team Calendar'!$A$5:$A$14,$F12,'Team Calendar'!$C$5:$C$14,AW$4,'Team Calendar'!$F$5:$F$14,"Personal absence")=0),1,"")</x:f>
      </x:c>
      <x:c r="AX12" s="211" t="str">
        <x:f>IF(AND(ISNUMBER($D12),ISNUMBER($E12),AX$4&gt;=$D12,AX$4&lt;=$E12,NETWORKDAYS(AX$4,AX$4,'Sources &amp; Change Log'!$J$2:$J$5)=1,COUNTIFS('Team Calendar'!$A$5:$A$14,$F12,'Team Calendar'!$C$5:$C$14,AX$4,'Team Calendar'!$F$5:$F$14,"Personal absence")=0),1,"")</x:f>
      </x:c>
      <x:c r="AY12" s="206"/>
      <x:c r="AZ12" s="206"/>
    </x:row>
    <x:row r="13" ht="30" customHeight="1">
      <x:c r="A13" s="195" t="str">
        <x:f>WBS!A14</x:f>
        <x:v>P1-CICD-01</x:v>
      </x:c>
      <x:c r="B13" s="195" t="str">
        <x:f>WBS!B14</x:f>
        <x:v>GitHub Actions / Self-hosted Runner Delivery</x:v>
      </x:c>
      <x:c r="C13" s="195" t="str">
        <x:f>WBS!G14</x:f>
        <x:v>In Progress</x:v>
      </x:c>
      <x:c r="D13" s="225" t="n">
        <x:f>WBS!H14</x:f>
        <x:v>46266</x:v>
      </x:c>
      <x:c r="E13" s="225" t="n">
        <x:f>WBS!I14</x:f>
        <x:v>46283</x:v>
      </x:c>
      <x:c r="F13" s="13" t="str">
        <x:f>WBS!L14</x:f>
        <x:v>이권욱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8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n">
        <x:f>IF(AND(ISNUMBER($D13),ISNUMBER($E13),O$4&gt;=$D13,O$4&lt;=$E13,NETWORKDAYS(O$4,O$4,'Sources &amp; Change Log'!$J$2:$J$5)=1,COUNTIFS('Team Calendar'!$A$5:$A$14,$F13,'Team Calendar'!$C$5:$C$14,O$4,'Team Calendar'!$F$5:$F$14,"Personal absence")=0),1,"")</x:f>
        <x:v>1</x:v>
      </x:c>
      <x:c r="P13" s="210" t="n">
        <x:f>IF(AND(ISNUMBER($D13),ISNUMBER($E13),P$4&gt;=$D13,P$4&lt;=$E13,NETWORKDAYS(P$4,P$4,'Sources &amp; Change Log'!$J$2:$J$5)=1,COUNTIFS('Team Calendar'!$A$5:$A$14,$F13,'Team Calendar'!$C$5:$C$14,P$4,'Team Calendar'!$F$5:$F$14,"Personal absence")=0),1,"")</x:f>
        <x:v>1</x:v>
      </x:c>
      <x:c r="Q13" s="207" t="n">
        <x:f>IF(AND(ISNUMBER($D13),ISNUMBER($E13),Q$4&gt;=$D13,Q$4&lt;=$E13,NETWORKDAYS(Q$4,Q$4,'Sources &amp; Change Log'!$J$2:$J$5)=1,COUNTIFS('Team Calendar'!$A$5:$A$14,$F13,'Team Calendar'!$C$5:$C$14,Q$4,'Team Calendar'!$F$5:$F$14,"Personal absence")=0),1,"")</x:f>
        <x:v>1</x:v>
      </x:c>
      <x:c r="R13" s="207" t="n">
        <x:f>IF(AND(ISNUMBER($D13),ISNUMBER($E13),R$4&gt;=$D13,R$4&lt;=$E13,NETWORKDAYS(R$4,R$4,'Sources &amp; Change Log'!$J$2:$J$5)=1,COUNTIFS('Team Calendar'!$A$5:$A$14,$F13,'Team Calendar'!$C$5:$C$14,R$4,'Team Calendar'!$F$5:$F$14,"Personal absence")=0),1,"")</x:f>
        <x:v>1</x:v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n">
        <x:f>IF(AND(ISNUMBER($D13),ISNUMBER($E13),U$4&gt;=$D13,U$4&lt;=$E13,NETWORKDAYS(U$4,U$4,'Sources &amp; Change Log'!$J$2:$J$5)=1,COUNTIFS('Team Calendar'!$A$5:$A$14,$F13,'Team Calendar'!$C$5:$C$14,U$4,'Team Calendar'!$F$5:$F$14,"Personal absence")=0),1,"")</x:f>
        <x:v>1</x:v>
      </x:c>
      <x:c r="V13" s="207" t="n">
        <x:f>IF(AND(ISNUMBER($D13),ISNUMBER($E13),V$4&gt;=$D13,V$4&lt;=$E13,NETWORKDAYS(V$4,V$4,'Sources &amp; Change Log'!$J$2:$J$5)=1,COUNTIFS('Team Calendar'!$A$5:$A$14,$F13,'Team Calendar'!$C$5:$C$14,V$4,'Team Calendar'!$F$5:$F$14,"Personal absence")=0),1,"")</x:f>
        <x:v>1</x:v>
      </x:c>
      <x:c r="W13" s="207" t="n">
        <x:f>IF(AND(ISNUMBER($D13),ISNUMBER($E13),W$4&gt;=$D13,W$4&lt;=$E13,NETWORKDAYS(W$4,W$4,'Sources &amp; Change Log'!$J$2:$J$5)=1,COUNTIFS('Team Calendar'!$A$5:$A$14,$F13,'Team Calendar'!$C$5:$C$14,W$4,'Team Calendar'!$F$5:$F$14,"Personal absence")=0),1,"")</x:f>
        <x:v>1</x:v>
      </x:c>
      <x:c r="X13" s="207" t="n">
        <x:f>IF(AND(ISNUMBER($D13),ISNUMBER($E13),X$4&gt;=$D13,X$4&lt;=$E13,NETWORKDAYS(X$4,X$4,'Sources &amp; Change Log'!$J$2:$J$5)=1,COUNTIFS('Team Calendar'!$A$5:$A$14,$F13,'Team Calendar'!$C$5:$C$14,X$4,'Team Calendar'!$F$5:$F$14,"Personal absence")=0),1,"")</x:f>
        <x:v>1</x:v>
      </x:c>
      <x:c r="Y13" s="207" t="n">
        <x:f>IF(AND(ISNUMBER($D13),ISNUMBER($E13),Y$4&gt;=$D13,Y$4&lt;=$E13,NETWORKDAYS(Y$4,Y$4,'Sources &amp; Change Log'!$J$2:$J$5)=1,COUNTIFS('Team Calendar'!$A$5:$A$14,$F13,'Team Calendar'!$C$5:$C$14,Y$4,'Team Calendar'!$F$5:$F$14,"Personal absence")=0),1,"")</x:f>
        <x:v>1</x:v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n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  <x:v>1</x:v>
      </x:c>
      <x:c r="AC13" s="207" t="n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  <x:v>1</x:v>
      </x:c>
      <x:c r="AD13" s="207" t="n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  <x:v>1</x:v>
      </x:c>
      <x:c r="AE13" s="207" t="n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  <x:v>1</x:v>
      </x:c>
      <x:c r="AF13" s="207" t="n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  <x:v>1</x:v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11" t="str">
        <x:f>IF(AND(ISNUMBER($D13),ISNUMBER($E13),AJ$4&gt;=$D13,AJ$4&lt;=$E13,NETWORKDAYS(AJ$4,AJ$4,'Sources &amp; Change Log'!$J$2:$J$5)=1,COUNTIFS('Team Calendar'!$A$5:$A$14,$F13,'Team Calendar'!$C$5:$C$14,AJ$4,'Team Calendar'!$F$5:$F$14,"Personal absence")=0),1,"")</x:f>
      </x:c>
      <x:c r="AK13" s="211" t="str">
        <x:f>IF(AND(ISNUMBER($D13),ISNUMBER($E13),AK$4&gt;=$D13,AK$4&lt;=$E13,NETWORKDAYS(AK$4,AK$4,'Sources &amp; Change Log'!$J$2:$J$5)=1,COUNTIFS('Team Calendar'!$A$5:$A$14,$F13,'Team Calendar'!$C$5:$C$14,AK$4,'Team Calendar'!$F$5:$F$14,"Personal absence")=0),1,"")</x:f>
      </x:c>
      <x:c r="AL13" s="211" t="str">
        <x:f>IF(AND(ISNUMBER($D13),ISNUMBER($E13),AL$4&gt;=$D13,AL$4&lt;=$E13,NETWORKDAYS(AL$4,AL$4,'Sources &amp; Change Log'!$J$2:$J$5)=1,COUNTIFS('Team Calendar'!$A$5:$A$14,$F13,'Team Calendar'!$C$5:$C$14,AL$4,'Team Calendar'!$F$5:$F$14,"Personal absence")=0),1,"")</x:f>
      </x:c>
      <x:c r="AM13" s="211" t="str">
        <x:f>IF(AND(ISNUMBER($D13),ISNUMBER($E13),AM$4&gt;=$D13,AM$4&lt;=$E13,NETWORKDAYS(AM$4,AM$4,'Sources &amp; Change Log'!$J$2:$J$5)=1,COUNTIFS('Team Calendar'!$A$5:$A$14,$F13,'Team Calendar'!$C$5:$C$14,AM$4,'Team Calendar'!$F$5:$F$14,"Personal absence")=0),1,"")</x:f>
      </x:c>
      <x:c r="AN13" s="211" t="str">
        <x:f>IF(AND(ISNUMBER($D13),ISNUMBER($E13),AN$4&gt;=$D13,AN$4&lt;=$E13,NETWORKDAYS(AN$4,AN$4,'Sources &amp; Change Log'!$J$2:$J$5)=1,COUNTIFS('Team Calendar'!$A$5:$A$14,$F13,'Team Calendar'!$C$5:$C$14,AN$4,'Team Calendar'!$F$5:$F$14,"Personal absence")=0),1,"")</x:f>
      </x:c>
      <x:c r="AO13" s="211" t="str">
        <x:f>IF(AND(ISNUMBER($D13),ISNUMBER($E13),AO$4&gt;=$D13,AO$4&lt;=$E13,NETWORKDAYS(AO$4,AO$4,'Sources &amp; Change Log'!$J$2:$J$5)=1,COUNTIFS('Team Calendar'!$A$5:$A$14,$F13,'Team Calendar'!$C$5:$C$14,AO$4,'Team Calendar'!$F$5:$F$14,"Personal absence")=0),1,"")</x:f>
      </x:c>
      <x:c r="AP13" s="211" t="str">
        <x:f>IF(AND(ISNUMBER($D13),ISNUMBER($E13),AP$4&gt;=$D13,AP$4&lt;=$E13,NETWORKDAYS(AP$4,AP$4,'Sources &amp; Change Log'!$J$2:$J$5)=1,COUNTIFS('Team Calendar'!$A$5:$A$14,$F13,'Team Calendar'!$C$5:$C$14,AP$4,'Team Calendar'!$F$5:$F$14,"Personal absence")=0),1,"")</x:f>
      </x:c>
      <x:c r="AQ13" s="211" t="str">
        <x:f>IF(AND(ISNUMBER($D13),ISNUMBER($E13),AQ$4&gt;=$D13,AQ$4&lt;=$E13,NETWORKDAYS(AQ$4,AQ$4,'Sources &amp; Change Log'!$J$2:$J$5)=1,COUNTIFS('Team Calendar'!$A$5:$A$14,$F13,'Team Calendar'!$C$5:$C$14,AQ$4,'Team Calendar'!$F$5:$F$14,"Personal absence")=0),1,"")</x:f>
      </x:c>
      <x:c r="AR13" s="211" t="str">
        <x:f>IF(AND(ISNUMBER($D13),ISNUMBER($E13),AR$4&gt;=$D13,AR$4&lt;=$E13,NETWORKDAYS(AR$4,AR$4,'Sources &amp; Change Log'!$J$2:$J$5)=1,COUNTIFS('Team Calendar'!$A$5:$A$14,$F13,'Team Calendar'!$C$5:$C$14,AR$4,'Team Calendar'!$F$5:$F$14,"Personal absence")=0),1,"")</x:f>
      </x:c>
      <x:c r="AS13" s="211" t="str">
        <x:f>IF(AND(ISNUMBER($D13),ISNUMBER($E13),AS$4&gt;=$D13,AS$4&lt;=$E13,NETWORKDAYS(AS$4,AS$4,'Sources &amp; Change Log'!$J$2:$J$5)=1,COUNTIFS('Team Calendar'!$A$5:$A$14,$F13,'Team Calendar'!$C$5:$C$14,AS$4,'Team Calendar'!$F$5:$F$14,"Personal absence")=0),1,"")</x:f>
      </x:c>
      <x:c r="AT13" s="211" t="str">
        <x:f>IF(AND(ISNUMBER($D13),ISNUMBER($E13),AT$4&gt;=$D13,AT$4&lt;=$E13,NETWORKDAYS(AT$4,AT$4,'Sources &amp; Change Log'!$J$2:$J$5)=1,COUNTIFS('Team Calendar'!$A$5:$A$14,$F13,'Team Calendar'!$C$5:$C$14,AT$4,'Team Calendar'!$F$5:$F$14,"Personal absence")=0),1,"")</x:f>
      </x:c>
      <x:c r="AU13" s="211" t="str">
        <x:f>IF(AND(ISNUMBER($D13),ISNUMBER($E13),AU$4&gt;=$D13,AU$4&lt;=$E13,NETWORKDAYS(AU$4,AU$4,'Sources &amp; Change Log'!$J$2:$J$5)=1,COUNTIFS('Team Calendar'!$A$5:$A$14,$F13,'Team Calendar'!$C$5:$C$14,AU$4,'Team Calendar'!$F$5:$F$14,"Personal absence")=0),1,"")</x:f>
      </x:c>
      <x:c r="AV13" s="211" t="str">
        <x:f>IF(AND(ISNUMBER($D13),ISNUMBER($E13),AV$4&gt;=$D13,AV$4&lt;=$E13,NETWORKDAYS(AV$4,AV$4,'Sources &amp; Change Log'!$J$2:$J$5)=1,COUNTIFS('Team Calendar'!$A$5:$A$14,$F13,'Team Calendar'!$C$5:$C$14,AV$4,'Team Calendar'!$F$5:$F$14,"Personal absence")=0),1,"")</x:f>
      </x:c>
      <x:c r="AW13" s="211" t="str">
        <x:f>IF(AND(ISNUMBER($D13),ISNUMBER($E13),AW$4&gt;=$D13,AW$4&lt;=$E13,NETWORKDAYS(AW$4,AW$4,'Sources &amp; Change Log'!$J$2:$J$5)=1,COUNTIFS('Team Calendar'!$A$5:$A$14,$F13,'Team Calendar'!$C$5:$C$14,AW$4,'Team Calendar'!$F$5:$F$14,"Personal absence")=0),1,"")</x:f>
      </x:c>
      <x:c r="AX13" s="211" t="str">
        <x:f>IF(AND(ISNUMBER($D13),ISNUMBER($E13),AX$4&gt;=$D13,AX$4&lt;=$E13,NETWORKDAYS(AX$4,AX$4,'Sources &amp; Change Log'!$J$2:$J$5)=1,COUNTIFS('Team Calendar'!$A$5:$A$14,$F13,'Team Calendar'!$C$5:$C$14,AX$4,'Team Calendar'!$F$5:$F$14,"Personal absence")=0),1,"")</x:f>
      </x:c>
      <x:c r="AY13" s="206"/>
      <x:c r="AZ13" s="206"/>
    </x:row>
    <x:row r="14" ht="30" customHeight="1">
      <x:c r="A14" s="195" t="str">
        <x:f>WBS!A15</x:f>
        <x:v>P1-MON-01</x:v>
      </x:c>
      <x:c r="B14" s="195" t="str">
        <x:f>WBS!B15</x:f>
        <x:v>Kubernetes-Integrated Hybrid Monitoring 구축 및 검증</x:v>
      </x:c>
      <x:c r="C14" s="195" t="str">
        <x:f>WBS!G15</x:f>
        <x:v>In Progress</x:v>
      </x:c>
      <x:c r="D14" s="225" t="n">
        <x:f>WBS!H15</x:f>
        <x:v>46272</x:v>
      </x:c>
      <x:c r="E14" s="225" t="n">
        <x:f>WBS!I15</x:f>
        <x:v>46283</x:v>
      </x:c>
      <x:c r="F14" s="13" t="str">
        <x:f>WBS!L15</x:f>
        <x:v>이재환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8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n">
        <x:f>IF(AND(ISNUMBER($D14),ISNUMBER($E14),U$4&gt;=$D14,U$4&lt;=$E14,NETWORKDAYS(U$4,U$4,'Sources &amp; Change Log'!$J$2:$J$5)=1,COUNTIFS('Team Calendar'!$A$5:$A$14,$F14,'Team Calendar'!$C$5:$C$14,U$4,'Team Calendar'!$F$5:$F$14,"Personal absence")=0),1,"")</x:f>
        <x:v>1</x:v>
      </x:c>
      <x:c r="V14" s="207" t="n">
        <x:f>IF(AND(ISNUMBER($D14),ISNUMBER($E14),V$4&gt;=$D14,V$4&lt;=$E14,NETWORKDAYS(V$4,V$4,'Sources &amp; Change Log'!$J$2:$J$5)=1,COUNTIFS('Team Calendar'!$A$5:$A$14,$F14,'Team Calendar'!$C$5:$C$14,V$4,'Team Calendar'!$F$5:$F$14,"Personal absence")=0),1,"")</x:f>
        <x:v>1</x:v>
      </x:c>
      <x:c r="W14" s="207" t="n">
        <x:f>IF(AND(ISNUMBER($D14),ISNUMBER($E14),W$4&gt;=$D14,W$4&lt;=$E14,NETWORKDAYS(W$4,W$4,'Sources &amp; Change Log'!$J$2:$J$5)=1,COUNTIFS('Team Calendar'!$A$5:$A$14,$F14,'Team Calendar'!$C$5:$C$14,W$4,'Team Calendar'!$F$5:$F$14,"Personal absence")=0),1,"")</x:f>
        <x:v>1</x:v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n">
        <x:f>IF(AND(ISNUMBER($D14),ISNUMBER($E14),Y$4&gt;=$D14,Y$4&lt;=$E14,NETWORKDAYS(Y$4,Y$4,'Sources &amp; Change Log'!$J$2:$J$5)=1,COUNTIFS('Team Calendar'!$A$5:$A$14,$F14,'Team Calendar'!$C$5:$C$14,Y$4,'Team Calendar'!$F$5:$F$14,"Personal absence")=0),1,"")</x:f>
        <x:v>1</x:v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n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  <x:v>1</x:v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11" t="str">
        <x:f>IF(AND(ISNUMBER($D14),ISNUMBER($E14),AJ$4&gt;=$D14,AJ$4&lt;=$E14,NETWORKDAYS(AJ$4,AJ$4,'Sources &amp; Change Log'!$J$2:$J$5)=1,COUNTIFS('Team Calendar'!$A$5:$A$14,$F14,'Team Calendar'!$C$5:$C$14,AJ$4,'Team Calendar'!$F$5:$F$14,"Personal absence")=0),1,"")</x:f>
      </x:c>
      <x:c r="AK14" s="211" t="str">
        <x:f>IF(AND(ISNUMBER($D14),ISNUMBER($E14),AK$4&gt;=$D14,AK$4&lt;=$E14,NETWORKDAYS(AK$4,AK$4,'Sources &amp; Change Log'!$J$2:$J$5)=1,COUNTIFS('Team Calendar'!$A$5:$A$14,$F14,'Team Calendar'!$C$5:$C$14,AK$4,'Team Calendar'!$F$5:$F$14,"Personal absence")=0),1,"")</x:f>
      </x:c>
      <x:c r="AL14" s="211" t="str">
        <x:f>IF(AND(ISNUMBER($D14),ISNUMBER($E14),AL$4&gt;=$D14,AL$4&lt;=$E14,NETWORKDAYS(AL$4,AL$4,'Sources &amp; Change Log'!$J$2:$J$5)=1,COUNTIFS('Team Calendar'!$A$5:$A$14,$F14,'Team Calendar'!$C$5:$C$14,AL$4,'Team Calendar'!$F$5:$F$14,"Personal absence")=0),1,"")</x:f>
      </x:c>
      <x:c r="AM14" s="211" t="str">
        <x:f>IF(AND(ISNUMBER($D14),ISNUMBER($E14),AM$4&gt;=$D14,AM$4&lt;=$E14,NETWORKDAYS(AM$4,AM$4,'Sources &amp; Change Log'!$J$2:$J$5)=1,COUNTIFS('Team Calendar'!$A$5:$A$14,$F14,'Team Calendar'!$C$5:$C$14,AM$4,'Team Calendar'!$F$5:$F$14,"Personal absence")=0),1,"")</x:f>
      </x:c>
      <x:c r="AN14" s="211" t="str">
        <x:f>IF(AND(ISNUMBER($D14),ISNUMBER($E14),AN$4&gt;=$D14,AN$4&lt;=$E14,NETWORKDAYS(AN$4,AN$4,'Sources &amp; Change Log'!$J$2:$J$5)=1,COUNTIFS('Team Calendar'!$A$5:$A$14,$F14,'Team Calendar'!$C$5:$C$14,AN$4,'Team Calendar'!$F$5:$F$14,"Personal absence")=0),1,"")</x:f>
      </x:c>
      <x:c r="AO14" s="211" t="str">
        <x:f>IF(AND(ISNUMBER($D14),ISNUMBER($E14),AO$4&gt;=$D14,AO$4&lt;=$E14,NETWORKDAYS(AO$4,AO$4,'Sources &amp; Change Log'!$J$2:$J$5)=1,COUNTIFS('Team Calendar'!$A$5:$A$14,$F14,'Team Calendar'!$C$5:$C$14,AO$4,'Team Calendar'!$F$5:$F$14,"Personal absence")=0),1,"")</x:f>
      </x:c>
      <x:c r="AP14" s="211" t="str">
        <x:f>IF(AND(ISNUMBER($D14),ISNUMBER($E14),AP$4&gt;=$D14,AP$4&lt;=$E14,NETWORKDAYS(AP$4,AP$4,'Sources &amp; Change Log'!$J$2:$J$5)=1,COUNTIFS('Team Calendar'!$A$5:$A$14,$F14,'Team Calendar'!$C$5:$C$14,AP$4,'Team Calendar'!$F$5:$F$14,"Personal absence")=0),1,"")</x:f>
      </x:c>
      <x:c r="AQ14" s="211" t="str">
        <x:f>IF(AND(ISNUMBER($D14),ISNUMBER($E14),AQ$4&gt;=$D14,AQ$4&lt;=$E14,NETWORKDAYS(AQ$4,AQ$4,'Sources &amp; Change Log'!$J$2:$J$5)=1,COUNTIFS('Team Calendar'!$A$5:$A$14,$F14,'Team Calendar'!$C$5:$C$14,AQ$4,'Team Calendar'!$F$5:$F$14,"Personal absence")=0),1,"")</x:f>
      </x:c>
      <x:c r="AR14" s="211" t="str">
        <x:f>IF(AND(ISNUMBER($D14),ISNUMBER($E14),AR$4&gt;=$D14,AR$4&lt;=$E14,NETWORKDAYS(AR$4,AR$4,'Sources &amp; Change Log'!$J$2:$J$5)=1,COUNTIFS('Team Calendar'!$A$5:$A$14,$F14,'Team Calendar'!$C$5:$C$14,AR$4,'Team Calendar'!$F$5:$F$14,"Personal absence")=0),1,"")</x:f>
      </x:c>
      <x:c r="AS14" s="211" t="str">
        <x:f>IF(AND(ISNUMBER($D14),ISNUMBER($E14),AS$4&gt;=$D14,AS$4&lt;=$E14,NETWORKDAYS(AS$4,AS$4,'Sources &amp; Change Log'!$J$2:$J$5)=1,COUNTIFS('Team Calendar'!$A$5:$A$14,$F14,'Team Calendar'!$C$5:$C$14,AS$4,'Team Calendar'!$F$5:$F$14,"Personal absence")=0),1,"")</x:f>
      </x:c>
      <x:c r="AT14" s="211" t="str">
        <x:f>IF(AND(ISNUMBER($D14),ISNUMBER($E14),AT$4&gt;=$D14,AT$4&lt;=$E14,NETWORKDAYS(AT$4,AT$4,'Sources &amp; Change Log'!$J$2:$J$5)=1,COUNTIFS('Team Calendar'!$A$5:$A$14,$F14,'Team Calendar'!$C$5:$C$14,AT$4,'Team Calendar'!$F$5:$F$14,"Personal absence")=0),1,"")</x:f>
      </x:c>
      <x:c r="AU14" s="211" t="str">
        <x:f>IF(AND(ISNUMBER($D14),ISNUMBER($E14),AU$4&gt;=$D14,AU$4&lt;=$E14,NETWORKDAYS(AU$4,AU$4,'Sources &amp; Change Log'!$J$2:$J$5)=1,COUNTIFS('Team Calendar'!$A$5:$A$14,$F14,'Team Calendar'!$C$5:$C$14,AU$4,'Team Calendar'!$F$5:$F$14,"Personal absence")=0),1,"")</x:f>
      </x:c>
      <x:c r="AV14" s="211" t="str">
        <x:f>IF(AND(ISNUMBER($D14),ISNUMBER($E14),AV$4&gt;=$D14,AV$4&lt;=$E14,NETWORKDAYS(AV$4,AV$4,'Sources &amp; Change Log'!$J$2:$J$5)=1,COUNTIFS('Team Calendar'!$A$5:$A$14,$F14,'Team Calendar'!$C$5:$C$14,AV$4,'Team Calendar'!$F$5:$F$14,"Personal absence")=0),1,"")</x:f>
      </x:c>
      <x:c r="AW14" s="211" t="str">
        <x:f>IF(AND(ISNUMBER($D14),ISNUMBER($E14),AW$4&gt;=$D14,AW$4&lt;=$E14,NETWORKDAYS(AW$4,AW$4,'Sources &amp; Change Log'!$J$2:$J$5)=1,COUNTIFS('Team Calendar'!$A$5:$A$14,$F14,'Team Calendar'!$C$5:$C$14,AW$4,'Team Calendar'!$F$5:$F$14,"Personal absence")=0),1,"")</x:f>
      </x:c>
      <x:c r="AX14" s="211" t="str">
        <x:f>IF(AND(ISNUMBER($D14),ISNUMBER($E14),AX$4&gt;=$D14,AX$4&lt;=$E14,NETWORKDAYS(AX$4,AX$4,'Sources &amp; Change Log'!$J$2:$J$5)=1,COUNTIFS('Team Calendar'!$A$5:$A$14,$F14,'Team Calendar'!$C$5:$C$14,AX$4,'Team Calendar'!$F$5:$F$14,"Personal absence")=0),1,"")</x:f>
      </x:c>
      <x:c r="AY14" s="206"/>
      <x:c r="AZ14" s="206"/>
    </x:row>
    <x:row r="15" ht="30" customHeight="1">
      <x:c r="A15" s="195" t="str">
        <x:f>WBS!A16</x:f>
        <x:v>MS-G1-01</x:v>
      </x:c>
      <x:c r="B15" s="195" t="str">
        <x:f>WBS!B16</x:f>
        <x:v>G1 Infrastructure Ready</x:v>
      </x:c>
      <x:c r="C15" s="195" t="str">
        <x:f>WBS!G16</x:f>
        <x:v>To Do</x:v>
      </x:c>
      <x:c r="D15" s="225" t="n">
        <x:f>WBS!H16</x:f>
        <x:v>46282</x:v>
      </x:c>
      <x:c r="E15" s="225" t="n">
        <x:f>WBS!I16</x:f>
        <x:v>46282</x:v>
      </x:c>
      <x:c r="F15" s="13" t="str">
        <x:f>WBS!L16</x:f>
        <x:v>이권욱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8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str">
        <x:f>IF(AND(ISNUMBER($D15),ISNUMBER($E15),Y$4&gt;=$D15,Y$4&lt;=$E15,NETWORKDAYS(Y$4,Y$4,'Sources &amp; Change Log'!$J$2:$J$5)=1,COUNTIFS('Team Calendar'!$A$5:$A$14,$F15,'Team Calendar'!$C$5:$C$14,Y$4,'Team Calendar'!$F$5:$F$14,"Personal absence")=0),1,"")</x:f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str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n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  <x:v>1</x:v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11" t="str">
        <x:f>IF(AND(ISNUMBER($D15),ISNUMBER($E15),AJ$4&gt;=$D15,AJ$4&lt;=$E15,NETWORKDAYS(AJ$4,AJ$4,'Sources &amp; Change Log'!$J$2:$J$5)=1,COUNTIFS('Team Calendar'!$A$5:$A$14,$F15,'Team Calendar'!$C$5:$C$14,AJ$4,'Team Calendar'!$F$5:$F$14,"Personal absence")=0),1,"")</x:f>
      </x:c>
      <x:c r="AK15" s="211" t="str">
        <x:f>IF(AND(ISNUMBER($D15),ISNUMBER($E15),AK$4&gt;=$D15,AK$4&lt;=$E15,NETWORKDAYS(AK$4,AK$4,'Sources &amp; Change Log'!$J$2:$J$5)=1,COUNTIFS('Team Calendar'!$A$5:$A$14,$F15,'Team Calendar'!$C$5:$C$14,AK$4,'Team Calendar'!$F$5:$F$14,"Personal absence")=0),1,"")</x:f>
      </x:c>
      <x:c r="AL15" s="211" t="str">
        <x:f>IF(AND(ISNUMBER($D15),ISNUMBER($E15),AL$4&gt;=$D15,AL$4&lt;=$E15,NETWORKDAYS(AL$4,AL$4,'Sources &amp; Change Log'!$J$2:$J$5)=1,COUNTIFS('Team Calendar'!$A$5:$A$14,$F15,'Team Calendar'!$C$5:$C$14,AL$4,'Team Calendar'!$F$5:$F$14,"Personal absence")=0),1,"")</x:f>
      </x:c>
      <x:c r="AM15" s="211" t="str">
        <x:f>IF(AND(ISNUMBER($D15),ISNUMBER($E15),AM$4&gt;=$D15,AM$4&lt;=$E15,NETWORKDAYS(AM$4,AM$4,'Sources &amp; Change Log'!$J$2:$J$5)=1,COUNTIFS('Team Calendar'!$A$5:$A$14,$F15,'Team Calendar'!$C$5:$C$14,AM$4,'Team Calendar'!$F$5:$F$14,"Personal absence")=0),1,"")</x:f>
      </x:c>
      <x:c r="AN15" s="211" t="str">
        <x:f>IF(AND(ISNUMBER($D15),ISNUMBER($E15),AN$4&gt;=$D15,AN$4&lt;=$E15,NETWORKDAYS(AN$4,AN$4,'Sources &amp; Change Log'!$J$2:$J$5)=1,COUNTIFS('Team Calendar'!$A$5:$A$14,$F15,'Team Calendar'!$C$5:$C$14,AN$4,'Team Calendar'!$F$5:$F$14,"Personal absence")=0),1,"")</x:f>
      </x:c>
      <x:c r="AO15" s="211" t="str">
        <x:f>IF(AND(ISNUMBER($D15),ISNUMBER($E15),AO$4&gt;=$D15,AO$4&lt;=$E15,NETWORKDAYS(AO$4,AO$4,'Sources &amp; Change Log'!$J$2:$J$5)=1,COUNTIFS('Team Calendar'!$A$5:$A$14,$F15,'Team Calendar'!$C$5:$C$14,AO$4,'Team Calendar'!$F$5:$F$14,"Personal absence")=0),1,"")</x:f>
      </x:c>
      <x:c r="AP15" s="211" t="str">
        <x:f>IF(AND(ISNUMBER($D15),ISNUMBER($E15),AP$4&gt;=$D15,AP$4&lt;=$E15,NETWORKDAYS(AP$4,AP$4,'Sources &amp; Change Log'!$J$2:$J$5)=1,COUNTIFS('Team Calendar'!$A$5:$A$14,$F15,'Team Calendar'!$C$5:$C$14,AP$4,'Team Calendar'!$F$5:$F$14,"Personal absence")=0),1,"")</x:f>
      </x:c>
      <x:c r="AQ15" s="211" t="str">
        <x:f>IF(AND(ISNUMBER($D15),ISNUMBER($E15),AQ$4&gt;=$D15,AQ$4&lt;=$E15,NETWORKDAYS(AQ$4,AQ$4,'Sources &amp; Change Log'!$J$2:$J$5)=1,COUNTIFS('Team Calendar'!$A$5:$A$14,$F15,'Team Calendar'!$C$5:$C$14,AQ$4,'Team Calendar'!$F$5:$F$14,"Personal absence")=0),1,"")</x:f>
      </x:c>
      <x:c r="AR15" s="211" t="str">
        <x:f>IF(AND(ISNUMBER($D15),ISNUMBER($E15),AR$4&gt;=$D15,AR$4&lt;=$E15,NETWORKDAYS(AR$4,AR$4,'Sources &amp; Change Log'!$J$2:$J$5)=1,COUNTIFS('Team Calendar'!$A$5:$A$14,$F15,'Team Calendar'!$C$5:$C$14,AR$4,'Team Calendar'!$F$5:$F$14,"Personal absence")=0),1,"")</x:f>
      </x:c>
      <x:c r="AS15" s="211" t="str">
        <x:f>IF(AND(ISNUMBER($D15),ISNUMBER($E15),AS$4&gt;=$D15,AS$4&lt;=$E15,NETWORKDAYS(AS$4,AS$4,'Sources &amp; Change Log'!$J$2:$J$5)=1,COUNTIFS('Team Calendar'!$A$5:$A$14,$F15,'Team Calendar'!$C$5:$C$14,AS$4,'Team Calendar'!$F$5:$F$14,"Personal absence")=0),1,"")</x:f>
      </x:c>
      <x:c r="AT15" s="211" t="str">
        <x:f>IF(AND(ISNUMBER($D15),ISNUMBER($E15),AT$4&gt;=$D15,AT$4&lt;=$E15,NETWORKDAYS(AT$4,AT$4,'Sources &amp; Change Log'!$J$2:$J$5)=1,COUNTIFS('Team Calendar'!$A$5:$A$14,$F15,'Team Calendar'!$C$5:$C$14,AT$4,'Team Calendar'!$F$5:$F$14,"Personal absence")=0),1,"")</x:f>
      </x:c>
      <x:c r="AU15" s="211" t="str">
        <x:f>IF(AND(ISNUMBER($D15),ISNUMBER($E15),AU$4&gt;=$D15,AU$4&lt;=$E15,NETWORKDAYS(AU$4,AU$4,'Sources &amp; Change Log'!$J$2:$J$5)=1,COUNTIFS('Team Calendar'!$A$5:$A$14,$F15,'Team Calendar'!$C$5:$C$14,AU$4,'Team Calendar'!$F$5:$F$14,"Personal absence")=0),1,"")</x:f>
      </x:c>
      <x:c r="AV15" s="211" t="str">
        <x:f>IF(AND(ISNUMBER($D15),ISNUMBER($E15),AV$4&gt;=$D15,AV$4&lt;=$E15,NETWORKDAYS(AV$4,AV$4,'Sources &amp; Change Log'!$J$2:$J$5)=1,COUNTIFS('Team Calendar'!$A$5:$A$14,$F15,'Team Calendar'!$C$5:$C$14,AV$4,'Team Calendar'!$F$5:$F$14,"Personal absence")=0),1,"")</x:f>
      </x:c>
      <x:c r="AW15" s="211" t="str">
        <x:f>IF(AND(ISNUMBER($D15),ISNUMBER($E15),AW$4&gt;=$D15,AW$4&lt;=$E15,NETWORKDAYS(AW$4,AW$4,'Sources &amp; Change Log'!$J$2:$J$5)=1,COUNTIFS('Team Calendar'!$A$5:$A$14,$F15,'Team Calendar'!$C$5:$C$14,AW$4,'Team Calendar'!$F$5:$F$14,"Personal absence")=0),1,"")</x:f>
      </x:c>
      <x:c r="AX15" s="211" t="str">
        <x:f>IF(AND(ISNUMBER($D15),ISNUMBER($E15),AX$4&gt;=$D15,AX$4&lt;=$E15,NETWORKDAYS(AX$4,AX$4,'Sources &amp; Change Log'!$J$2:$J$5)=1,COUNTIFS('Team Calendar'!$A$5:$A$14,$F15,'Team Calendar'!$C$5:$C$14,AX$4,'Team Calendar'!$F$5:$F$14,"Personal absence")=0),1,"")</x:f>
      </x:c>
      <x:c r="AY15" s="206"/>
      <x:c r="AZ15" s="206"/>
    </x:row>
    <x:row r="16" ht="30" customHeight="1">
      <x:c r="A16" s="195" t="str">
        <x:f>WBS!A17</x:f>
        <x:v>P1-SEC-01</x:v>
      </x:c>
      <x:c r="B16" s="195" t="str">
        <x:f>WBS!B17</x:f>
        <x:v>Kubernetes Security Controls</x:v>
      </x:c>
      <x:c r="C16" s="195" t="str">
        <x:f>WBS!G17</x:f>
        <x:v>In Progress</x:v>
      </x:c>
      <x:c r="D16" s="225" t="n">
        <x:f>WBS!H17</x:f>
        <x:v>46269</x:v>
      </x:c>
      <x:c r="E16" s="225" t="n">
        <x:f>WBS!I17</x:f>
        <x:v>46286</x:v>
      </x:c>
      <x:c r="F16" s="13" t="str">
        <x:f>WBS!L17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8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10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n">
        <x:f>IF(AND(ISNUMBER($D16),ISNUMBER($E16),R$4&gt;=$D16,R$4&lt;=$E16,NETWORKDAYS(R$4,R$4,'Sources &amp; Change Log'!$J$2:$J$5)=1,COUNTIFS('Team Calendar'!$A$5:$A$14,$F16,'Team Calendar'!$C$5:$C$14,R$4,'Team Calendar'!$F$5:$F$14,"Personal absence")=0),1,"")</x:f>
        <x:v>1</x:v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n">
        <x:f>IF(AND(ISNUMBER($D16),ISNUMBER($E16),U$4&gt;=$D16,U$4&lt;=$E16,NETWORKDAYS(U$4,U$4,'Sources &amp; Change Log'!$J$2:$J$5)=1,COUNTIFS('Team Calendar'!$A$5:$A$14,$F16,'Team Calendar'!$C$5:$C$14,U$4,'Team Calendar'!$F$5:$F$14,"Personal absence")=0),1,"")</x:f>
        <x:v>1</x:v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n">
        <x:f>IF(AND(ISNUMBER($D16),ISNUMBER($E16),W$4&gt;=$D16,W$4&lt;=$E16,NETWORKDAYS(W$4,W$4,'Sources &amp; Change Log'!$J$2:$J$5)=1,COUNTIFS('Team Calendar'!$A$5:$A$14,$F16,'Team Calendar'!$C$5:$C$14,W$4,'Team Calendar'!$F$5:$F$14,"Personal absence")=0),1,"")</x:f>
        <x:v>1</x:v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n">
        <x:f>IF(AND(ISNUMBER($D16),ISNUMBER($E16),Y$4&gt;=$D16,Y$4&lt;=$E16,NETWORKDAYS(Y$4,Y$4,'Sources &amp; Change Log'!$J$2:$J$5)=1,COUNTIFS('Team Calendar'!$A$5:$A$14,$F16,'Team Calendar'!$C$5:$C$14,Y$4,'Team Calendar'!$F$5:$F$14,"Personal absence")=0),1,"")</x:f>
        <x:v>1</x:v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n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  <x:v>1</x:v>
      </x:c>
      <x:c r="AC16" s="207" t="n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  <x:v>1</x:v>
      </x:c>
      <x:c r="AD16" s="207" t="n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  <x:v>1</x:v>
      </x:c>
      <x:c r="AE16" s="207" t="n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  <x:v>1</x:v>
      </x:c>
      <x:c r="AF16" s="207" t="n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  <x:v>1</x:v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n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  <x:v>1</x:v>
      </x:c>
      <x:c r="AJ16" s="211" t="str">
        <x:f>IF(AND(ISNUMBER($D16),ISNUMBER($E16),AJ$4&gt;=$D16,AJ$4&lt;=$E16,NETWORKDAYS(AJ$4,AJ$4,'Sources &amp; Change Log'!$J$2:$J$5)=1,COUNTIFS('Team Calendar'!$A$5:$A$14,$F16,'Team Calendar'!$C$5:$C$14,AJ$4,'Team Calendar'!$F$5:$F$14,"Personal absence")=0),1,"")</x:f>
      </x:c>
      <x:c r="AK16" s="211" t="str">
        <x:f>IF(AND(ISNUMBER($D16),ISNUMBER($E16),AK$4&gt;=$D16,AK$4&lt;=$E16,NETWORKDAYS(AK$4,AK$4,'Sources &amp; Change Log'!$J$2:$J$5)=1,COUNTIFS('Team Calendar'!$A$5:$A$14,$F16,'Team Calendar'!$C$5:$C$14,AK$4,'Team Calendar'!$F$5:$F$14,"Personal absence")=0),1,"")</x:f>
      </x:c>
      <x:c r="AL16" s="211" t="str">
        <x:f>IF(AND(ISNUMBER($D16),ISNUMBER($E16),AL$4&gt;=$D16,AL$4&lt;=$E16,NETWORKDAYS(AL$4,AL$4,'Sources &amp; Change Log'!$J$2:$J$5)=1,COUNTIFS('Team Calendar'!$A$5:$A$14,$F16,'Team Calendar'!$C$5:$C$14,AL$4,'Team Calendar'!$F$5:$F$14,"Personal absence")=0),1,"")</x:f>
      </x:c>
      <x:c r="AM16" s="211" t="str">
        <x:f>IF(AND(ISNUMBER($D16),ISNUMBER($E16),AM$4&gt;=$D16,AM$4&lt;=$E16,NETWORKDAYS(AM$4,AM$4,'Sources &amp; Change Log'!$J$2:$J$5)=1,COUNTIFS('Team Calendar'!$A$5:$A$14,$F16,'Team Calendar'!$C$5:$C$14,AM$4,'Team Calendar'!$F$5:$F$14,"Personal absence")=0),1,"")</x:f>
      </x:c>
      <x:c r="AN16" s="211" t="str">
        <x:f>IF(AND(ISNUMBER($D16),ISNUMBER($E16),AN$4&gt;=$D16,AN$4&lt;=$E16,NETWORKDAYS(AN$4,AN$4,'Sources &amp; Change Log'!$J$2:$J$5)=1,COUNTIFS('Team Calendar'!$A$5:$A$14,$F16,'Team Calendar'!$C$5:$C$14,AN$4,'Team Calendar'!$F$5:$F$14,"Personal absence")=0),1,"")</x:f>
      </x:c>
      <x:c r="AO16" s="211" t="str">
        <x:f>IF(AND(ISNUMBER($D16),ISNUMBER($E16),AO$4&gt;=$D16,AO$4&lt;=$E16,NETWORKDAYS(AO$4,AO$4,'Sources &amp; Change Log'!$J$2:$J$5)=1,COUNTIFS('Team Calendar'!$A$5:$A$14,$F16,'Team Calendar'!$C$5:$C$14,AO$4,'Team Calendar'!$F$5:$F$14,"Personal absence")=0),1,"")</x:f>
      </x:c>
      <x:c r="AP16" s="211" t="str">
        <x:f>IF(AND(ISNUMBER($D16),ISNUMBER($E16),AP$4&gt;=$D16,AP$4&lt;=$E16,NETWORKDAYS(AP$4,AP$4,'Sources &amp; Change Log'!$J$2:$J$5)=1,COUNTIFS('Team Calendar'!$A$5:$A$14,$F16,'Team Calendar'!$C$5:$C$14,AP$4,'Team Calendar'!$F$5:$F$14,"Personal absence")=0),1,"")</x:f>
      </x:c>
      <x:c r="AQ16" s="211" t="str">
        <x:f>IF(AND(ISNUMBER($D16),ISNUMBER($E16),AQ$4&gt;=$D16,AQ$4&lt;=$E16,NETWORKDAYS(AQ$4,AQ$4,'Sources &amp; Change Log'!$J$2:$J$5)=1,COUNTIFS('Team Calendar'!$A$5:$A$14,$F16,'Team Calendar'!$C$5:$C$14,AQ$4,'Team Calendar'!$F$5:$F$14,"Personal absence")=0),1,"")</x:f>
      </x:c>
      <x:c r="AR16" s="211" t="str">
        <x:f>IF(AND(ISNUMBER($D16),ISNUMBER($E16),AR$4&gt;=$D16,AR$4&lt;=$E16,NETWORKDAYS(AR$4,AR$4,'Sources &amp; Change Log'!$J$2:$J$5)=1,COUNTIFS('Team Calendar'!$A$5:$A$14,$F16,'Team Calendar'!$C$5:$C$14,AR$4,'Team Calendar'!$F$5:$F$14,"Personal absence")=0),1,"")</x:f>
      </x:c>
      <x:c r="AS16" s="211" t="str">
        <x:f>IF(AND(ISNUMBER($D16),ISNUMBER($E16),AS$4&gt;=$D16,AS$4&lt;=$E16,NETWORKDAYS(AS$4,AS$4,'Sources &amp; Change Log'!$J$2:$J$5)=1,COUNTIFS('Team Calendar'!$A$5:$A$14,$F16,'Team Calendar'!$C$5:$C$14,AS$4,'Team Calendar'!$F$5:$F$14,"Personal absence")=0),1,"")</x:f>
      </x:c>
      <x:c r="AT16" s="211" t="str">
        <x:f>IF(AND(ISNUMBER($D16),ISNUMBER($E16),AT$4&gt;=$D16,AT$4&lt;=$E16,NETWORKDAYS(AT$4,AT$4,'Sources &amp; Change Log'!$J$2:$J$5)=1,COUNTIFS('Team Calendar'!$A$5:$A$14,$F16,'Team Calendar'!$C$5:$C$14,AT$4,'Team Calendar'!$F$5:$F$14,"Personal absence")=0),1,"")</x:f>
      </x:c>
      <x:c r="AU16" s="211" t="str">
        <x:f>IF(AND(ISNUMBER($D16),ISNUMBER($E16),AU$4&gt;=$D16,AU$4&lt;=$E16,NETWORKDAYS(AU$4,AU$4,'Sources &amp; Change Log'!$J$2:$J$5)=1,COUNTIFS('Team Calendar'!$A$5:$A$14,$F16,'Team Calendar'!$C$5:$C$14,AU$4,'Team Calendar'!$F$5:$F$14,"Personal absence")=0),1,"")</x:f>
      </x:c>
      <x:c r="AV16" s="211" t="str">
        <x:f>IF(AND(ISNUMBER($D16),ISNUMBER($E16),AV$4&gt;=$D16,AV$4&lt;=$E16,NETWORKDAYS(AV$4,AV$4,'Sources &amp; Change Log'!$J$2:$J$5)=1,COUNTIFS('Team Calendar'!$A$5:$A$14,$F16,'Team Calendar'!$C$5:$C$14,AV$4,'Team Calendar'!$F$5:$F$14,"Personal absence")=0),1,"")</x:f>
      </x:c>
      <x:c r="AW16" s="211" t="str">
        <x:f>IF(AND(ISNUMBER($D16),ISNUMBER($E16),AW$4&gt;=$D16,AW$4&lt;=$E16,NETWORKDAYS(AW$4,AW$4,'Sources &amp; Change Log'!$J$2:$J$5)=1,COUNTIFS('Team Calendar'!$A$5:$A$14,$F16,'Team Calendar'!$C$5:$C$14,AW$4,'Team Calendar'!$F$5:$F$14,"Personal absence")=0),1,"")</x:f>
      </x:c>
      <x:c r="AX16" s="211" t="str">
        <x:f>IF(AND(ISNUMBER($D16),ISNUMBER($E16),AX$4&gt;=$D16,AX$4&lt;=$E16,NETWORKDAYS(AX$4,AX$4,'Sources &amp; Change Log'!$J$2:$J$5)=1,COUNTIFS('Team Calendar'!$A$5:$A$14,$F16,'Team Calendar'!$C$5:$C$14,AX$4,'Team Calendar'!$F$5:$F$14,"Personal absence")=0),1,"")</x:f>
      </x:c>
      <x:c r="AY16" s="206"/>
      <x:c r="AZ16" s="206"/>
    </x:row>
    <x:row r="17" ht="30" customHeight="1">
      <x:c r="A17" s="195" t="str">
        <x:f>WBS!A18</x:f>
        <x:v>P1-E2E-01</x:v>
      </x:c>
      <x:c r="B17" s="195" t="str">
        <x:f>WBS!B18</x:f>
        <x:v>Initial / Final E2E &amp; Regression</x:v>
      </x:c>
      <x:c r="C17" s="195" t="str">
        <x:f>WBS!G18</x:f>
        <x:v>In Progress</x:v>
      </x:c>
      <x:c r="D17" s="225" t="n">
        <x:f>WBS!H18</x:f>
        <x:v>46276</x:v>
      </x:c>
      <x:c r="E17" s="225" t="n">
        <x:f>WBS!I18</x:f>
        <x:v>46297</x:v>
      </x:c>
      <x:c r="F17" s="13" t="str">
        <x:f>WBS!L18</x:f>
        <x:v>이재환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8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9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n">
        <x:f>IF(AND(ISNUMBER($D17),ISNUMBER($E17),Y$4&gt;=$D17,Y$4&lt;=$E17,NETWORKDAYS(Y$4,Y$4,'Sources &amp; Change Log'!$J$2:$J$5)=1,COUNTIFS('Team Calendar'!$A$5:$A$14,$F17,'Team Calendar'!$C$5:$C$14,Y$4,'Team Calendar'!$F$5:$F$14,"Personal absence")=0),1,"")</x:f>
        <x:v>1</x:v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str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n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  <x:v>1</x:v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n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  <x:v>1</x:v>
      </x:c>
      <x:c r="AJ17" s="211" t="n">
        <x:f>IF(AND(ISNUMBER($D17),ISNUMBER($E17),AJ$4&gt;=$D17,AJ$4&lt;=$E17,NETWORKDAYS(AJ$4,AJ$4,'Sources &amp; Change Log'!$J$2:$J$5)=1,COUNTIFS('Team Calendar'!$A$5:$A$14,$F17,'Team Calendar'!$C$5:$C$14,AJ$4,'Team Calendar'!$F$5:$F$14,"Personal absence")=0),1,"")</x:f>
        <x:v>1</x:v>
      </x:c>
      <x:c r="AK17" s="211" t="n">
        <x:f>IF(AND(ISNUMBER($D17),ISNUMBER($E17),AK$4&gt;=$D17,AK$4&lt;=$E17,NETWORKDAYS(AK$4,AK$4,'Sources &amp; Change Log'!$J$2:$J$5)=1,COUNTIFS('Team Calendar'!$A$5:$A$14,$F17,'Team Calendar'!$C$5:$C$14,AK$4,'Team Calendar'!$F$5:$F$14,"Personal absence")=0),1,"")</x:f>
        <x:v>1</x:v>
      </x:c>
      <x:c r="AL17" s="211" t="str">
        <x:f>IF(AND(ISNUMBER($D17),ISNUMBER($E17),AL$4&gt;=$D17,AL$4&lt;=$E17,NETWORKDAYS(AL$4,AL$4,'Sources &amp; Change Log'!$J$2:$J$5)=1,COUNTIFS('Team Calendar'!$A$5:$A$14,$F17,'Team Calendar'!$C$5:$C$14,AL$4,'Team Calendar'!$F$5:$F$14,"Personal absence")=0),1,"")</x:f>
      </x:c>
      <x:c r="AM17" s="211" t="str">
        <x:f>IF(AND(ISNUMBER($D17),ISNUMBER($E17),AM$4&gt;=$D17,AM$4&lt;=$E17,NETWORKDAYS(AM$4,AM$4,'Sources &amp; Change Log'!$J$2:$J$5)=1,COUNTIFS('Team Calendar'!$A$5:$A$14,$F17,'Team Calendar'!$C$5:$C$14,AM$4,'Team Calendar'!$F$5:$F$14,"Personal absence")=0),1,"")</x:f>
      </x:c>
      <x:c r="AN17" s="211" t="str">
        <x:f>IF(AND(ISNUMBER($D17),ISNUMBER($E17),AN$4&gt;=$D17,AN$4&lt;=$E17,NETWORKDAYS(AN$4,AN$4,'Sources &amp; Change Log'!$J$2:$J$5)=1,COUNTIFS('Team Calendar'!$A$5:$A$14,$F17,'Team Calendar'!$C$5:$C$14,AN$4,'Team Calendar'!$F$5:$F$14,"Personal absence")=0),1,"")</x:f>
      </x:c>
      <x:c r="AO17" s="211" t="str">
        <x:f>IF(AND(ISNUMBER($D17),ISNUMBER($E17),AO$4&gt;=$D17,AO$4&lt;=$E17,NETWORKDAYS(AO$4,AO$4,'Sources &amp; Change Log'!$J$2:$J$5)=1,COUNTIFS('Team Calendar'!$A$5:$A$14,$F17,'Team Calendar'!$C$5:$C$14,AO$4,'Team Calendar'!$F$5:$F$14,"Personal absence")=0),1,"")</x:f>
      </x:c>
      <x:c r="AP17" s="211" t="str">
        <x:f>IF(AND(ISNUMBER($D17),ISNUMBER($E17),AP$4&gt;=$D17,AP$4&lt;=$E17,NETWORKDAYS(AP$4,AP$4,'Sources &amp; Change Log'!$J$2:$J$5)=1,COUNTIFS('Team Calendar'!$A$5:$A$14,$F17,'Team Calendar'!$C$5:$C$14,AP$4,'Team Calendar'!$F$5:$F$14,"Personal absence")=0),1,"")</x:f>
      </x:c>
      <x:c r="AQ17" s="211" t="n">
        <x:f>IF(AND(ISNUMBER($D17),ISNUMBER($E17),AQ$4&gt;=$D17,AQ$4&lt;=$E17,NETWORKDAYS(AQ$4,AQ$4,'Sources &amp; Change Log'!$J$2:$J$5)=1,COUNTIFS('Team Calendar'!$A$5:$A$14,$F17,'Team Calendar'!$C$5:$C$14,AQ$4,'Team Calendar'!$F$5:$F$14,"Personal absence")=0),1,"")</x:f>
        <x:v>1</x:v>
      </x:c>
      <x:c r="AR17" s="211" t="n">
        <x:f>IF(AND(ISNUMBER($D17),ISNUMBER($E17),AR$4&gt;=$D17,AR$4&lt;=$E17,NETWORKDAYS(AR$4,AR$4,'Sources &amp; Change Log'!$J$2:$J$5)=1,COUNTIFS('Team Calendar'!$A$5:$A$14,$F17,'Team Calendar'!$C$5:$C$14,AR$4,'Team Calendar'!$F$5:$F$14,"Personal absence")=0),1,"")</x:f>
        <x:v>1</x:v>
      </x:c>
      <x:c r="AS17" s="211" t="n">
        <x:f>IF(AND(ISNUMBER($D17),ISNUMBER($E17),AS$4&gt;=$D17,AS$4&lt;=$E17,NETWORKDAYS(AS$4,AS$4,'Sources &amp; Change Log'!$J$2:$J$5)=1,COUNTIFS('Team Calendar'!$A$5:$A$14,$F17,'Team Calendar'!$C$5:$C$14,AS$4,'Team Calendar'!$F$5:$F$14,"Personal absence")=0),1,"")</x:f>
        <x:v>1</x:v>
      </x:c>
      <x:c r="AT17" s="211" t="n">
        <x:f>IF(AND(ISNUMBER($D17),ISNUMBER($E17),AT$4&gt;=$D17,AT$4&lt;=$E17,NETWORKDAYS(AT$4,AT$4,'Sources &amp; Change Log'!$J$2:$J$5)=1,COUNTIFS('Team Calendar'!$A$5:$A$14,$F17,'Team Calendar'!$C$5:$C$14,AT$4,'Team Calendar'!$F$5:$F$14,"Personal absence")=0),1,"")</x:f>
        <x:v>1</x:v>
      </x:c>
      <x:c r="AU17" s="211" t="str">
        <x:f>IF(AND(ISNUMBER($D17),ISNUMBER($E17),AU$4&gt;=$D17,AU$4&lt;=$E17,NETWORKDAYS(AU$4,AU$4,'Sources &amp; Change Log'!$J$2:$J$5)=1,COUNTIFS('Team Calendar'!$A$5:$A$14,$F17,'Team Calendar'!$C$5:$C$14,AU$4,'Team Calendar'!$F$5:$F$14,"Personal absence")=0),1,"")</x:f>
      </x:c>
      <x:c r="AV17" s="211" t="str">
        <x:f>IF(AND(ISNUMBER($D17),ISNUMBER($E17),AV$4&gt;=$D17,AV$4&lt;=$E17,NETWORKDAYS(AV$4,AV$4,'Sources &amp; Change Log'!$J$2:$J$5)=1,COUNTIFS('Team Calendar'!$A$5:$A$14,$F17,'Team Calendar'!$C$5:$C$14,AV$4,'Team Calendar'!$F$5:$F$14,"Personal absence")=0),1,"")</x:f>
      </x:c>
      <x:c r="AW17" s="211" t="str">
        <x:f>IF(AND(ISNUMBER($D17),ISNUMBER($E17),AW$4&gt;=$D17,AW$4&lt;=$E17,NETWORKDAYS(AW$4,AW$4,'Sources &amp; Change Log'!$J$2:$J$5)=1,COUNTIFS('Team Calendar'!$A$5:$A$14,$F17,'Team Calendar'!$C$5:$C$14,AW$4,'Team Calendar'!$F$5:$F$14,"Personal absence")=0),1,"")</x:f>
      </x:c>
      <x:c r="AX17" s="211" t="str">
        <x:f>IF(AND(ISNUMBER($D17),ISNUMBER($E17),AX$4&gt;=$D17,AX$4&lt;=$E17,NETWORKDAYS(AX$4,AX$4,'Sources &amp; Change Log'!$J$2:$J$5)=1,COUNTIFS('Team Calendar'!$A$5:$A$14,$F17,'Team Calendar'!$C$5:$C$14,AX$4,'Team Calendar'!$F$5:$F$14,"Personal absence")=0),1,"")</x:f>
      </x:c>
      <x:c r="AY17" s="206"/>
      <x:c r="AZ17" s="206"/>
    </x:row>
    <x:row r="18" ht="30" customHeight="1">
      <x:c r="A18" s="195" t="str">
        <x:f>WBS!A19</x:f>
        <x:v>P1-DR-01</x:v>
      </x:c>
      <x:c r="B18" s="195" t="str">
        <x:f>WBS!B19</x:f>
        <x:v>PostgreSQL Backup / Restore</x:v>
      </x:c>
      <x:c r="C18" s="195" t="str">
        <x:f>WBS!G19</x:f>
        <x:v>In Progress</x:v>
      </x:c>
      <x:c r="D18" s="225" t="n">
        <x:f>WBS!H19</x:f>
        <x:v>46276</x:v>
      </x:c>
      <x:c r="E18" s="225" t="n">
        <x:f>WBS!I19</x:f>
        <x:v>46297</x:v>
      </x:c>
      <x:c r="F18" s="13" t="str">
        <x:f>WBS!L19</x:f>
        <x:v>이재환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8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n">
        <x:f>IF(AND(ISNUMBER($D18),ISNUMBER($E18),Y$4&gt;=$D18,Y$4&lt;=$E18,NETWORKDAYS(Y$4,Y$4,'Sources &amp; Change Log'!$J$2:$J$5)=1,COUNTIFS('Team Calendar'!$A$5:$A$14,$F18,'Team Calendar'!$C$5:$C$14,Y$4,'Team Calendar'!$F$5:$F$14,"Personal absence")=0),1,"")</x:f>
        <x:v>1</x:v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str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n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  <x:v>1</x:v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n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  <x:v>1</x:v>
      </x:c>
      <x:c r="AJ18" s="211" t="n">
        <x:f>IF(AND(ISNUMBER($D18),ISNUMBER($E18),AJ$4&gt;=$D18,AJ$4&lt;=$E18,NETWORKDAYS(AJ$4,AJ$4,'Sources &amp; Change Log'!$J$2:$J$5)=1,COUNTIFS('Team Calendar'!$A$5:$A$14,$F18,'Team Calendar'!$C$5:$C$14,AJ$4,'Team Calendar'!$F$5:$F$14,"Personal absence")=0),1,"")</x:f>
        <x:v>1</x:v>
      </x:c>
      <x:c r="AK18" s="211" t="n">
        <x:f>IF(AND(ISNUMBER($D18),ISNUMBER($E18),AK$4&gt;=$D18,AK$4&lt;=$E18,NETWORKDAYS(AK$4,AK$4,'Sources &amp; Change Log'!$J$2:$J$5)=1,COUNTIFS('Team Calendar'!$A$5:$A$14,$F18,'Team Calendar'!$C$5:$C$14,AK$4,'Team Calendar'!$F$5:$F$14,"Personal absence")=0),1,"")</x:f>
        <x:v>1</x:v>
      </x:c>
      <x:c r="AL18" s="211" t="str">
        <x:f>IF(AND(ISNUMBER($D18),ISNUMBER($E18),AL$4&gt;=$D18,AL$4&lt;=$E18,NETWORKDAYS(AL$4,AL$4,'Sources &amp; Change Log'!$J$2:$J$5)=1,COUNTIFS('Team Calendar'!$A$5:$A$14,$F18,'Team Calendar'!$C$5:$C$14,AL$4,'Team Calendar'!$F$5:$F$14,"Personal absence")=0),1,"")</x:f>
      </x:c>
      <x:c r="AM18" s="211" t="str">
        <x:f>IF(AND(ISNUMBER($D18),ISNUMBER($E18),AM$4&gt;=$D18,AM$4&lt;=$E18,NETWORKDAYS(AM$4,AM$4,'Sources &amp; Change Log'!$J$2:$J$5)=1,COUNTIFS('Team Calendar'!$A$5:$A$14,$F18,'Team Calendar'!$C$5:$C$14,AM$4,'Team Calendar'!$F$5:$F$14,"Personal absence")=0),1,"")</x:f>
      </x:c>
      <x:c r="AN18" s="211" t="str">
        <x:f>IF(AND(ISNUMBER($D18),ISNUMBER($E18),AN$4&gt;=$D18,AN$4&lt;=$E18,NETWORKDAYS(AN$4,AN$4,'Sources &amp; Change Log'!$J$2:$J$5)=1,COUNTIFS('Team Calendar'!$A$5:$A$14,$F18,'Team Calendar'!$C$5:$C$14,AN$4,'Team Calendar'!$F$5:$F$14,"Personal absence")=0),1,"")</x:f>
      </x:c>
      <x:c r="AO18" s="211" t="str">
        <x:f>IF(AND(ISNUMBER($D18),ISNUMBER($E18),AO$4&gt;=$D18,AO$4&lt;=$E18,NETWORKDAYS(AO$4,AO$4,'Sources &amp; Change Log'!$J$2:$J$5)=1,COUNTIFS('Team Calendar'!$A$5:$A$14,$F18,'Team Calendar'!$C$5:$C$14,AO$4,'Team Calendar'!$F$5:$F$14,"Personal absence")=0),1,"")</x:f>
      </x:c>
      <x:c r="AP18" s="211" t="str">
        <x:f>IF(AND(ISNUMBER($D18),ISNUMBER($E18),AP$4&gt;=$D18,AP$4&lt;=$E18,NETWORKDAYS(AP$4,AP$4,'Sources &amp; Change Log'!$J$2:$J$5)=1,COUNTIFS('Team Calendar'!$A$5:$A$14,$F18,'Team Calendar'!$C$5:$C$14,AP$4,'Team Calendar'!$F$5:$F$14,"Personal absence")=0),1,"")</x:f>
      </x:c>
      <x:c r="AQ18" s="211" t="n">
        <x:f>IF(AND(ISNUMBER($D18),ISNUMBER($E18),AQ$4&gt;=$D18,AQ$4&lt;=$E18,NETWORKDAYS(AQ$4,AQ$4,'Sources &amp; Change Log'!$J$2:$J$5)=1,COUNTIFS('Team Calendar'!$A$5:$A$14,$F18,'Team Calendar'!$C$5:$C$14,AQ$4,'Team Calendar'!$F$5:$F$14,"Personal absence")=0),1,"")</x:f>
        <x:v>1</x:v>
      </x:c>
      <x:c r="AR18" s="211" t="n">
        <x:f>IF(AND(ISNUMBER($D18),ISNUMBER($E18),AR$4&gt;=$D18,AR$4&lt;=$E18,NETWORKDAYS(AR$4,AR$4,'Sources &amp; Change Log'!$J$2:$J$5)=1,COUNTIFS('Team Calendar'!$A$5:$A$14,$F18,'Team Calendar'!$C$5:$C$14,AR$4,'Team Calendar'!$F$5:$F$14,"Personal absence")=0),1,"")</x:f>
        <x:v>1</x:v>
      </x:c>
      <x:c r="AS18" s="211" t="n">
        <x:f>IF(AND(ISNUMBER($D18),ISNUMBER($E18),AS$4&gt;=$D18,AS$4&lt;=$E18,NETWORKDAYS(AS$4,AS$4,'Sources &amp; Change Log'!$J$2:$J$5)=1,COUNTIFS('Team Calendar'!$A$5:$A$14,$F18,'Team Calendar'!$C$5:$C$14,AS$4,'Team Calendar'!$F$5:$F$14,"Personal absence")=0),1,"")</x:f>
        <x:v>1</x:v>
      </x:c>
      <x:c r="AT18" s="211" t="n">
        <x:f>IF(AND(ISNUMBER($D18),ISNUMBER($E18),AT$4&gt;=$D18,AT$4&lt;=$E18,NETWORKDAYS(AT$4,AT$4,'Sources &amp; Change Log'!$J$2:$J$5)=1,COUNTIFS('Team Calendar'!$A$5:$A$14,$F18,'Team Calendar'!$C$5:$C$14,AT$4,'Team Calendar'!$F$5:$F$14,"Personal absence")=0),1,"")</x:f>
        <x:v>1</x:v>
      </x:c>
      <x:c r="AU18" s="211" t="str">
        <x:f>IF(AND(ISNUMBER($D18),ISNUMBER($E18),AU$4&gt;=$D18,AU$4&lt;=$E18,NETWORKDAYS(AU$4,AU$4,'Sources &amp; Change Log'!$J$2:$J$5)=1,COUNTIFS('Team Calendar'!$A$5:$A$14,$F18,'Team Calendar'!$C$5:$C$14,AU$4,'Team Calendar'!$F$5:$F$14,"Personal absence")=0),1,"")</x:f>
      </x:c>
      <x:c r="AV18" s="211" t="str">
        <x:f>IF(AND(ISNUMBER($D18),ISNUMBER($E18),AV$4&gt;=$D18,AV$4&lt;=$E18,NETWORKDAYS(AV$4,AV$4,'Sources &amp; Change Log'!$J$2:$J$5)=1,COUNTIFS('Team Calendar'!$A$5:$A$14,$F18,'Team Calendar'!$C$5:$C$14,AV$4,'Team Calendar'!$F$5:$F$14,"Personal absence")=0),1,"")</x:f>
      </x:c>
      <x:c r="AW18" s="211" t="str">
        <x:f>IF(AND(ISNUMBER($D18),ISNUMBER($E18),AW$4&gt;=$D18,AW$4&lt;=$E18,NETWORKDAYS(AW$4,AW$4,'Sources &amp; Change Log'!$J$2:$J$5)=1,COUNTIFS('Team Calendar'!$A$5:$A$14,$F18,'Team Calendar'!$C$5:$C$14,AW$4,'Team Calendar'!$F$5:$F$14,"Personal absence")=0),1,"")</x:f>
      </x:c>
      <x:c r="AX18" s="211" t="str">
        <x:f>IF(AND(ISNUMBER($D18),ISNUMBER($E18),AX$4&gt;=$D18,AX$4&lt;=$E18,NETWORKDAYS(AX$4,AX$4,'Sources &amp; Change Log'!$J$2:$J$5)=1,COUNTIFS('Team Calendar'!$A$5:$A$14,$F18,'Team Calendar'!$C$5:$C$14,AX$4,'Team Calendar'!$F$5:$F$14,"Personal absence")=0),1,"")</x:f>
      </x:c>
      <x:c r="AY18" s="206"/>
      <x:c r="AZ18" s="206"/>
    </x:row>
    <x:row r="19" ht="30" customHeight="1">
      <x:c r="A19" s="195" t="str">
        <x:f>WBS!A20</x:f>
        <x:v>P1-HA-01</x:v>
      </x:c>
      <x:c r="B19" s="195" t="str">
        <x:f>WBS!B20</x:f>
        <x:v>Worker Drain Continuity</x:v>
      </x:c>
      <x:c r="C19" s="195" t="str">
        <x:f>WBS!G20</x:f>
        <x:v>In Progress</x:v>
      </x:c>
      <x:c r="D19" s="225" t="n">
        <x:f>WBS!H20</x:f>
        <x:v>46276</x:v>
      </x:c>
      <x:c r="E19" s="225" t="n">
        <x:f>WBS!I20</x:f>
        <x:v>46297</x:v>
      </x:c>
      <x:c r="F19" s="13" t="str">
        <x:f>WBS!L20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8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n">
        <x:f>IF(AND(ISNUMBER($D19),ISNUMBER($E19),Y$4&gt;=$D19,Y$4&lt;=$E19,NETWORKDAYS(Y$4,Y$4,'Sources &amp; Change Log'!$J$2:$J$5)=1,COUNTIFS('Team Calendar'!$A$5:$A$14,$F19,'Team Calendar'!$C$5:$C$14,Y$4,'Team Calendar'!$F$5:$F$14,"Personal absence")=0),1,"")</x:f>
        <x:v>1</x:v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str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n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  <x:v>1</x:v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n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  <x:v>1</x:v>
      </x:c>
      <x:c r="AJ19" s="211" t="n">
        <x:f>IF(AND(ISNUMBER($D19),ISNUMBER($E19),AJ$4&gt;=$D19,AJ$4&lt;=$E19,NETWORKDAYS(AJ$4,AJ$4,'Sources &amp; Change Log'!$J$2:$J$5)=1,COUNTIFS('Team Calendar'!$A$5:$A$14,$F19,'Team Calendar'!$C$5:$C$14,AJ$4,'Team Calendar'!$F$5:$F$14,"Personal absence")=0),1,"")</x:f>
        <x:v>1</x:v>
      </x:c>
      <x:c r="AK19" s="211" t="n">
        <x:f>IF(AND(ISNUMBER($D19),ISNUMBER($E19),AK$4&gt;=$D19,AK$4&lt;=$E19,NETWORKDAYS(AK$4,AK$4,'Sources &amp; Change Log'!$J$2:$J$5)=1,COUNTIFS('Team Calendar'!$A$5:$A$14,$F19,'Team Calendar'!$C$5:$C$14,AK$4,'Team Calendar'!$F$5:$F$14,"Personal absence")=0),1,"")</x:f>
        <x:v>1</x:v>
      </x:c>
      <x:c r="AL19" s="211" t="str">
        <x:f>IF(AND(ISNUMBER($D19),ISNUMBER($E19),AL$4&gt;=$D19,AL$4&lt;=$E19,NETWORKDAYS(AL$4,AL$4,'Sources &amp; Change Log'!$J$2:$J$5)=1,COUNTIFS('Team Calendar'!$A$5:$A$14,$F19,'Team Calendar'!$C$5:$C$14,AL$4,'Team Calendar'!$F$5:$F$14,"Personal absence")=0),1,"")</x:f>
      </x:c>
      <x:c r="AM19" s="211" t="str">
        <x:f>IF(AND(ISNUMBER($D19),ISNUMBER($E19),AM$4&gt;=$D19,AM$4&lt;=$E19,NETWORKDAYS(AM$4,AM$4,'Sources &amp; Change Log'!$J$2:$J$5)=1,COUNTIFS('Team Calendar'!$A$5:$A$14,$F19,'Team Calendar'!$C$5:$C$14,AM$4,'Team Calendar'!$F$5:$F$14,"Personal absence")=0),1,"")</x:f>
      </x:c>
      <x:c r="AN19" s="211" t="str">
        <x:f>IF(AND(ISNUMBER($D19),ISNUMBER($E19),AN$4&gt;=$D19,AN$4&lt;=$E19,NETWORKDAYS(AN$4,AN$4,'Sources &amp; Change Log'!$J$2:$J$5)=1,COUNTIFS('Team Calendar'!$A$5:$A$14,$F19,'Team Calendar'!$C$5:$C$14,AN$4,'Team Calendar'!$F$5:$F$14,"Personal absence")=0),1,"")</x:f>
      </x:c>
      <x:c r="AO19" s="211" t="str">
        <x:f>IF(AND(ISNUMBER($D19),ISNUMBER($E19),AO$4&gt;=$D19,AO$4&lt;=$E19,NETWORKDAYS(AO$4,AO$4,'Sources &amp; Change Log'!$J$2:$J$5)=1,COUNTIFS('Team Calendar'!$A$5:$A$14,$F19,'Team Calendar'!$C$5:$C$14,AO$4,'Team Calendar'!$F$5:$F$14,"Personal absence")=0),1,"")</x:f>
      </x:c>
      <x:c r="AP19" s="211" t="str">
        <x:f>IF(AND(ISNUMBER($D19),ISNUMBER($E19),AP$4&gt;=$D19,AP$4&lt;=$E19,NETWORKDAYS(AP$4,AP$4,'Sources &amp; Change Log'!$J$2:$J$5)=1,COUNTIFS('Team Calendar'!$A$5:$A$14,$F19,'Team Calendar'!$C$5:$C$14,AP$4,'Team Calendar'!$F$5:$F$14,"Personal absence")=0),1,"")</x:f>
      </x:c>
      <x:c r="AQ19" s="211" t="n">
        <x:f>IF(AND(ISNUMBER($D19),ISNUMBER($E19),AQ$4&gt;=$D19,AQ$4&lt;=$E19,NETWORKDAYS(AQ$4,AQ$4,'Sources &amp; Change Log'!$J$2:$J$5)=1,COUNTIFS('Team Calendar'!$A$5:$A$14,$F19,'Team Calendar'!$C$5:$C$14,AQ$4,'Team Calendar'!$F$5:$F$14,"Personal absence")=0),1,"")</x:f>
        <x:v>1</x:v>
      </x:c>
      <x:c r="AR19" s="211" t="n">
        <x:f>IF(AND(ISNUMBER($D19),ISNUMBER($E19),AR$4&gt;=$D19,AR$4&lt;=$E19,NETWORKDAYS(AR$4,AR$4,'Sources &amp; Change Log'!$J$2:$J$5)=1,COUNTIFS('Team Calendar'!$A$5:$A$14,$F19,'Team Calendar'!$C$5:$C$14,AR$4,'Team Calendar'!$F$5:$F$14,"Personal absence")=0),1,"")</x:f>
        <x:v>1</x:v>
      </x:c>
      <x:c r="AS19" s="211" t="n">
        <x:f>IF(AND(ISNUMBER($D19),ISNUMBER($E19),AS$4&gt;=$D19,AS$4&lt;=$E19,NETWORKDAYS(AS$4,AS$4,'Sources &amp; Change Log'!$J$2:$J$5)=1,COUNTIFS('Team Calendar'!$A$5:$A$14,$F19,'Team Calendar'!$C$5:$C$14,AS$4,'Team Calendar'!$F$5:$F$14,"Personal absence")=0),1,"")</x:f>
        <x:v>1</x:v>
      </x:c>
      <x:c r="AT19" s="211" t="n">
        <x:f>IF(AND(ISNUMBER($D19),ISNUMBER($E19),AT$4&gt;=$D19,AT$4&lt;=$E19,NETWORKDAYS(AT$4,AT$4,'Sources &amp; Change Log'!$J$2:$J$5)=1,COUNTIFS('Team Calendar'!$A$5:$A$14,$F19,'Team Calendar'!$C$5:$C$14,AT$4,'Team Calendar'!$F$5:$F$14,"Personal absence")=0),1,"")</x:f>
        <x:v>1</x:v>
      </x:c>
      <x:c r="AU19" s="211" t="str">
        <x:f>IF(AND(ISNUMBER($D19),ISNUMBER($E19),AU$4&gt;=$D19,AU$4&lt;=$E19,NETWORKDAYS(AU$4,AU$4,'Sources &amp; Change Log'!$J$2:$J$5)=1,COUNTIFS('Team Calendar'!$A$5:$A$14,$F19,'Team Calendar'!$C$5:$C$14,AU$4,'Team Calendar'!$F$5:$F$14,"Personal absence")=0),1,"")</x:f>
      </x:c>
      <x:c r="AV19" s="211" t="str">
        <x:f>IF(AND(ISNUMBER($D19),ISNUMBER($E19),AV$4&gt;=$D19,AV$4&lt;=$E19,NETWORKDAYS(AV$4,AV$4,'Sources &amp; Change Log'!$J$2:$J$5)=1,COUNTIFS('Team Calendar'!$A$5:$A$14,$F19,'Team Calendar'!$C$5:$C$14,AV$4,'Team Calendar'!$F$5:$F$14,"Personal absence")=0),1,"")</x:f>
      </x:c>
      <x:c r="AW19" s="211" t="str">
        <x:f>IF(AND(ISNUMBER($D19),ISNUMBER($E19),AW$4&gt;=$D19,AW$4&lt;=$E19,NETWORKDAYS(AW$4,AW$4,'Sources &amp; Change Log'!$J$2:$J$5)=1,COUNTIFS('Team Calendar'!$A$5:$A$14,$F19,'Team Calendar'!$C$5:$C$14,AW$4,'Team Calendar'!$F$5:$F$14,"Personal absence")=0),1,"")</x:f>
      </x:c>
      <x:c r="AX19" s="211" t="str">
        <x:f>IF(AND(ISNUMBER($D19),ISNUMBER($E19),AX$4&gt;=$D19,AX$4&lt;=$E19,NETWORKDAYS(AX$4,AX$4,'Sources &amp; Change Log'!$J$2:$J$5)=1,COUNTIFS('Team Calendar'!$A$5:$A$14,$F19,'Team Calendar'!$C$5:$C$14,AX$4,'Team Calendar'!$F$5:$F$14,"Personal absence")=0),1,"")</x:f>
      </x:c>
      <x:c r="AY19" s="206"/>
      <x:c r="AZ19" s="206"/>
    </x:row>
    <x:row r="20" ht="30" customHeight="1">
      <x:c r="A20" s="195" t="str">
        <x:f>WBS!A21</x:f>
        <x:v>MS-G2-01</x:v>
      </x:c>
      <x:c r="B20" s="195" t="str">
        <x:f>WBS!B21</x:f>
        <x:v>G2 Security / Feature Ready</x:v>
      </x:c>
      <x:c r="C20" s="195" t="str">
        <x:f>WBS!G21</x:f>
        <x:v>To Do</x:v>
      </x:c>
      <x:c r="D20" s="225" t="n">
        <x:f>WBS!H21</x:f>
        <x:v>46286</x:v>
      </x:c>
      <x:c r="E20" s="225" t="n">
        <x:f>WBS!I21</x:f>
        <x:v>46286</x:v>
      </x:c>
      <x:c r="F20" s="13" t="str">
        <x:f>WBS!L21</x:f>
        <x:v>이하영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8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n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  <x:v>1</x:v>
      </x:c>
      <x:c r="AJ20" s="211" t="str">
        <x:f>IF(AND(ISNUMBER($D20),ISNUMBER($E20),AJ$4&gt;=$D20,AJ$4&lt;=$E20,NETWORKDAYS(AJ$4,AJ$4,'Sources &amp; Change Log'!$J$2:$J$5)=1,COUNTIFS('Team Calendar'!$A$5:$A$14,$F20,'Team Calendar'!$C$5:$C$14,AJ$4,'Team Calendar'!$F$5:$F$14,"Personal absence")=0),1,"")</x:f>
      </x:c>
      <x:c r="AK20" s="211" t="str">
        <x:f>IF(AND(ISNUMBER($D20),ISNUMBER($E20),AK$4&gt;=$D20,AK$4&lt;=$E20,NETWORKDAYS(AK$4,AK$4,'Sources &amp; Change Log'!$J$2:$J$5)=1,COUNTIFS('Team Calendar'!$A$5:$A$14,$F20,'Team Calendar'!$C$5:$C$14,AK$4,'Team Calendar'!$F$5:$F$14,"Personal absence")=0),1,"")</x:f>
      </x:c>
      <x:c r="AL20" s="211" t="str">
        <x:f>IF(AND(ISNUMBER($D20),ISNUMBER($E20),AL$4&gt;=$D20,AL$4&lt;=$E20,NETWORKDAYS(AL$4,AL$4,'Sources &amp; Change Log'!$J$2:$J$5)=1,COUNTIFS('Team Calendar'!$A$5:$A$14,$F20,'Team Calendar'!$C$5:$C$14,AL$4,'Team Calendar'!$F$5:$F$14,"Personal absence")=0),1,"")</x:f>
      </x:c>
      <x:c r="AM20" s="211" t="str">
        <x:f>IF(AND(ISNUMBER($D20),ISNUMBER($E20),AM$4&gt;=$D20,AM$4&lt;=$E20,NETWORKDAYS(AM$4,AM$4,'Sources &amp; Change Log'!$J$2:$J$5)=1,COUNTIFS('Team Calendar'!$A$5:$A$14,$F20,'Team Calendar'!$C$5:$C$14,AM$4,'Team Calendar'!$F$5:$F$14,"Personal absence")=0),1,"")</x:f>
      </x:c>
      <x:c r="AN20" s="211" t="str">
        <x:f>IF(AND(ISNUMBER($D20),ISNUMBER($E20),AN$4&gt;=$D20,AN$4&lt;=$E20,NETWORKDAYS(AN$4,AN$4,'Sources &amp; Change Log'!$J$2:$J$5)=1,COUNTIFS('Team Calendar'!$A$5:$A$14,$F20,'Team Calendar'!$C$5:$C$14,AN$4,'Team Calendar'!$F$5:$F$14,"Personal absence")=0),1,"")</x:f>
      </x:c>
      <x:c r="AO20" s="211" t="str">
        <x:f>IF(AND(ISNUMBER($D20),ISNUMBER($E20),AO$4&gt;=$D20,AO$4&lt;=$E20,NETWORKDAYS(AO$4,AO$4,'Sources &amp; Change Log'!$J$2:$J$5)=1,COUNTIFS('Team Calendar'!$A$5:$A$14,$F20,'Team Calendar'!$C$5:$C$14,AO$4,'Team Calendar'!$F$5:$F$14,"Personal absence")=0),1,"")</x:f>
      </x:c>
      <x:c r="AP20" s="211" t="str">
        <x:f>IF(AND(ISNUMBER($D20),ISNUMBER($E20),AP$4&gt;=$D20,AP$4&lt;=$E20,NETWORKDAYS(AP$4,AP$4,'Sources &amp; Change Log'!$J$2:$J$5)=1,COUNTIFS('Team Calendar'!$A$5:$A$14,$F20,'Team Calendar'!$C$5:$C$14,AP$4,'Team Calendar'!$F$5:$F$14,"Personal absence")=0),1,"")</x:f>
      </x:c>
      <x:c r="AQ20" s="211" t="str">
        <x:f>IF(AND(ISNUMBER($D20),ISNUMBER($E20),AQ$4&gt;=$D20,AQ$4&lt;=$E20,NETWORKDAYS(AQ$4,AQ$4,'Sources &amp; Change Log'!$J$2:$J$5)=1,COUNTIFS('Team Calendar'!$A$5:$A$14,$F20,'Team Calendar'!$C$5:$C$14,AQ$4,'Team Calendar'!$F$5:$F$14,"Personal absence")=0),1,"")</x:f>
      </x:c>
      <x:c r="AR20" s="211" t="str">
        <x:f>IF(AND(ISNUMBER($D20),ISNUMBER($E20),AR$4&gt;=$D20,AR$4&lt;=$E20,NETWORKDAYS(AR$4,AR$4,'Sources &amp; Change Log'!$J$2:$J$5)=1,COUNTIFS('Team Calendar'!$A$5:$A$14,$F20,'Team Calendar'!$C$5:$C$14,AR$4,'Team Calendar'!$F$5:$F$14,"Personal absence")=0),1,"")</x:f>
      </x:c>
      <x:c r="AS20" s="211" t="str">
        <x:f>IF(AND(ISNUMBER($D20),ISNUMBER($E20),AS$4&gt;=$D20,AS$4&lt;=$E20,NETWORKDAYS(AS$4,AS$4,'Sources &amp; Change Log'!$J$2:$J$5)=1,COUNTIFS('Team Calendar'!$A$5:$A$14,$F20,'Team Calendar'!$C$5:$C$14,AS$4,'Team Calendar'!$F$5:$F$14,"Personal absence")=0),1,"")</x:f>
      </x:c>
      <x:c r="AT20" s="211" t="str">
        <x:f>IF(AND(ISNUMBER($D20),ISNUMBER($E20),AT$4&gt;=$D20,AT$4&lt;=$E20,NETWORKDAYS(AT$4,AT$4,'Sources &amp; Change Log'!$J$2:$J$5)=1,COUNTIFS('Team Calendar'!$A$5:$A$14,$F20,'Team Calendar'!$C$5:$C$14,AT$4,'Team Calendar'!$F$5:$F$14,"Personal absence")=0),1,"")</x:f>
      </x:c>
      <x:c r="AU20" s="211" t="str">
        <x:f>IF(AND(ISNUMBER($D20),ISNUMBER($E20),AU$4&gt;=$D20,AU$4&lt;=$E20,NETWORKDAYS(AU$4,AU$4,'Sources &amp; Change Log'!$J$2:$J$5)=1,COUNTIFS('Team Calendar'!$A$5:$A$14,$F20,'Team Calendar'!$C$5:$C$14,AU$4,'Team Calendar'!$F$5:$F$14,"Personal absence")=0),1,"")</x:f>
      </x:c>
      <x:c r="AV20" s="211" t="str">
        <x:f>IF(AND(ISNUMBER($D20),ISNUMBER($E20),AV$4&gt;=$D20,AV$4&lt;=$E20,NETWORKDAYS(AV$4,AV$4,'Sources &amp; Change Log'!$J$2:$J$5)=1,COUNTIFS('Team Calendar'!$A$5:$A$14,$F20,'Team Calendar'!$C$5:$C$14,AV$4,'Team Calendar'!$F$5:$F$14,"Personal absence")=0),1,"")</x:f>
      </x:c>
      <x:c r="AW20" s="211" t="str">
        <x:f>IF(AND(ISNUMBER($D20),ISNUMBER($E20),AW$4&gt;=$D20,AW$4&lt;=$E20,NETWORKDAYS(AW$4,AW$4,'Sources &amp; Change Log'!$J$2:$J$5)=1,COUNTIFS('Team Calendar'!$A$5:$A$14,$F20,'Team Calendar'!$C$5:$C$14,AW$4,'Team Calendar'!$F$5:$F$14,"Personal absence")=0),1,"")</x:f>
      </x:c>
      <x:c r="AX20" s="211" t="str">
        <x:f>IF(AND(ISNUMBER($D20),ISNUMBER($E20),AX$4&gt;=$D20,AX$4&lt;=$E20,NETWORKDAYS(AX$4,AX$4,'Sources &amp; Change Log'!$J$2:$J$5)=1,COUNTIFS('Team Calendar'!$A$5:$A$14,$F20,'Team Calendar'!$C$5:$C$14,AX$4,'Team Calendar'!$F$5:$F$14,"Personal absence")=0),1,"")</x:f>
      </x:c>
      <x:c r="AY20" s="206"/>
      <x:c r="AZ20" s="206"/>
    </x:row>
    <x:row r="21" ht="30" customHeight="1">
      <x:c r="A21" s="195" t="str">
        <x:f>WBS!A22</x:f>
        <x:v>P1-DOC-01</x:v>
      </x:c>
      <x:c r="B21" s="195" t="str">
        <x:f>WBS!B22</x:f>
        <x:v>Architecture / Test / Runbook Freeze</x:v>
      </x:c>
      <x:c r="C21" s="195" t="str">
        <x:f>WBS!G22</x:f>
        <x:v>To Do</x:v>
      </x:c>
      <x:c r="D21" s="225" t="n">
        <x:f>WBS!H22</x:f>
        <x:v>46276</x:v>
      </x:c>
      <x:c r="E21" s="225" t="n">
        <x:f>WBS!I22</x:f>
        <x:v>46297</x:v>
      </x:c>
      <x:c r="F21" s="13" t="str">
        <x:f>WBS!L22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8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n">
        <x:f>IF(AND(ISNUMBER($D21),ISNUMBER($E21),Y$4&gt;=$D21,Y$4&lt;=$E21,NETWORKDAYS(Y$4,Y$4,'Sources &amp; Change Log'!$J$2:$J$5)=1,COUNTIFS('Team Calendar'!$A$5:$A$14,$F21,'Team Calendar'!$C$5:$C$14,Y$4,'Team Calendar'!$F$5:$F$14,"Personal absence")=0),1,"")</x:f>
        <x:v>1</x:v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n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  <x:v>1</x:v>
      </x:c>
      <x:c r="AC21" s="207" t="n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  <x:v>1</x:v>
      </x:c>
      <x:c r="AD21" s="207" t="n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  <x:v>1</x:v>
      </x:c>
      <x:c r="AE21" s="207" t="n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  <x:v>1</x:v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n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  <x:v>1</x:v>
      </x:c>
      <x:c r="AJ21" s="211" t="n">
        <x:f>IF(AND(ISNUMBER($D21),ISNUMBER($E21),AJ$4&gt;=$D21,AJ$4&lt;=$E21,NETWORKDAYS(AJ$4,AJ$4,'Sources &amp; Change Log'!$J$2:$J$5)=1,COUNTIFS('Team Calendar'!$A$5:$A$14,$F21,'Team Calendar'!$C$5:$C$14,AJ$4,'Team Calendar'!$F$5:$F$14,"Personal absence")=0),1,"")</x:f>
        <x:v>1</x:v>
      </x:c>
      <x:c r="AK21" s="211" t="n">
        <x:f>IF(AND(ISNUMBER($D21),ISNUMBER($E21),AK$4&gt;=$D21,AK$4&lt;=$E21,NETWORKDAYS(AK$4,AK$4,'Sources &amp; Change Log'!$J$2:$J$5)=1,COUNTIFS('Team Calendar'!$A$5:$A$14,$F21,'Team Calendar'!$C$5:$C$14,AK$4,'Team Calendar'!$F$5:$F$14,"Personal absence")=0),1,"")</x:f>
        <x:v>1</x:v>
      </x:c>
      <x:c r="AL21" s="211" t="str">
        <x:f>IF(AND(ISNUMBER($D21),ISNUMBER($E21),AL$4&gt;=$D21,AL$4&lt;=$E21,NETWORKDAYS(AL$4,AL$4,'Sources &amp; Change Log'!$J$2:$J$5)=1,COUNTIFS('Team Calendar'!$A$5:$A$14,$F21,'Team Calendar'!$C$5:$C$14,AL$4,'Team Calendar'!$F$5:$F$14,"Personal absence")=0),1,"")</x:f>
      </x:c>
      <x:c r="AM21" s="211" t="str">
        <x:f>IF(AND(ISNUMBER($D21),ISNUMBER($E21),AM$4&gt;=$D21,AM$4&lt;=$E21,NETWORKDAYS(AM$4,AM$4,'Sources &amp; Change Log'!$J$2:$J$5)=1,COUNTIFS('Team Calendar'!$A$5:$A$14,$F21,'Team Calendar'!$C$5:$C$14,AM$4,'Team Calendar'!$F$5:$F$14,"Personal absence")=0),1,"")</x:f>
      </x:c>
      <x:c r="AN21" s="211" t="str">
        <x:f>IF(AND(ISNUMBER($D21),ISNUMBER($E21),AN$4&gt;=$D21,AN$4&lt;=$E21,NETWORKDAYS(AN$4,AN$4,'Sources &amp; Change Log'!$J$2:$J$5)=1,COUNTIFS('Team Calendar'!$A$5:$A$14,$F21,'Team Calendar'!$C$5:$C$14,AN$4,'Team Calendar'!$F$5:$F$14,"Personal absence")=0),1,"")</x:f>
      </x:c>
      <x:c r="AO21" s="211" t="str">
        <x:f>IF(AND(ISNUMBER($D21),ISNUMBER($E21),AO$4&gt;=$D21,AO$4&lt;=$E21,NETWORKDAYS(AO$4,AO$4,'Sources &amp; Change Log'!$J$2:$J$5)=1,COUNTIFS('Team Calendar'!$A$5:$A$14,$F21,'Team Calendar'!$C$5:$C$14,AO$4,'Team Calendar'!$F$5:$F$14,"Personal absence")=0),1,"")</x:f>
      </x:c>
      <x:c r="AP21" s="211" t="n">
        <x:f>IF(AND(ISNUMBER($D21),ISNUMBER($E21),AP$4&gt;=$D21,AP$4&lt;=$E21,NETWORKDAYS(AP$4,AP$4,'Sources &amp; Change Log'!$J$2:$J$5)=1,COUNTIFS('Team Calendar'!$A$5:$A$14,$F21,'Team Calendar'!$C$5:$C$14,AP$4,'Team Calendar'!$F$5:$F$14,"Personal absence")=0),1,"")</x:f>
        <x:v>1</x:v>
      </x:c>
      <x:c r="AQ21" s="211" t="n">
        <x:f>IF(AND(ISNUMBER($D21),ISNUMBER($E21),AQ$4&gt;=$D21,AQ$4&lt;=$E21,NETWORKDAYS(AQ$4,AQ$4,'Sources &amp; Change Log'!$J$2:$J$5)=1,COUNTIFS('Team Calendar'!$A$5:$A$14,$F21,'Team Calendar'!$C$5:$C$14,AQ$4,'Team Calendar'!$F$5:$F$14,"Personal absence")=0),1,"")</x:f>
        <x:v>1</x:v>
      </x:c>
      <x:c r="AR21" s="211" t="n">
        <x:f>IF(AND(ISNUMBER($D21),ISNUMBER($E21),AR$4&gt;=$D21,AR$4&lt;=$E21,NETWORKDAYS(AR$4,AR$4,'Sources &amp; Change Log'!$J$2:$J$5)=1,COUNTIFS('Team Calendar'!$A$5:$A$14,$F21,'Team Calendar'!$C$5:$C$14,AR$4,'Team Calendar'!$F$5:$F$14,"Personal absence")=0),1,"")</x:f>
        <x:v>1</x:v>
      </x:c>
      <x:c r="AS21" s="211" t="n">
        <x:f>IF(AND(ISNUMBER($D21),ISNUMBER($E21),AS$4&gt;=$D21,AS$4&lt;=$E21,NETWORKDAYS(AS$4,AS$4,'Sources &amp; Change Log'!$J$2:$J$5)=1,COUNTIFS('Team Calendar'!$A$5:$A$14,$F21,'Team Calendar'!$C$5:$C$14,AS$4,'Team Calendar'!$F$5:$F$14,"Personal absence")=0),1,"")</x:f>
        <x:v>1</x:v>
      </x:c>
      <x:c r="AT21" s="211" t="n">
        <x:f>IF(AND(ISNUMBER($D21),ISNUMBER($E21),AT$4&gt;=$D21,AT$4&lt;=$E21,NETWORKDAYS(AT$4,AT$4,'Sources &amp; Change Log'!$J$2:$J$5)=1,COUNTIFS('Team Calendar'!$A$5:$A$14,$F21,'Team Calendar'!$C$5:$C$14,AT$4,'Team Calendar'!$F$5:$F$14,"Personal absence")=0),1,"")</x:f>
        <x:v>1</x:v>
      </x:c>
      <x:c r="AU21" s="211" t="str">
        <x:f>IF(AND(ISNUMBER($D21),ISNUMBER($E21),AU$4&gt;=$D21,AU$4&lt;=$E21,NETWORKDAYS(AU$4,AU$4,'Sources &amp; Change Log'!$J$2:$J$5)=1,COUNTIFS('Team Calendar'!$A$5:$A$14,$F21,'Team Calendar'!$C$5:$C$14,AU$4,'Team Calendar'!$F$5:$F$14,"Personal absence")=0),1,"")</x:f>
      </x:c>
      <x:c r="AV21" s="211" t="str">
        <x:f>IF(AND(ISNUMBER($D21),ISNUMBER($E21),AV$4&gt;=$D21,AV$4&lt;=$E21,NETWORKDAYS(AV$4,AV$4,'Sources &amp; Change Log'!$J$2:$J$5)=1,COUNTIFS('Team Calendar'!$A$5:$A$14,$F21,'Team Calendar'!$C$5:$C$14,AV$4,'Team Calendar'!$F$5:$F$14,"Personal absence")=0),1,"")</x:f>
      </x:c>
      <x:c r="AW21" s="211" t="str">
        <x:f>IF(AND(ISNUMBER($D21),ISNUMBER($E21),AW$4&gt;=$D21,AW$4&lt;=$E21,NETWORKDAYS(AW$4,AW$4,'Sources &amp; Change Log'!$J$2:$J$5)=1,COUNTIFS('Team Calendar'!$A$5:$A$14,$F21,'Team Calendar'!$C$5:$C$14,AW$4,'Team Calendar'!$F$5:$F$14,"Personal absence")=0),1,"")</x:f>
      </x:c>
      <x:c r="AX21" s="211" t="str">
        <x:f>IF(AND(ISNUMBER($D21),ISNUMBER($E21),AX$4&gt;=$D21,AX$4&lt;=$E21,NETWORKDAYS(AX$4,AX$4,'Sources &amp; Change Log'!$J$2:$J$5)=1,COUNTIFS('Team Calendar'!$A$5:$A$14,$F21,'Team Calendar'!$C$5:$C$14,AX$4,'Team Calendar'!$F$5:$F$14,"Personal absence")=0),1,"")</x:f>
      </x:c>
      <x:c r="AY21" s="206"/>
      <x:c r="AZ21" s="206"/>
    </x:row>
    <x:row r="22" ht="30" customHeight="1">
      <x:c r="A22" s="195" t="str">
        <x:f>WBS!A23</x:f>
        <x:v>P1-MON-02</x:v>
      </x:c>
      <x:c r="B22" s="195" t="str">
        <x:f>WBS!B23</x:f>
        <x:v>Dashboard / Alert Enhancement</x:v>
      </x:c>
      <x:c r="C22" s="195" t="str">
        <x:f>WBS!G23</x:f>
        <x:v>To Do</x:v>
      </x:c>
      <x:c r="D22" s="225" t="n">
        <x:f>WBS!H23</x:f>
        <x:v>0</x:v>
      </x:c>
      <x:c r="E22" s="225" t="n">
        <x:f>WBS!I23</x:f>
        <x:v>0</x:v>
      </x:c>
      <x:c r="F22" s="13" t="str">
        <x:f>WBS!L23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8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str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11" t="str">
        <x:f>IF(AND(ISNUMBER($D22),ISNUMBER($E22),AJ$4&gt;=$D22,AJ$4&lt;=$E22,NETWORKDAYS(AJ$4,AJ$4,'Sources &amp; Change Log'!$J$2:$J$5)=1,COUNTIFS('Team Calendar'!$A$5:$A$14,$F22,'Team Calendar'!$C$5:$C$14,AJ$4,'Team Calendar'!$F$5:$F$14,"Personal absence")=0),1,"")</x:f>
      </x:c>
      <x:c r="AK22" s="211" t="str">
        <x:f>IF(AND(ISNUMBER($D22),ISNUMBER($E22),AK$4&gt;=$D22,AK$4&lt;=$E22,NETWORKDAYS(AK$4,AK$4,'Sources &amp; Change Log'!$J$2:$J$5)=1,COUNTIFS('Team Calendar'!$A$5:$A$14,$F22,'Team Calendar'!$C$5:$C$14,AK$4,'Team Calendar'!$F$5:$F$14,"Personal absence")=0),1,"")</x:f>
      </x:c>
      <x:c r="AL22" s="211" t="str">
        <x:f>IF(AND(ISNUMBER($D22),ISNUMBER($E22),AL$4&gt;=$D22,AL$4&lt;=$E22,NETWORKDAYS(AL$4,AL$4,'Sources &amp; Change Log'!$J$2:$J$5)=1,COUNTIFS('Team Calendar'!$A$5:$A$14,$F22,'Team Calendar'!$C$5:$C$14,AL$4,'Team Calendar'!$F$5:$F$14,"Personal absence")=0),1,"")</x:f>
      </x:c>
      <x:c r="AM22" s="211" t="str">
        <x:f>IF(AND(ISNUMBER($D22),ISNUMBER($E22),AM$4&gt;=$D22,AM$4&lt;=$E22,NETWORKDAYS(AM$4,AM$4,'Sources &amp; Change Log'!$J$2:$J$5)=1,COUNTIFS('Team Calendar'!$A$5:$A$14,$F22,'Team Calendar'!$C$5:$C$14,AM$4,'Team Calendar'!$F$5:$F$14,"Personal absence")=0),1,"")</x:f>
      </x:c>
      <x:c r="AN22" s="211" t="str">
        <x:f>IF(AND(ISNUMBER($D22),ISNUMBER($E22),AN$4&gt;=$D22,AN$4&lt;=$E22,NETWORKDAYS(AN$4,AN$4,'Sources &amp; Change Log'!$J$2:$J$5)=1,COUNTIFS('Team Calendar'!$A$5:$A$14,$F22,'Team Calendar'!$C$5:$C$14,AN$4,'Team Calendar'!$F$5:$F$14,"Personal absence")=0),1,"")</x:f>
      </x:c>
      <x:c r="AO22" s="211" t="str">
        <x:f>IF(AND(ISNUMBER($D22),ISNUMBER($E22),AO$4&gt;=$D22,AO$4&lt;=$E22,NETWORKDAYS(AO$4,AO$4,'Sources &amp; Change Log'!$J$2:$J$5)=1,COUNTIFS('Team Calendar'!$A$5:$A$14,$F22,'Team Calendar'!$C$5:$C$14,AO$4,'Team Calendar'!$F$5:$F$14,"Personal absence")=0),1,"")</x:f>
      </x:c>
      <x:c r="AP22" s="211" t="str">
        <x:f>IF(AND(ISNUMBER($D22),ISNUMBER($E22),AP$4&gt;=$D22,AP$4&lt;=$E22,NETWORKDAYS(AP$4,AP$4,'Sources &amp; Change Log'!$J$2:$J$5)=1,COUNTIFS('Team Calendar'!$A$5:$A$14,$F22,'Team Calendar'!$C$5:$C$14,AP$4,'Team Calendar'!$F$5:$F$14,"Personal absence")=0),1,"")</x:f>
      </x:c>
      <x:c r="AQ22" s="211" t="str">
        <x:f>IF(AND(ISNUMBER($D22),ISNUMBER($E22),AQ$4&gt;=$D22,AQ$4&lt;=$E22,NETWORKDAYS(AQ$4,AQ$4,'Sources &amp; Change Log'!$J$2:$J$5)=1,COUNTIFS('Team Calendar'!$A$5:$A$14,$F22,'Team Calendar'!$C$5:$C$14,AQ$4,'Team Calendar'!$F$5:$F$14,"Personal absence")=0),1,"")</x:f>
      </x:c>
      <x:c r="AR22" s="211" t="str">
        <x:f>IF(AND(ISNUMBER($D22),ISNUMBER($E22),AR$4&gt;=$D22,AR$4&lt;=$E22,NETWORKDAYS(AR$4,AR$4,'Sources &amp; Change Log'!$J$2:$J$5)=1,COUNTIFS('Team Calendar'!$A$5:$A$14,$F22,'Team Calendar'!$C$5:$C$14,AR$4,'Team Calendar'!$F$5:$F$14,"Personal absence")=0),1,"")</x:f>
      </x:c>
      <x:c r="AS22" s="211" t="str">
        <x:f>IF(AND(ISNUMBER($D22),ISNUMBER($E22),AS$4&gt;=$D22,AS$4&lt;=$E22,NETWORKDAYS(AS$4,AS$4,'Sources &amp; Change Log'!$J$2:$J$5)=1,COUNTIFS('Team Calendar'!$A$5:$A$14,$F22,'Team Calendar'!$C$5:$C$14,AS$4,'Team Calendar'!$F$5:$F$14,"Personal absence")=0),1,"")</x:f>
      </x:c>
      <x:c r="AT22" s="211" t="str">
        <x:f>IF(AND(ISNUMBER($D22),ISNUMBER($E22),AT$4&gt;=$D22,AT$4&lt;=$E22,NETWORKDAYS(AT$4,AT$4,'Sources &amp; Change Log'!$J$2:$J$5)=1,COUNTIFS('Team Calendar'!$A$5:$A$14,$F22,'Team Calendar'!$C$5:$C$14,AT$4,'Team Calendar'!$F$5:$F$14,"Personal absence")=0),1,"")</x:f>
      </x:c>
      <x:c r="AU22" s="211" t="str">
        <x:f>IF(AND(ISNUMBER($D22),ISNUMBER($E22),AU$4&gt;=$D22,AU$4&lt;=$E22,NETWORKDAYS(AU$4,AU$4,'Sources &amp; Change Log'!$J$2:$J$5)=1,COUNTIFS('Team Calendar'!$A$5:$A$14,$F22,'Team Calendar'!$C$5:$C$14,AU$4,'Team Calendar'!$F$5:$F$14,"Personal absence")=0),1,"")</x:f>
      </x:c>
      <x:c r="AV22" s="211" t="str">
        <x:f>IF(AND(ISNUMBER($D22),ISNUMBER($E22),AV$4&gt;=$D22,AV$4&lt;=$E22,NETWORKDAYS(AV$4,AV$4,'Sources &amp; Change Log'!$J$2:$J$5)=1,COUNTIFS('Team Calendar'!$A$5:$A$14,$F22,'Team Calendar'!$C$5:$C$14,AV$4,'Team Calendar'!$F$5:$F$14,"Personal absence")=0),1,"")</x:f>
      </x:c>
      <x:c r="AW22" s="211" t="str">
        <x:f>IF(AND(ISNUMBER($D22),ISNUMBER($E22),AW$4&gt;=$D22,AW$4&lt;=$E22,NETWORKDAYS(AW$4,AW$4,'Sources &amp; Change Log'!$J$2:$J$5)=1,COUNTIFS('Team Calendar'!$A$5:$A$14,$F22,'Team Calendar'!$C$5:$C$14,AW$4,'Team Calendar'!$F$5:$F$14,"Personal absence")=0),1,"")</x:f>
      </x:c>
      <x:c r="AX22" s="211" t="str">
        <x:f>IF(AND(ISNUMBER($D22),ISNUMBER($E22),AX$4&gt;=$D22,AX$4&lt;=$E22,NETWORKDAYS(AX$4,AX$4,'Sources &amp; Change Log'!$J$2:$J$5)=1,COUNTIFS('Team Calendar'!$A$5:$A$14,$F22,'Team Calendar'!$C$5:$C$14,AX$4,'Team Calendar'!$F$5:$F$14,"Personal absence")=0),1,"")</x:f>
      </x:c>
      <x:c r="AY22" s="206"/>
      <x:c r="AZ22" s="206"/>
    </x:row>
    <x:row r="23" ht="30" customHeight="1">
      <x:c r="A23" s="195" t="str">
        <x:f>WBS!A24</x:f>
        <x:v>P1-DR-02</x:v>
      </x:c>
      <x:c r="B23" s="195" t="str">
        <x:f>WBS!B24</x:f>
        <x:v>Harbor / etcd Backup and Restore</x:v>
      </x:c>
      <x:c r="C23" s="195" t="str">
        <x:f>WBS!G24</x:f>
        <x:v>To Do</x:v>
      </x:c>
      <x:c r="D23" s="225" t="n">
        <x:f>WBS!H24</x:f>
        <x:v>0</x:v>
      </x:c>
      <x:c r="E23" s="225" t="n">
        <x:f>WBS!I24</x:f>
        <x:v>0</x:v>
      </x:c>
      <x:c r="F23" s="13" t="str">
        <x:f>WBS!L24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8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11" t="str">
        <x:f>IF(AND(ISNUMBER($D23),ISNUMBER($E23),AJ$4&gt;=$D23,AJ$4&lt;=$E23,NETWORKDAYS(AJ$4,AJ$4,'Sources &amp; Change Log'!$J$2:$J$5)=1,COUNTIFS('Team Calendar'!$A$5:$A$14,$F23,'Team Calendar'!$C$5:$C$14,AJ$4,'Team Calendar'!$F$5:$F$14,"Personal absence")=0),1,"")</x:f>
      </x:c>
      <x:c r="AK23" s="211" t="str">
        <x:f>IF(AND(ISNUMBER($D23),ISNUMBER($E23),AK$4&gt;=$D23,AK$4&lt;=$E23,NETWORKDAYS(AK$4,AK$4,'Sources &amp; Change Log'!$J$2:$J$5)=1,COUNTIFS('Team Calendar'!$A$5:$A$14,$F23,'Team Calendar'!$C$5:$C$14,AK$4,'Team Calendar'!$F$5:$F$14,"Personal absence")=0),1,"")</x:f>
      </x:c>
      <x:c r="AL23" s="211" t="str">
        <x:f>IF(AND(ISNUMBER($D23),ISNUMBER($E23),AL$4&gt;=$D23,AL$4&lt;=$E23,NETWORKDAYS(AL$4,AL$4,'Sources &amp; Change Log'!$J$2:$J$5)=1,COUNTIFS('Team Calendar'!$A$5:$A$14,$F23,'Team Calendar'!$C$5:$C$14,AL$4,'Team Calendar'!$F$5:$F$14,"Personal absence")=0),1,"")</x:f>
      </x:c>
      <x:c r="AM23" s="211" t="str">
        <x:f>IF(AND(ISNUMBER($D23),ISNUMBER($E23),AM$4&gt;=$D23,AM$4&lt;=$E23,NETWORKDAYS(AM$4,AM$4,'Sources &amp; Change Log'!$J$2:$J$5)=1,COUNTIFS('Team Calendar'!$A$5:$A$14,$F23,'Team Calendar'!$C$5:$C$14,AM$4,'Team Calendar'!$F$5:$F$14,"Personal absence")=0),1,"")</x:f>
      </x:c>
      <x:c r="AN23" s="211" t="str">
        <x:f>IF(AND(ISNUMBER($D23),ISNUMBER($E23),AN$4&gt;=$D23,AN$4&lt;=$E23,NETWORKDAYS(AN$4,AN$4,'Sources &amp; Change Log'!$J$2:$J$5)=1,COUNTIFS('Team Calendar'!$A$5:$A$14,$F23,'Team Calendar'!$C$5:$C$14,AN$4,'Team Calendar'!$F$5:$F$14,"Personal absence")=0),1,"")</x:f>
      </x:c>
      <x:c r="AO23" s="211" t="str">
        <x:f>IF(AND(ISNUMBER($D23),ISNUMBER($E23),AO$4&gt;=$D23,AO$4&lt;=$E23,NETWORKDAYS(AO$4,AO$4,'Sources &amp; Change Log'!$J$2:$J$5)=1,COUNTIFS('Team Calendar'!$A$5:$A$14,$F23,'Team Calendar'!$C$5:$C$14,AO$4,'Team Calendar'!$F$5:$F$14,"Personal absence")=0),1,"")</x:f>
      </x:c>
      <x:c r="AP23" s="211" t="str">
        <x:f>IF(AND(ISNUMBER($D23),ISNUMBER($E23),AP$4&gt;=$D23,AP$4&lt;=$E23,NETWORKDAYS(AP$4,AP$4,'Sources &amp; Change Log'!$J$2:$J$5)=1,COUNTIFS('Team Calendar'!$A$5:$A$14,$F23,'Team Calendar'!$C$5:$C$14,AP$4,'Team Calendar'!$F$5:$F$14,"Personal absence")=0),1,"")</x:f>
      </x:c>
      <x:c r="AQ23" s="211" t="str">
        <x:f>IF(AND(ISNUMBER($D23),ISNUMBER($E23),AQ$4&gt;=$D23,AQ$4&lt;=$E23,NETWORKDAYS(AQ$4,AQ$4,'Sources &amp; Change Log'!$J$2:$J$5)=1,COUNTIFS('Team Calendar'!$A$5:$A$14,$F23,'Team Calendar'!$C$5:$C$14,AQ$4,'Team Calendar'!$F$5:$F$14,"Personal absence")=0),1,"")</x:f>
      </x:c>
      <x:c r="AR23" s="211" t="str">
        <x:f>IF(AND(ISNUMBER($D23),ISNUMBER($E23),AR$4&gt;=$D23,AR$4&lt;=$E23,NETWORKDAYS(AR$4,AR$4,'Sources &amp; Change Log'!$J$2:$J$5)=1,COUNTIFS('Team Calendar'!$A$5:$A$14,$F23,'Team Calendar'!$C$5:$C$14,AR$4,'Team Calendar'!$F$5:$F$14,"Personal absence")=0),1,"")</x:f>
      </x:c>
      <x:c r="AS23" s="211" t="str">
        <x:f>IF(AND(ISNUMBER($D23),ISNUMBER($E23),AS$4&gt;=$D23,AS$4&lt;=$E23,NETWORKDAYS(AS$4,AS$4,'Sources &amp; Change Log'!$J$2:$J$5)=1,COUNTIFS('Team Calendar'!$A$5:$A$14,$F23,'Team Calendar'!$C$5:$C$14,AS$4,'Team Calendar'!$F$5:$F$14,"Personal absence")=0),1,"")</x:f>
      </x:c>
      <x:c r="AT23" s="211" t="str">
        <x:f>IF(AND(ISNUMBER($D23),ISNUMBER($E23),AT$4&gt;=$D23,AT$4&lt;=$E23,NETWORKDAYS(AT$4,AT$4,'Sources &amp; Change Log'!$J$2:$J$5)=1,COUNTIFS('Team Calendar'!$A$5:$A$14,$F23,'Team Calendar'!$C$5:$C$14,AT$4,'Team Calendar'!$F$5:$F$14,"Personal absence")=0),1,"")</x:f>
      </x:c>
      <x:c r="AU23" s="211" t="str">
        <x:f>IF(AND(ISNUMBER($D23),ISNUMBER($E23),AU$4&gt;=$D23,AU$4&lt;=$E23,NETWORKDAYS(AU$4,AU$4,'Sources &amp; Change Log'!$J$2:$J$5)=1,COUNTIFS('Team Calendar'!$A$5:$A$14,$F23,'Team Calendar'!$C$5:$C$14,AU$4,'Team Calendar'!$F$5:$F$14,"Personal absence")=0),1,"")</x:f>
      </x:c>
      <x:c r="AV23" s="211" t="str">
        <x:f>IF(AND(ISNUMBER($D23),ISNUMBER($E23),AV$4&gt;=$D23,AV$4&lt;=$E23,NETWORKDAYS(AV$4,AV$4,'Sources &amp; Change Log'!$J$2:$J$5)=1,COUNTIFS('Team Calendar'!$A$5:$A$14,$F23,'Team Calendar'!$C$5:$C$14,AV$4,'Team Calendar'!$F$5:$F$14,"Personal absence")=0),1,"")</x:f>
      </x:c>
      <x:c r="AW23" s="211" t="str">
        <x:f>IF(AND(ISNUMBER($D23),ISNUMBER($E23),AW$4&gt;=$D23,AW$4&lt;=$E23,NETWORKDAYS(AW$4,AW$4,'Sources &amp; Change Log'!$J$2:$J$5)=1,COUNTIFS('Team Calendar'!$A$5:$A$14,$F23,'Team Calendar'!$C$5:$C$14,AW$4,'Team Calendar'!$F$5:$F$14,"Personal absence")=0),1,"")</x:f>
      </x:c>
      <x:c r="AX23" s="211" t="str">
        <x:f>IF(AND(ISNUMBER($D23),ISNUMBER($E23),AX$4&gt;=$D23,AX$4&lt;=$E23,NETWORKDAYS(AX$4,AX$4,'Sources &amp; Change Log'!$J$2:$J$5)=1,COUNTIFS('Team Calendar'!$A$5:$A$14,$F23,'Team Calendar'!$C$5:$C$14,AX$4,'Team Calendar'!$F$5:$F$14,"Personal absence")=0),1,"")</x:f>
      </x:c>
      <x:c r="AY23" s="206"/>
      <x:c r="AZ23" s="206"/>
    </x:row>
    <x:row r="24" ht="30" customHeight="1">
      <x:c r="A24" s="195" t="str">
        <x:f>WBS!A25</x:f>
        <x:v>P1-HA-02</x:v>
      </x:c>
      <x:c r="B24" s="195" t="str">
        <x:f>WBS!B25</x:f>
        <x:v>Platform Resilience P1 Validation</x:v>
      </x:c>
      <x:c r="C24" s="195" t="str">
        <x:f>WBS!G25</x:f>
        <x:v>To Do</x:v>
      </x:c>
      <x:c r="D24" s="225" t="n">
        <x:f>WBS!H25</x:f>
        <x:v>0</x:v>
      </x:c>
      <x:c r="E24" s="225" t="n">
        <x:f>WBS!I25</x:f>
        <x:v>0</x:v>
      </x:c>
      <x:c r="F24" s="13" t="str">
        <x:f>WBS!L25</x:f>
        <x:v>이하영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8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str">
        <x:f>IF(AND(ISNUMBER($D24),ISNUMBER($E24),P$4&gt;=$D24,P$4&lt;=$E24,NETWORKDAYS(P$4,P$4,'Sources &amp; Change Log'!$J$2:$J$5)=1,COUNTIFS('Team Calendar'!$A$5:$A$14,$F24,'Team Calendar'!$C$5:$C$14,P$4,'Team Calendar'!$F$5:$F$14,"Personal absence")=0),1,"")</x:f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11" t="str">
        <x:f>IF(AND(ISNUMBER($D24),ISNUMBER($E24),AJ$4&gt;=$D24,AJ$4&lt;=$E24,NETWORKDAYS(AJ$4,AJ$4,'Sources &amp; Change Log'!$J$2:$J$5)=1,COUNTIFS('Team Calendar'!$A$5:$A$14,$F24,'Team Calendar'!$C$5:$C$14,AJ$4,'Team Calendar'!$F$5:$F$14,"Personal absence")=0),1,"")</x:f>
      </x:c>
      <x:c r="AK24" s="211" t="str">
        <x:f>IF(AND(ISNUMBER($D24),ISNUMBER($E24),AK$4&gt;=$D24,AK$4&lt;=$E24,NETWORKDAYS(AK$4,AK$4,'Sources &amp; Change Log'!$J$2:$J$5)=1,COUNTIFS('Team Calendar'!$A$5:$A$14,$F24,'Team Calendar'!$C$5:$C$14,AK$4,'Team Calendar'!$F$5:$F$14,"Personal absence")=0),1,"")</x:f>
      </x:c>
      <x:c r="AL24" s="211" t="str">
        <x:f>IF(AND(ISNUMBER($D24),ISNUMBER($E24),AL$4&gt;=$D24,AL$4&lt;=$E24,NETWORKDAYS(AL$4,AL$4,'Sources &amp; Change Log'!$J$2:$J$5)=1,COUNTIFS('Team Calendar'!$A$5:$A$14,$F24,'Team Calendar'!$C$5:$C$14,AL$4,'Team Calendar'!$F$5:$F$14,"Personal absence")=0),1,"")</x:f>
      </x:c>
      <x:c r="AM24" s="211" t="str">
        <x:f>IF(AND(ISNUMBER($D24),ISNUMBER($E24),AM$4&gt;=$D24,AM$4&lt;=$E24,NETWORKDAYS(AM$4,AM$4,'Sources &amp; Change Log'!$J$2:$J$5)=1,COUNTIFS('Team Calendar'!$A$5:$A$14,$F24,'Team Calendar'!$C$5:$C$14,AM$4,'Team Calendar'!$F$5:$F$14,"Personal absence")=0),1,"")</x:f>
      </x:c>
      <x:c r="AN24" s="211" t="str">
        <x:f>IF(AND(ISNUMBER($D24),ISNUMBER($E24),AN$4&gt;=$D24,AN$4&lt;=$E24,NETWORKDAYS(AN$4,AN$4,'Sources &amp; Change Log'!$J$2:$J$5)=1,COUNTIFS('Team Calendar'!$A$5:$A$14,$F24,'Team Calendar'!$C$5:$C$14,AN$4,'Team Calendar'!$F$5:$F$14,"Personal absence")=0),1,"")</x:f>
      </x:c>
      <x:c r="AO24" s="211" t="str">
        <x:f>IF(AND(ISNUMBER($D24),ISNUMBER($E24),AO$4&gt;=$D24,AO$4&lt;=$E24,NETWORKDAYS(AO$4,AO$4,'Sources &amp; Change Log'!$J$2:$J$5)=1,COUNTIFS('Team Calendar'!$A$5:$A$14,$F24,'Team Calendar'!$C$5:$C$14,AO$4,'Team Calendar'!$F$5:$F$14,"Personal absence")=0),1,"")</x:f>
      </x:c>
      <x:c r="AP24" s="211" t="str">
        <x:f>IF(AND(ISNUMBER($D24),ISNUMBER($E24),AP$4&gt;=$D24,AP$4&lt;=$E24,NETWORKDAYS(AP$4,AP$4,'Sources &amp; Change Log'!$J$2:$J$5)=1,COUNTIFS('Team Calendar'!$A$5:$A$14,$F24,'Team Calendar'!$C$5:$C$14,AP$4,'Team Calendar'!$F$5:$F$14,"Personal absence")=0),1,"")</x:f>
      </x:c>
      <x:c r="AQ24" s="211" t="str">
        <x:f>IF(AND(ISNUMBER($D24),ISNUMBER($E24),AQ$4&gt;=$D24,AQ$4&lt;=$E24,NETWORKDAYS(AQ$4,AQ$4,'Sources &amp; Change Log'!$J$2:$J$5)=1,COUNTIFS('Team Calendar'!$A$5:$A$14,$F24,'Team Calendar'!$C$5:$C$14,AQ$4,'Team Calendar'!$F$5:$F$14,"Personal absence")=0),1,"")</x:f>
      </x:c>
      <x:c r="AR24" s="211" t="str">
        <x:f>IF(AND(ISNUMBER($D24),ISNUMBER($E24),AR$4&gt;=$D24,AR$4&lt;=$E24,NETWORKDAYS(AR$4,AR$4,'Sources &amp; Change Log'!$J$2:$J$5)=1,COUNTIFS('Team Calendar'!$A$5:$A$14,$F24,'Team Calendar'!$C$5:$C$14,AR$4,'Team Calendar'!$F$5:$F$14,"Personal absence")=0),1,"")</x:f>
      </x:c>
      <x:c r="AS24" s="211" t="str">
        <x:f>IF(AND(ISNUMBER($D24),ISNUMBER($E24),AS$4&gt;=$D24,AS$4&lt;=$E24,NETWORKDAYS(AS$4,AS$4,'Sources &amp; Change Log'!$J$2:$J$5)=1,COUNTIFS('Team Calendar'!$A$5:$A$14,$F24,'Team Calendar'!$C$5:$C$14,AS$4,'Team Calendar'!$F$5:$F$14,"Personal absence")=0),1,"")</x:f>
      </x:c>
      <x:c r="AT24" s="211" t="str">
        <x:f>IF(AND(ISNUMBER($D24),ISNUMBER($E24),AT$4&gt;=$D24,AT$4&lt;=$E24,NETWORKDAYS(AT$4,AT$4,'Sources &amp; Change Log'!$J$2:$J$5)=1,COUNTIFS('Team Calendar'!$A$5:$A$14,$F24,'Team Calendar'!$C$5:$C$14,AT$4,'Team Calendar'!$F$5:$F$14,"Personal absence")=0),1,"")</x:f>
      </x:c>
      <x:c r="AU24" s="211" t="str">
        <x:f>IF(AND(ISNUMBER($D24),ISNUMBER($E24),AU$4&gt;=$D24,AU$4&lt;=$E24,NETWORKDAYS(AU$4,AU$4,'Sources &amp; Change Log'!$J$2:$J$5)=1,COUNTIFS('Team Calendar'!$A$5:$A$14,$F24,'Team Calendar'!$C$5:$C$14,AU$4,'Team Calendar'!$F$5:$F$14,"Personal absence")=0),1,"")</x:f>
      </x:c>
      <x:c r="AV24" s="211" t="str">
        <x:f>IF(AND(ISNUMBER($D24),ISNUMBER($E24),AV$4&gt;=$D24,AV$4&lt;=$E24,NETWORKDAYS(AV$4,AV$4,'Sources &amp; Change Log'!$J$2:$J$5)=1,COUNTIFS('Team Calendar'!$A$5:$A$14,$F24,'Team Calendar'!$C$5:$C$14,AV$4,'Team Calendar'!$F$5:$F$14,"Personal absence")=0),1,"")</x:f>
      </x:c>
      <x:c r="AW24" s="211" t="str">
        <x:f>IF(AND(ISNUMBER($D24),ISNUMBER($E24),AW$4&gt;=$D24,AW$4&lt;=$E24,NETWORKDAYS(AW$4,AW$4,'Sources &amp; Change Log'!$J$2:$J$5)=1,COUNTIFS('Team Calendar'!$A$5:$A$14,$F24,'Team Calendar'!$C$5:$C$14,AW$4,'Team Calendar'!$F$5:$F$14,"Personal absence")=0),1,"")</x:f>
      </x:c>
      <x:c r="AX24" s="211" t="str">
        <x:f>IF(AND(ISNUMBER($D24),ISNUMBER($E24),AX$4&gt;=$D24,AX$4&lt;=$E24,NETWORKDAYS(AX$4,AX$4,'Sources &amp; Change Log'!$J$2:$J$5)=1,COUNTIFS('Team Calendar'!$A$5:$A$14,$F24,'Team Calendar'!$C$5:$C$14,AX$4,'Team Calendar'!$F$5:$F$14,"Personal absence")=0),1,"")</x:f>
      </x:c>
      <x:c r="AY24" s="206"/>
      <x:c r="AZ24" s="206"/>
    </x:row>
    <x:row r="25" ht="30" customHeight="1">
      <x:c r="A25" s="195" t="str">
        <x:f>WBS!A26</x:f>
        <x:v>DEC-CAL-P1-01</x:v>
      </x:c>
      <x:c r="B25" s="195" t="str">
        <x:f>WBS!B26</x:f>
        <x:v>Phase 1 Weekend Review Decision</x:v>
      </x:c>
      <x:c r="C25" s="195" t="str">
        <x:f>WBS!G26</x:f>
        <x:v>Done</x:v>
      </x:c>
      <x:c r="D25" s="225" t="n">
        <x:f>WBS!H26</x:f>
        <x:v>46276</x:v>
      </x:c>
      <x:c r="E25" s="225" t="n">
        <x:f>WBS!I26</x:f>
        <x:v>46276</x:v>
      </x:c>
      <x:c r="F25" s="13" t="str">
        <x:f>WBS!L26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8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n">
        <x:f>IF(AND(ISNUMBER($D25),ISNUMBER($E25),Y$4&gt;=$D25,Y$4&lt;=$E25,NETWORKDAYS(Y$4,Y$4,'Sources &amp; Change Log'!$J$2:$J$5)=1,COUNTIFS('Team Calendar'!$A$5:$A$14,$F25,'Team Calendar'!$C$5:$C$14,Y$4,'Team Calendar'!$F$5:$F$14,"Personal absence")=0),1,"")</x:f>
        <x:v>1</x:v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str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11" t="str">
        <x:f>IF(AND(ISNUMBER($D25),ISNUMBER($E25),AJ$4&gt;=$D25,AJ$4&lt;=$E25,NETWORKDAYS(AJ$4,AJ$4,'Sources &amp; Change Log'!$J$2:$J$5)=1,COUNTIFS('Team Calendar'!$A$5:$A$14,$F25,'Team Calendar'!$C$5:$C$14,AJ$4,'Team Calendar'!$F$5:$F$14,"Personal absence")=0),1,"")</x:f>
      </x:c>
      <x:c r="AK25" s="211" t="str">
        <x:f>IF(AND(ISNUMBER($D25),ISNUMBER($E25),AK$4&gt;=$D25,AK$4&lt;=$E25,NETWORKDAYS(AK$4,AK$4,'Sources &amp; Change Log'!$J$2:$J$5)=1,COUNTIFS('Team Calendar'!$A$5:$A$14,$F25,'Team Calendar'!$C$5:$C$14,AK$4,'Team Calendar'!$F$5:$F$14,"Personal absence")=0),1,"")</x:f>
      </x:c>
      <x:c r="AL25" s="211" t="str">
        <x:f>IF(AND(ISNUMBER($D25),ISNUMBER($E25),AL$4&gt;=$D25,AL$4&lt;=$E25,NETWORKDAYS(AL$4,AL$4,'Sources &amp; Change Log'!$J$2:$J$5)=1,COUNTIFS('Team Calendar'!$A$5:$A$14,$F25,'Team Calendar'!$C$5:$C$14,AL$4,'Team Calendar'!$F$5:$F$14,"Personal absence")=0),1,"")</x:f>
      </x:c>
      <x:c r="AM25" s="211" t="str">
        <x:f>IF(AND(ISNUMBER($D25),ISNUMBER($E25),AM$4&gt;=$D25,AM$4&lt;=$E25,NETWORKDAYS(AM$4,AM$4,'Sources &amp; Change Log'!$J$2:$J$5)=1,COUNTIFS('Team Calendar'!$A$5:$A$14,$F25,'Team Calendar'!$C$5:$C$14,AM$4,'Team Calendar'!$F$5:$F$14,"Personal absence")=0),1,"")</x:f>
      </x:c>
      <x:c r="AN25" s="211" t="str">
        <x:f>IF(AND(ISNUMBER($D25),ISNUMBER($E25),AN$4&gt;=$D25,AN$4&lt;=$E25,NETWORKDAYS(AN$4,AN$4,'Sources &amp; Change Log'!$J$2:$J$5)=1,COUNTIFS('Team Calendar'!$A$5:$A$14,$F25,'Team Calendar'!$C$5:$C$14,AN$4,'Team Calendar'!$F$5:$F$14,"Personal absence")=0),1,"")</x:f>
      </x:c>
      <x:c r="AO25" s="211" t="str">
        <x:f>IF(AND(ISNUMBER($D25),ISNUMBER($E25),AO$4&gt;=$D25,AO$4&lt;=$E25,NETWORKDAYS(AO$4,AO$4,'Sources &amp; Change Log'!$J$2:$J$5)=1,COUNTIFS('Team Calendar'!$A$5:$A$14,$F25,'Team Calendar'!$C$5:$C$14,AO$4,'Team Calendar'!$F$5:$F$14,"Personal absence")=0),1,"")</x:f>
      </x:c>
      <x:c r="AP25" s="211" t="str">
        <x:f>IF(AND(ISNUMBER($D25),ISNUMBER($E25),AP$4&gt;=$D25,AP$4&lt;=$E25,NETWORKDAYS(AP$4,AP$4,'Sources &amp; Change Log'!$J$2:$J$5)=1,COUNTIFS('Team Calendar'!$A$5:$A$14,$F25,'Team Calendar'!$C$5:$C$14,AP$4,'Team Calendar'!$F$5:$F$14,"Personal absence")=0),1,"")</x:f>
      </x:c>
      <x:c r="AQ25" s="211" t="str">
        <x:f>IF(AND(ISNUMBER($D25),ISNUMBER($E25),AQ$4&gt;=$D25,AQ$4&lt;=$E25,NETWORKDAYS(AQ$4,AQ$4,'Sources &amp; Change Log'!$J$2:$J$5)=1,COUNTIFS('Team Calendar'!$A$5:$A$14,$F25,'Team Calendar'!$C$5:$C$14,AQ$4,'Team Calendar'!$F$5:$F$14,"Personal absence")=0),1,"")</x:f>
      </x:c>
      <x:c r="AR25" s="211" t="str">
        <x:f>IF(AND(ISNUMBER($D25),ISNUMBER($E25),AR$4&gt;=$D25,AR$4&lt;=$E25,NETWORKDAYS(AR$4,AR$4,'Sources &amp; Change Log'!$J$2:$J$5)=1,COUNTIFS('Team Calendar'!$A$5:$A$14,$F25,'Team Calendar'!$C$5:$C$14,AR$4,'Team Calendar'!$F$5:$F$14,"Personal absence")=0),1,"")</x:f>
      </x:c>
      <x:c r="AS25" s="211" t="str">
        <x:f>IF(AND(ISNUMBER($D25),ISNUMBER($E25),AS$4&gt;=$D25,AS$4&lt;=$E25,NETWORKDAYS(AS$4,AS$4,'Sources &amp; Change Log'!$J$2:$J$5)=1,COUNTIFS('Team Calendar'!$A$5:$A$14,$F25,'Team Calendar'!$C$5:$C$14,AS$4,'Team Calendar'!$F$5:$F$14,"Personal absence")=0),1,"")</x:f>
      </x:c>
      <x:c r="AT25" s="211" t="str">
        <x:f>IF(AND(ISNUMBER($D25),ISNUMBER($E25),AT$4&gt;=$D25,AT$4&lt;=$E25,NETWORKDAYS(AT$4,AT$4,'Sources &amp; Change Log'!$J$2:$J$5)=1,COUNTIFS('Team Calendar'!$A$5:$A$14,$F25,'Team Calendar'!$C$5:$C$14,AT$4,'Team Calendar'!$F$5:$F$14,"Personal absence")=0),1,"")</x:f>
      </x:c>
      <x:c r="AU25" s="211" t="str">
        <x:f>IF(AND(ISNUMBER($D25),ISNUMBER($E25),AU$4&gt;=$D25,AU$4&lt;=$E25,NETWORKDAYS(AU$4,AU$4,'Sources &amp; Change Log'!$J$2:$J$5)=1,COUNTIFS('Team Calendar'!$A$5:$A$14,$F25,'Team Calendar'!$C$5:$C$14,AU$4,'Team Calendar'!$F$5:$F$14,"Personal absence")=0),1,"")</x:f>
      </x:c>
      <x:c r="AV25" s="211" t="str">
        <x:f>IF(AND(ISNUMBER($D25),ISNUMBER($E25),AV$4&gt;=$D25,AV$4&lt;=$E25,NETWORKDAYS(AV$4,AV$4,'Sources &amp; Change Log'!$J$2:$J$5)=1,COUNTIFS('Team Calendar'!$A$5:$A$14,$F25,'Team Calendar'!$C$5:$C$14,AV$4,'Team Calendar'!$F$5:$F$14,"Personal absence")=0),1,"")</x:f>
      </x:c>
      <x:c r="AW25" s="211" t="str">
        <x:f>IF(AND(ISNUMBER($D25),ISNUMBER($E25),AW$4&gt;=$D25,AW$4&lt;=$E25,NETWORKDAYS(AW$4,AW$4,'Sources &amp; Change Log'!$J$2:$J$5)=1,COUNTIFS('Team Calendar'!$A$5:$A$14,$F25,'Team Calendar'!$C$5:$C$14,AW$4,'Team Calendar'!$F$5:$F$14,"Personal absence")=0),1,"")</x:f>
      </x:c>
      <x:c r="AX25" s="211" t="str">
        <x:f>IF(AND(ISNUMBER($D25),ISNUMBER($E25),AX$4&gt;=$D25,AX$4&lt;=$E25,NETWORKDAYS(AX$4,AX$4,'Sources &amp; Change Log'!$J$2:$J$5)=1,COUNTIFS('Team Calendar'!$A$5:$A$14,$F25,'Team Calendar'!$C$5:$C$14,AX$4,'Team Calendar'!$F$5:$F$14,"Personal absence")=0),1,"")</x:f>
      </x:c>
      <x:c r="AY25" s="206"/>
      <x:c r="AZ25" s="206"/>
    </x:row>
    <x:row r="26" ht="30" customHeight="1">
      <x:c r="A26" s="195" t="str">
        <x:f>WBS!A27</x:f>
        <x:v>MS-G3-01</x:v>
      </x:c>
      <x:c r="B26" s="195" t="str">
        <x:f>WBS!B27</x:f>
        <x:v>G3 Review Ready</x:v>
      </x:c>
      <x:c r="C26" s="195" t="str">
        <x:f>WBS!G27</x:f>
        <x:v>To Do</x:v>
      </x:c>
      <x:c r="D26" s="225" t="n">
        <x:f>WBS!H27</x:f>
        <x:v>46297</x:v>
      </x:c>
      <x:c r="E26" s="225" t="n">
        <x:f>WBS!I27</x:f>
        <x:v>46297</x:v>
      </x:c>
      <x:c r="F26" s="13" t="str">
        <x:f>WBS!L27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8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str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11" t="str">
        <x:f>IF(AND(ISNUMBER($D26),ISNUMBER($E26),AJ$4&gt;=$D26,AJ$4&lt;=$E26,NETWORKDAYS(AJ$4,AJ$4,'Sources &amp; Change Log'!$J$2:$J$5)=1,COUNTIFS('Team Calendar'!$A$5:$A$14,$F26,'Team Calendar'!$C$5:$C$14,AJ$4,'Team Calendar'!$F$5:$F$14,"Personal absence")=0),1,"")</x:f>
      </x:c>
      <x:c r="AK26" s="211" t="str">
        <x:f>IF(AND(ISNUMBER($D26),ISNUMBER($E26),AK$4&gt;=$D26,AK$4&lt;=$E26,NETWORKDAYS(AK$4,AK$4,'Sources &amp; Change Log'!$J$2:$J$5)=1,COUNTIFS('Team Calendar'!$A$5:$A$14,$F26,'Team Calendar'!$C$5:$C$14,AK$4,'Team Calendar'!$F$5:$F$14,"Personal absence")=0),1,"")</x:f>
      </x:c>
      <x:c r="AL26" s="211" t="str">
        <x:f>IF(AND(ISNUMBER($D26),ISNUMBER($E26),AL$4&gt;=$D26,AL$4&lt;=$E26,NETWORKDAYS(AL$4,AL$4,'Sources &amp; Change Log'!$J$2:$J$5)=1,COUNTIFS('Team Calendar'!$A$5:$A$14,$F26,'Team Calendar'!$C$5:$C$14,AL$4,'Team Calendar'!$F$5:$F$14,"Personal absence")=0),1,"")</x:f>
      </x:c>
      <x:c r="AM26" s="211" t="str">
        <x:f>IF(AND(ISNUMBER($D26),ISNUMBER($E26),AM$4&gt;=$D26,AM$4&lt;=$E26,NETWORKDAYS(AM$4,AM$4,'Sources &amp; Change Log'!$J$2:$J$5)=1,COUNTIFS('Team Calendar'!$A$5:$A$14,$F26,'Team Calendar'!$C$5:$C$14,AM$4,'Team Calendar'!$F$5:$F$14,"Personal absence")=0),1,"")</x:f>
      </x:c>
      <x:c r="AN26" s="211" t="str">
        <x:f>IF(AND(ISNUMBER($D26),ISNUMBER($E26),AN$4&gt;=$D26,AN$4&lt;=$E26,NETWORKDAYS(AN$4,AN$4,'Sources &amp; Change Log'!$J$2:$J$5)=1,COUNTIFS('Team Calendar'!$A$5:$A$14,$F26,'Team Calendar'!$C$5:$C$14,AN$4,'Team Calendar'!$F$5:$F$14,"Personal absence")=0),1,"")</x:f>
      </x:c>
      <x:c r="AO26" s="211" t="str">
        <x:f>IF(AND(ISNUMBER($D26),ISNUMBER($E26),AO$4&gt;=$D26,AO$4&lt;=$E26,NETWORKDAYS(AO$4,AO$4,'Sources &amp; Change Log'!$J$2:$J$5)=1,COUNTIFS('Team Calendar'!$A$5:$A$14,$F26,'Team Calendar'!$C$5:$C$14,AO$4,'Team Calendar'!$F$5:$F$14,"Personal absence")=0),1,"")</x:f>
      </x:c>
      <x:c r="AP26" s="211" t="str">
        <x:f>IF(AND(ISNUMBER($D26),ISNUMBER($E26),AP$4&gt;=$D26,AP$4&lt;=$E26,NETWORKDAYS(AP$4,AP$4,'Sources &amp; Change Log'!$J$2:$J$5)=1,COUNTIFS('Team Calendar'!$A$5:$A$14,$F26,'Team Calendar'!$C$5:$C$14,AP$4,'Team Calendar'!$F$5:$F$14,"Personal absence")=0),1,"")</x:f>
      </x:c>
      <x:c r="AQ26" s="211" t="str">
        <x:f>IF(AND(ISNUMBER($D26),ISNUMBER($E26),AQ$4&gt;=$D26,AQ$4&lt;=$E26,NETWORKDAYS(AQ$4,AQ$4,'Sources &amp; Change Log'!$J$2:$J$5)=1,COUNTIFS('Team Calendar'!$A$5:$A$14,$F26,'Team Calendar'!$C$5:$C$14,AQ$4,'Team Calendar'!$F$5:$F$14,"Personal absence")=0),1,"")</x:f>
      </x:c>
      <x:c r="AR26" s="211" t="str">
        <x:f>IF(AND(ISNUMBER($D26),ISNUMBER($E26),AR$4&gt;=$D26,AR$4&lt;=$E26,NETWORKDAYS(AR$4,AR$4,'Sources &amp; Change Log'!$J$2:$J$5)=1,COUNTIFS('Team Calendar'!$A$5:$A$14,$F26,'Team Calendar'!$C$5:$C$14,AR$4,'Team Calendar'!$F$5:$F$14,"Personal absence")=0),1,"")</x:f>
      </x:c>
      <x:c r="AS26" s="211" t="str">
        <x:f>IF(AND(ISNUMBER($D26),ISNUMBER($E26),AS$4&gt;=$D26,AS$4&lt;=$E26,NETWORKDAYS(AS$4,AS$4,'Sources &amp; Change Log'!$J$2:$J$5)=1,COUNTIFS('Team Calendar'!$A$5:$A$14,$F26,'Team Calendar'!$C$5:$C$14,AS$4,'Team Calendar'!$F$5:$F$14,"Personal absence")=0),1,"")</x:f>
      </x:c>
      <x:c r="AT26" s="211" t="n">
        <x:f>IF(AND(ISNUMBER($D26),ISNUMBER($E26),AT$4&gt;=$D26,AT$4&lt;=$E26,NETWORKDAYS(AT$4,AT$4,'Sources &amp; Change Log'!$J$2:$J$5)=1,COUNTIFS('Team Calendar'!$A$5:$A$14,$F26,'Team Calendar'!$C$5:$C$14,AT$4,'Team Calendar'!$F$5:$F$14,"Personal absence")=0),1,"")</x:f>
        <x:v>1</x:v>
      </x:c>
      <x:c r="AU26" s="211" t="str">
        <x:f>IF(AND(ISNUMBER($D26),ISNUMBER($E26),AU$4&gt;=$D26,AU$4&lt;=$E26,NETWORKDAYS(AU$4,AU$4,'Sources &amp; Change Log'!$J$2:$J$5)=1,COUNTIFS('Team Calendar'!$A$5:$A$14,$F26,'Team Calendar'!$C$5:$C$14,AU$4,'Team Calendar'!$F$5:$F$14,"Personal absence")=0),1,"")</x:f>
      </x:c>
      <x:c r="AV26" s="211" t="str">
        <x:f>IF(AND(ISNUMBER($D26),ISNUMBER($E26),AV$4&gt;=$D26,AV$4&lt;=$E26,NETWORKDAYS(AV$4,AV$4,'Sources &amp; Change Log'!$J$2:$J$5)=1,COUNTIFS('Team Calendar'!$A$5:$A$14,$F26,'Team Calendar'!$C$5:$C$14,AV$4,'Team Calendar'!$F$5:$F$14,"Personal absence")=0),1,"")</x:f>
      </x:c>
      <x:c r="AW26" s="211" t="str">
        <x:f>IF(AND(ISNUMBER($D26),ISNUMBER($E26),AW$4&gt;=$D26,AW$4&lt;=$E26,NETWORKDAYS(AW$4,AW$4,'Sources &amp; Change Log'!$J$2:$J$5)=1,COUNTIFS('Team Calendar'!$A$5:$A$14,$F26,'Team Calendar'!$C$5:$C$14,AW$4,'Team Calendar'!$F$5:$F$14,"Personal absence")=0),1,"")</x:f>
      </x:c>
      <x:c r="AX26" s="211" t="str">
        <x:f>IF(AND(ISNUMBER($D26),ISNUMBER($E26),AX$4&gt;=$D26,AX$4&lt;=$E26,NETWORKDAYS(AX$4,AX$4,'Sources &amp; Change Log'!$J$2:$J$5)=1,COUNTIFS('Team Calendar'!$A$5:$A$14,$F26,'Team Calendar'!$C$5:$C$14,AX$4,'Team Calendar'!$F$5:$F$14,"Personal absence")=0),1,"")</x:f>
      </x:c>
      <x:c r="AY26" s="206"/>
      <x:c r="AZ26" s="206"/>
    </x:row>
    <x:row r="27" ht="30" customHeight="1">
      <x:c r="A27" s="195" t="str">
        <x:f>WBS!A28</x:f>
        <x:v>P1-REV-01</x:v>
      </x:c>
      <x:c r="B27" s="195" t="str">
        <x:f>WBS!B28</x:f>
        <x:v>Phase 1 Review / Close Execution</x:v>
      </x:c>
      <x:c r="C27" s="195" t="str">
        <x:f>WBS!G28</x:f>
        <x:v>To Do</x:v>
      </x:c>
      <x:c r="D27" s="225" t="n">
        <x:f>WBS!H28</x:f>
        <x:v>46301</x:v>
      </x:c>
      <x:c r="E27" s="225" t="n">
        <x:f>WBS!I28</x:f>
        <x:v>46301</x:v>
      </x:c>
      <x:c r="F27" s="13" t="str">
        <x:f>WBS!L28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8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str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str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</x:c>
      <x:c r="AJ27" s="211" t="str">
        <x:f>IF(AND(ISNUMBER($D27),ISNUMBER($E27),AJ$4&gt;=$D27,AJ$4&lt;=$E27,NETWORKDAYS(AJ$4,AJ$4,'Sources &amp; Change Log'!$J$2:$J$5)=1,COUNTIFS('Team Calendar'!$A$5:$A$14,$F27,'Team Calendar'!$C$5:$C$14,AJ$4,'Team Calendar'!$F$5:$F$14,"Personal absence")=0),1,"")</x:f>
      </x:c>
      <x:c r="AK27" s="211" t="str">
        <x:f>IF(AND(ISNUMBER($D27),ISNUMBER($E27),AK$4&gt;=$D27,AK$4&lt;=$E27,NETWORKDAYS(AK$4,AK$4,'Sources &amp; Change Log'!$J$2:$J$5)=1,COUNTIFS('Team Calendar'!$A$5:$A$14,$F27,'Team Calendar'!$C$5:$C$14,AK$4,'Team Calendar'!$F$5:$F$14,"Personal absence")=0),1,"")</x:f>
      </x:c>
      <x:c r="AL27" s="211" t="str">
        <x:f>IF(AND(ISNUMBER($D27),ISNUMBER($E27),AL$4&gt;=$D27,AL$4&lt;=$E27,NETWORKDAYS(AL$4,AL$4,'Sources &amp; Change Log'!$J$2:$J$5)=1,COUNTIFS('Team Calendar'!$A$5:$A$14,$F27,'Team Calendar'!$C$5:$C$14,AL$4,'Team Calendar'!$F$5:$F$14,"Personal absence")=0),1,"")</x:f>
      </x:c>
      <x:c r="AM27" s="211" t="str">
        <x:f>IF(AND(ISNUMBER($D27),ISNUMBER($E27),AM$4&gt;=$D27,AM$4&lt;=$E27,NETWORKDAYS(AM$4,AM$4,'Sources &amp; Change Log'!$J$2:$J$5)=1,COUNTIFS('Team Calendar'!$A$5:$A$14,$F27,'Team Calendar'!$C$5:$C$14,AM$4,'Team Calendar'!$F$5:$F$14,"Personal absence")=0),1,"")</x:f>
      </x:c>
      <x:c r="AN27" s="211" t="str">
        <x:f>IF(AND(ISNUMBER($D27),ISNUMBER($E27),AN$4&gt;=$D27,AN$4&lt;=$E27,NETWORKDAYS(AN$4,AN$4,'Sources &amp; Change Log'!$J$2:$J$5)=1,COUNTIFS('Team Calendar'!$A$5:$A$14,$F27,'Team Calendar'!$C$5:$C$14,AN$4,'Team Calendar'!$F$5:$F$14,"Personal absence")=0),1,"")</x:f>
      </x:c>
      <x:c r="AO27" s="211" t="str">
        <x:f>IF(AND(ISNUMBER($D27),ISNUMBER($E27),AO$4&gt;=$D27,AO$4&lt;=$E27,NETWORKDAYS(AO$4,AO$4,'Sources &amp; Change Log'!$J$2:$J$5)=1,COUNTIFS('Team Calendar'!$A$5:$A$14,$F27,'Team Calendar'!$C$5:$C$14,AO$4,'Team Calendar'!$F$5:$F$14,"Personal absence")=0),1,"")</x:f>
      </x:c>
      <x:c r="AP27" s="211" t="str">
        <x:f>IF(AND(ISNUMBER($D27),ISNUMBER($E27),AP$4&gt;=$D27,AP$4&lt;=$E27,NETWORKDAYS(AP$4,AP$4,'Sources &amp; Change Log'!$J$2:$J$5)=1,COUNTIFS('Team Calendar'!$A$5:$A$14,$F27,'Team Calendar'!$C$5:$C$14,AP$4,'Team Calendar'!$F$5:$F$14,"Personal absence")=0),1,"")</x:f>
      </x:c>
      <x:c r="AQ27" s="211" t="str">
        <x:f>IF(AND(ISNUMBER($D27),ISNUMBER($E27),AQ$4&gt;=$D27,AQ$4&lt;=$E27,NETWORKDAYS(AQ$4,AQ$4,'Sources &amp; Change Log'!$J$2:$J$5)=1,COUNTIFS('Team Calendar'!$A$5:$A$14,$F27,'Team Calendar'!$C$5:$C$14,AQ$4,'Team Calendar'!$F$5:$F$14,"Personal absence")=0),1,"")</x:f>
      </x:c>
      <x:c r="AR27" s="211" t="str">
        <x:f>IF(AND(ISNUMBER($D27),ISNUMBER($E27),AR$4&gt;=$D27,AR$4&lt;=$E27,NETWORKDAYS(AR$4,AR$4,'Sources &amp; Change Log'!$J$2:$J$5)=1,COUNTIFS('Team Calendar'!$A$5:$A$14,$F27,'Team Calendar'!$C$5:$C$14,AR$4,'Team Calendar'!$F$5:$F$14,"Personal absence")=0),1,"")</x:f>
      </x:c>
      <x:c r="AS27" s="211" t="str">
        <x:f>IF(AND(ISNUMBER($D27),ISNUMBER($E27),AS$4&gt;=$D27,AS$4&lt;=$E27,NETWORKDAYS(AS$4,AS$4,'Sources &amp; Change Log'!$J$2:$J$5)=1,COUNTIFS('Team Calendar'!$A$5:$A$14,$F27,'Team Calendar'!$C$5:$C$14,AS$4,'Team Calendar'!$F$5:$F$14,"Personal absence")=0),1,"")</x:f>
      </x:c>
      <x:c r="AT27" s="211" t="str">
        <x:f>IF(AND(ISNUMBER($D27),ISNUMBER($E27),AT$4&gt;=$D27,AT$4&lt;=$E27,NETWORKDAYS(AT$4,AT$4,'Sources &amp; Change Log'!$J$2:$J$5)=1,COUNTIFS('Team Calendar'!$A$5:$A$14,$F27,'Team Calendar'!$C$5:$C$14,AT$4,'Team Calendar'!$F$5:$F$14,"Personal absence")=0),1,"")</x:f>
      </x:c>
      <x:c r="AU27" s="211" t="str">
        <x:f>IF(AND(ISNUMBER($D27),ISNUMBER($E27),AU$4&gt;=$D27,AU$4&lt;=$E27,NETWORKDAYS(AU$4,AU$4,'Sources &amp; Change Log'!$J$2:$J$5)=1,COUNTIFS('Team Calendar'!$A$5:$A$14,$F27,'Team Calendar'!$C$5:$C$14,AU$4,'Team Calendar'!$F$5:$F$14,"Personal absence")=0),1,"")</x:f>
      </x:c>
      <x:c r="AV27" s="211" t="str">
        <x:f>IF(AND(ISNUMBER($D27),ISNUMBER($E27),AV$4&gt;=$D27,AV$4&lt;=$E27,NETWORKDAYS(AV$4,AV$4,'Sources &amp; Change Log'!$J$2:$J$5)=1,COUNTIFS('Team Calendar'!$A$5:$A$14,$F27,'Team Calendar'!$C$5:$C$14,AV$4,'Team Calendar'!$F$5:$F$14,"Personal absence")=0),1,"")</x:f>
      </x:c>
      <x:c r="AW27" s="211" t="str">
        <x:f>IF(AND(ISNUMBER($D27),ISNUMBER($E27),AW$4&gt;=$D27,AW$4&lt;=$E27,NETWORKDAYS(AW$4,AW$4,'Sources &amp; Change Log'!$J$2:$J$5)=1,COUNTIFS('Team Calendar'!$A$5:$A$14,$F27,'Team Calendar'!$C$5:$C$14,AW$4,'Team Calendar'!$F$5:$F$14,"Personal absence")=0),1,"")</x:f>
      </x:c>
      <x:c r="AX27" s="211" t="n">
        <x:f>IF(AND(ISNUMBER($D27),ISNUMBER($E27),AX$4&gt;=$D27,AX$4&lt;=$E27,NETWORKDAYS(AX$4,AX$4,'Sources &amp; Change Log'!$J$2:$J$5)=1,COUNTIFS('Team Calendar'!$A$5:$A$14,$F27,'Team Calendar'!$C$5:$C$14,AX$4,'Team Calendar'!$F$5:$F$14,"Personal absence")=0),1,"")</x:f>
        <x:v>1</x:v>
      </x:c>
      <x:c r="AY27" s="206"/>
      <x:c r="AZ27" s="206"/>
    </x:row>
    <x:row r="28" ht="30" customHeight="1">
      <x:c r="A28" s="195" t="str">
        <x:f>WBS!A29</x:f>
        <x:v>MS-P1-REVIEW-01</x:v>
      </x:c>
      <x:c r="B28" s="195" t="str">
        <x:f>WBS!B29</x:f>
        <x:v>Phase 1 Review</x:v>
      </x:c>
      <x:c r="C28" s="195" t="str">
        <x:f>WBS!G29</x:f>
        <x:v>To Do</x:v>
      </x:c>
      <x:c r="D28" s="225" t="n">
        <x:f>WBS!H29</x:f>
        <x:v>46301</x:v>
      </x:c>
      <x:c r="E28" s="225" t="n">
        <x:f>WBS!I29</x:f>
        <x:v>46301</x:v>
      </x:c>
      <x:c r="F28" s="13" t="str">
        <x:f>WBS!L29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8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str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11" t="str">
        <x:f>IF(AND(ISNUMBER($D28),ISNUMBER($E28),AJ$4&gt;=$D28,AJ$4&lt;=$E28,NETWORKDAYS(AJ$4,AJ$4,'Sources &amp; Change Log'!$J$2:$J$5)=1,COUNTIFS('Team Calendar'!$A$5:$A$14,$F28,'Team Calendar'!$C$5:$C$14,AJ$4,'Team Calendar'!$F$5:$F$14,"Personal absence")=0),1,"")</x:f>
      </x:c>
      <x:c r="AK28" s="211" t="str">
        <x:f>IF(AND(ISNUMBER($D28),ISNUMBER($E28),AK$4&gt;=$D28,AK$4&lt;=$E28,NETWORKDAYS(AK$4,AK$4,'Sources &amp; Change Log'!$J$2:$J$5)=1,COUNTIFS('Team Calendar'!$A$5:$A$14,$F28,'Team Calendar'!$C$5:$C$14,AK$4,'Team Calendar'!$F$5:$F$14,"Personal absence")=0),1,"")</x:f>
      </x:c>
      <x:c r="AL28" s="211" t="str">
        <x:f>IF(AND(ISNUMBER($D28),ISNUMBER($E28),AL$4&gt;=$D28,AL$4&lt;=$E28,NETWORKDAYS(AL$4,AL$4,'Sources &amp; Change Log'!$J$2:$J$5)=1,COUNTIFS('Team Calendar'!$A$5:$A$14,$F28,'Team Calendar'!$C$5:$C$14,AL$4,'Team Calendar'!$F$5:$F$14,"Personal absence")=0),1,"")</x:f>
      </x:c>
      <x:c r="AM28" s="211" t="str">
        <x:f>IF(AND(ISNUMBER($D28),ISNUMBER($E28),AM$4&gt;=$D28,AM$4&lt;=$E28,NETWORKDAYS(AM$4,AM$4,'Sources &amp; Change Log'!$J$2:$J$5)=1,COUNTIFS('Team Calendar'!$A$5:$A$14,$F28,'Team Calendar'!$C$5:$C$14,AM$4,'Team Calendar'!$F$5:$F$14,"Personal absence")=0),1,"")</x:f>
      </x:c>
      <x:c r="AN28" s="211" t="str">
        <x:f>IF(AND(ISNUMBER($D28),ISNUMBER($E28),AN$4&gt;=$D28,AN$4&lt;=$E28,NETWORKDAYS(AN$4,AN$4,'Sources &amp; Change Log'!$J$2:$J$5)=1,COUNTIFS('Team Calendar'!$A$5:$A$14,$F28,'Team Calendar'!$C$5:$C$14,AN$4,'Team Calendar'!$F$5:$F$14,"Personal absence")=0),1,"")</x:f>
      </x:c>
      <x:c r="AO28" s="211" t="str">
        <x:f>IF(AND(ISNUMBER($D28),ISNUMBER($E28),AO$4&gt;=$D28,AO$4&lt;=$E28,NETWORKDAYS(AO$4,AO$4,'Sources &amp; Change Log'!$J$2:$J$5)=1,COUNTIFS('Team Calendar'!$A$5:$A$14,$F28,'Team Calendar'!$C$5:$C$14,AO$4,'Team Calendar'!$F$5:$F$14,"Personal absence")=0),1,"")</x:f>
      </x:c>
      <x:c r="AP28" s="211" t="str">
        <x:f>IF(AND(ISNUMBER($D28),ISNUMBER($E28),AP$4&gt;=$D28,AP$4&lt;=$E28,NETWORKDAYS(AP$4,AP$4,'Sources &amp; Change Log'!$J$2:$J$5)=1,COUNTIFS('Team Calendar'!$A$5:$A$14,$F28,'Team Calendar'!$C$5:$C$14,AP$4,'Team Calendar'!$F$5:$F$14,"Personal absence")=0),1,"")</x:f>
      </x:c>
      <x:c r="AQ28" s="211" t="str">
        <x:f>IF(AND(ISNUMBER($D28),ISNUMBER($E28),AQ$4&gt;=$D28,AQ$4&lt;=$E28,NETWORKDAYS(AQ$4,AQ$4,'Sources &amp; Change Log'!$J$2:$J$5)=1,COUNTIFS('Team Calendar'!$A$5:$A$14,$F28,'Team Calendar'!$C$5:$C$14,AQ$4,'Team Calendar'!$F$5:$F$14,"Personal absence")=0),1,"")</x:f>
      </x:c>
      <x:c r="AR28" s="211" t="str">
        <x:f>IF(AND(ISNUMBER($D28),ISNUMBER($E28),AR$4&gt;=$D28,AR$4&lt;=$E28,NETWORKDAYS(AR$4,AR$4,'Sources &amp; Change Log'!$J$2:$J$5)=1,COUNTIFS('Team Calendar'!$A$5:$A$14,$F28,'Team Calendar'!$C$5:$C$14,AR$4,'Team Calendar'!$F$5:$F$14,"Personal absence")=0),1,"")</x:f>
      </x:c>
      <x:c r="AS28" s="211" t="str">
        <x:f>IF(AND(ISNUMBER($D28),ISNUMBER($E28),AS$4&gt;=$D28,AS$4&lt;=$E28,NETWORKDAYS(AS$4,AS$4,'Sources &amp; Change Log'!$J$2:$J$5)=1,COUNTIFS('Team Calendar'!$A$5:$A$14,$F28,'Team Calendar'!$C$5:$C$14,AS$4,'Team Calendar'!$F$5:$F$14,"Personal absence")=0),1,"")</x:f>
      </x:c>
      <x:c r="AT28" s="211" t="str">
        <x:f>IF(AND(ISNUMBER($D28),ISNUMBER($E28),AT$4&gt;=$D28,AT$4&lt;=$E28,NETWORKDAYS(AT$4,AT$4,'Sources &amp; Change Log'!$J$2:$J$5)=1,COUNTIFS('Team Calendar'!$A$5:$A$14,$F28,'Team Calendar'!$C$5:$C$14,AT$4,'Team Calendar'!$F$5:$F$14,"Personal absence")=0),1,"")</x:f>
      </x:c>
      <x:c r="AU28" s="211" t="str">
        <x:f>IF(AND(ISNUMBER($D28),ISNUMBER($E28),AU$4&gt;=$D28,AU$4&lt;=$E28,NETWORKDAYS(AU$4,AU$4,'Sources &amp; Change Log'!$J$2:$J$5)=1,COUNTIFS('Team Calendar'!$A$5:$A$14,$F28,'Team Calendar'!$C$5:$C$14,AU$4,'Team Calendar'!$F$5:$F$14,"Personal absence")=0),1,"")</x:f>
      </x:c>
      <x:c r="AV28" s="211" t="str">
        <x:f>IF(AND(ISNUMBER($D28),ISNUMBER($E28),AV$4&gt;=$D28,AV$4&lt;=$E28,NETWORKDAYS(AV$4,AV$4,'Sources &amp; Change Log'!$J$2:$J$5)=1,COUNTIFS('Team Calendar'!$A$5:$A$14,$F28,'Team Calendar'!$C$5:$C$14,AV$4,'Team Calendar'!$F$5:$F$14,"Personal absence")=0),1,"")</x:f>
      </x:c>
      <x:c r="AW28" s="211" t="str">
        <x:f>IF(AND(ISNUMBER($D28),ISNUMBER($E28),AW$4&gt;=$D28,AW$4&lt;=$E28,NETWORKDAYS(AW$4,AW$4,'Sources &amp; Change Log'!$J$2:$J$5)=1,COUNTIFS('Team Calendar'!$A$5:$A$14,$F28,'Team Calendar'!$C$5:$C$14,AW$4,'Team Calendar'!$F$5:$F$14,"Personal absence")=0),1,"")</x:f>
      </x:c>
      <x:c r="AX28" s="211" t="n">
        <x:f>IF(AND(ISNUMBER($D28),ISNUMBER($E28),AX$4&gt;=$D28,AX$4&lt;=$E28,NETWORKDAYS(AX$4,AX$4,'Sources &amp; Change Log'!$J$2:$J$5)=1,COUNTIFS('Team Calendar'!$A$5:$A$14,$F28,'Team Calendar'!$C$5:$C$14,AX$4,'Team Calendar'!$F$5:$F$14,"Personal absence")=0),1,"")</x:f>
        <x:v>1</x:v>
      </x:c>
      <x:c r="AY28" s="206"/>
      <x:c r="AZ28" s="206"/>
    </x:row>
    <x:row r="29" ht="30" customHeight="1">
      <x:c r="A29" s="195" t="str">
        <x:f>WBS!A30</x:f>
        <x:v>MS-P1-CLOSE-01</x:v>
      </x:c>
      <x:c r="B29" s="195" t="str">
        <x:f>WBS!B30</x:f>
        <x:v>Phase 1 Close</x:v>
      </x:c>
      <x:c r="C29" s="195" t="str">
        <x:f>WBS!G30</x:f>
        <x:v>To Do</x:v>
      </x:c>
      <x:c r="D29" s="225" t="n">
        <x:f>WBS!H30</x:f>
        <x:v>46301</x:v>
      </x:c>
      <x:c r="E29" s="225" t="n">
        <x:f>WBS!I30</x:f>
        <x:v>46301</x:v>
      </x:c>
      <x:c r="F29" s="13" t="str">
        <x:f>WBS!L30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8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str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</x:c>
      <x:c r="AJ29" s="211" t="str">
        <x:f>IF(AND(ISNUMBER($D29),ISNUMBER($E29),AJ$4&gt;=$D29,AJ$4&lt;=$E29,NETWORKDAYS(AJ$4,AJ$4,'Sources &amp; Change Log'!$J$2:$J$5)=1,COUNTIFS('Team Calendar'!$A$5:$A$14,$F29,'Team Calendar'!$C$5:$C$14,AJ$4,'Team Calendar'!$F$5:$F$14,"Personal absence")=0),1,"")</x:f>
      </x:c>
      <x:c r="AK29" s="211" t="str">
        <x:f>IF(AND(ISNUMBER($D29),ISNUMBER($E29),AK$4&gt;=$D29,AK$4&lt;=$E29,NETWORKDAYS(AK$4,AK$4,'Sources &amp; Change Log'!$J$2:$J$5)=1,COUNTIFS('Team Calendar'!$A$5:$A$14,$F29,'Team Calendar'!$C$5:$C$14,AK$4,'Team Calendar'!$F$5:$F$14,"Personal absence")=0),1,"")</x:f>
      </x:c>
      <x:c r="AL29" s="211" t="str">
        <x:f>IF(AND(ISNUMBER($D29),ISNUMBER($E29),AL$4&gt;=$D29,AL$4&lt;=$E29,NETWORKDAYS(AL$4,AL$4,'Sources &amp; Change Log'!$J$2:$J$5)=1,COUNTIFS('Team Calendar'!$A$5:$A$14,$F29,'Team Calendar'!$C$5:$C$14,AL$4,'Team Calendar'!$F$5:$F$14,"Personal absence")=0),1,"")</x:f>
      </x:c>
      <x:c r="AM29" s="211" t="str">
        <x:f>IF(AND(ISNUMBER($D29),ISNUMBER($E29),AM$4&gt;=$D29,AM$4&lt;=$E29,NETWORKDAYS(AM$4,AM$4,'Sources &amp; Change Log'!$J$2:$J$5)=1,COUNTIFS('Team Calendar'!$A$5:$A$14,$F29,'Team Calendar'!$C$5:$C$14,AM$4,'Team Calendar'!$F$5:$F$14,"Personal absence")=0),1,"")</x:f>
      </x:c>
      <x:c r="AN29" s="211" t="str">
        <x:f>IF(AND(ISNUMBER($D29),ISNUMBER($E29),AN$4&gt;=$D29,AN$4&lt;=$E29,NETWORKDAYS(AN$4,AN$4,'Sources &amp; Change Log'!$J$2:$J$5)=1,COUNTIFS('Team Calendar'!$A$5:$A$14,$F29,'Team Calendar'!$C$5:$C$14,AN$4,'Team Calendar'!$F$5:$F$14,"Personal absence")=0),1,"")</x:f>
      </x:c>
      <x:c r="AO29" s="211" t="str">
        <x:f>IF(AND(ISNUMBER($D29),ISNUMBER($E29),AO$4&gt;=$D29,AO$4&lt;=$E29,NETWORKDAYS(AO$4,AO$4,'Sources &amp; Change Log'!$J$2:$J$5)=1,COUNTIFS('Team Calendar'!$A$5:$A$14,$F29,'Team Calendar'!$C$5:$C$14,AO$4,'Team Calendar'!$F$5:$F$14,"Personal absence")=0),1,"")</x:f>
      </x:c>
      <x:c r="AP29" s="211" t="str">
        <x:f>IF(AND(ISNUMBER($D29),ISNUMBER($E29),AP$4&gt;=$D29,AP$4&lt;=$E29,NETWORKDAYS(AP$4,AP$4,'Sources &amp; Change Log'!$J$2:$J$5)=1,COUNTIFS('Team Calendar'!$A$5:$A$14,$F29,'Team Calendar'!$C$5:$C$14,AP$4,'Team Calendar'!$F$5:$F$14,"Personal absence")=0),1,"")</x:f>
      </x:c>
      <x:c r="AQ29" s="211" t="str">
        <x:f>IF(AND(ISNUMBER($D29),ISNUMBER($E29),AQ$4&gt;=$D29,AQ$4&lt;=$E29,NETWORKDAYS(AQ$4,AQ$4,'Sources &amp; Change Log'!$J$2:$J$5)=1,COUNTIFS('Team Calendar'!$A$5:$A$14,$F29,'Team Calendar'!$C$5:$C$14,AQ$4,'Team Calendar'!$F$5:$F$14,"Personal absence")=0),1,"")</x:f>
      </x:c>
      <x:c r="AR29" s="211" t="str">
        <x:f>IF(AND(ISNUMBER($D29),ISNUMBER($E29),AR$4&gt;=$D29,AR$4&lt;=$E29,NETWORKDAYS(AR$4,AR$4,'Sources &amp; Change Log'!$J$2:$J$5)=1,COUNTIFS('Team Calendar'!$A$5:$A$14,$F29,'Team Calendar'!$C$5:$C$14,AR$4,'Team Calendar'!$F$5:$F$14,"Personal absence")=0),1,"")</x:f>
      </x:c>
      <x:c r="AS29" s="211" t="str">
        <x:f>IF(AND(ISNUMBER($D29),ISNUMBER($E29),AS$4&gt;=$D29,AS$4&lt;=$E29,NETWORKDAYS(AS$4,AS$4,'Sources &amp; Change Log'!$J$2:$J$5)=1,COUNTIFS('Team Calendar'!$A$5:$A$14,$F29,'Team Calendar'!$C$5:$C$14,AS$4,'Team Calendar'!$F$5:$F$14,"Personal absence")=0),1,"")</x:f>
      </x:c>
      <x:c r="AT29" s="211" t="str">
        <x:f>IF(AND(ISNUMBER($D29),ISNUMBER($E29),AT$4&gt;=$D29,AT$4&lt;=$E29,NETWORKDAYS(AT$4,AT$4,'Sources &amp; Change Log'!$J$2:$J$5)=1,COUNTIFS('Team Calendar'!$A$5:$A$14,$F29,'Team Calendar'!$C$5:$C$14,AT$4,'Team Calendar'!$F$5:$F$14,"Personal absence")=0),1,"")</x:f>
      </x:c>
      <x:c r="AU29" s="211" t="str">
        <x:f>IF(AND(ISNUMBER($D29),ISNUMBER($E29),AU$4&gt;=$D29,AU$4&lt;=$E29,NETWORKDAYS(AU$4,AU$4,'Sources &amp; Change Log'!$J$2:$J$5)=1,COUNTIFS('Team Calendar'!$A$5:$A$14,$F29,'Team Calendar'!$C$5:$C$14,AU$4,'Team Calendar'!$F$5:$F$14,"Personal absence")=0),1,"")</x:f>
      </x:c>
      <x:c r="AV29" s="211" t="str">
        <x:f>IF(AND(ISNUMBER($D29),ISNUMBER($E29),AV$4&gt;=$D29,AV$4&lt;=$E29,NETWORKDAYS(AV$4,AV$4,'Sources &amp; Change Log'!$J$2:$J$5)=1,COUNTIFS('Team Calendar'!$A$5:$A$14,$F29,'Team Calendar'!$C$5:$C$14,AV$4,'Team Calendar'!$F$5:$F$14,"Personal absence")=0),1,"")</x:f>
      </x:c>
      <x:c r="AW29" s="211" t="str">
        <x:f>IF(AND(ISNUMBER($D29),ISNUMBER($E29),AW$4&gt;=$D29,AW$4&lt;=$E29,NETWORKDAYS(AW$4,AW$4,'Sources &amp; Change Log'!$J$2:$J$5)=1,COUNTIFS('Team Calendar'!$A$5:$A$14,$F29,'Team Calendar'!$C$5:$C$14,AW$4,'Team Calendar'!$F$5:$F$14,"Personal absence")=0),1,"")</x:f>
      </x:c>
      <x:c r="AX29" s="211" t="n">
        <x:f>IF(AND(ISNUMBER($D29),ISNUMBER($E29),AX$4&gt;=$D29,AX$4&lt;=$E29,NETWORKDAYS(AX$4,AX$4,'Sources &amp; Change Log'!$J$2:$J$5)=1,COUNTIFS('Team Calendar'!$A$5:$A$14,$F29,'Team Calendar'!$C$5:$C$14,AX$4,'Team Calendar'!$F$5:$F$14,"Personal absence")=0),1,"")</x:f>
        <x:v>1</x:v>
      </x:c>
      <x:c r="AY29" s="206"/>
      <x:c r="AZ29" s="206"/>
    </x:row>
    <x:row r="30" ht="30" customHeight="1">
      <x:c r="A30" s="195" t="str">
        <x:f>WBS!A56</x:f>
        <x:v>DEC-P1-FDS-01</x:v>
      </x:c>
      <x:c r="B30" s="195" t="str">
        <x:f>WBS!B56</x:f>
        <x:v>거래 보류 도입 범위·판정·평가 실패·Gate 편입 결정</x:v>
      </x:c>
      <x:c r="C30" s="195" t="str">
        <x:f>WBS!G56</x:f>
        <x:v>Done</x:v>
      </x:c>
      <x:c r="D30" s="225" t="n">
        <x:f>WBS!H56</x:f>
        <x:v>46273</x:v>
      </x:c>
      <x:c r="E30" s="225" t="n">
        <x:f>WBS!I56</x:f>
        <x:v>46274</x:v>
      </x:c>
      <x:c r="F30" s="13" t="str">
        <x:f>WBS!L56</x:f>
        <x:v>이재환</x:v>
      </x:c>
      <x:c r="G30" s="207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07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07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07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07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07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08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07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07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07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07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07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07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07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07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07" t="n">
        <x:f>IF(AND(ISNUMBER($D30),ISNUMBER($E30),V$4&gt;=$D30,V$4&lt;=$E30,NETWORKDAYS(V$4,V$4,'Sources &amp; Change Log'!$J$2:$J$5)=1,COUNTIFS('Team Calendar'!$A$5:$A$14,$F30,'Team Calendar'!$C$5:$C$14,V$4,'Team Calendar'!$F$5:$F$14,"Personal absence")=0),1,"")</x:f>
        <x:v>1</x:v>
      </x:c>
      <x:c r="W30" s="207" t="n">
        <x:f>IF(AND(ISNUMBER($D30),ISNUMBER($E30),W$4&gt;=$D30,W$4&lt;=$E30,NETWORKDAYS(W$4,W$4,'Sources &amp; Change Log'!$J$2:$J$5)=1,COUNTIFS('Team Calendar'!$A$5:$A$14,$F30,'Team Calendar'!$C$5:$C$14,W$4,'Team Calendar'!$F$5:$F$14,"Personal absence")=0),1,"")</x:f>
        <x:v>1</x:v>
      </x:c>
      <x:c r="X30" s="207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07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07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07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07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07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07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07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07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07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07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07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11" t="str">
        <x:f>IF(AND(ISNUMBER($D30),ISNUMBER($E30),AJ$4&gt;=$D30,AJ$4&lt;=$E30,NETWORKDAYS(AJ$4,AJ$4,'Sources &amp; Change Log'!$J$2:$J$5)=1,COUNTIFS('Team Calendar'!$A$5:$A$14,$F30,'Team Calendar'!$C$5:$C$14,AJ$4,'Team Calendar'!$F$5:$F$14,"Personal absence")=0),1,"")</x:f>
      </x:c>
      <x:c r="AK30" s="211" t="str">
        <x:f>IF(AND(ISNUMBER($D30),ISNUMBER($E30),AK$4&gt;=$D30,AK$4&lt;=$E30,NETWORKDAYS(AK$4,AK$4,'Sources &amp; Change Log'!$J$2:$J$5)=1,COUNTIFS('Team Calendar'!$A$5:$A$14,$F30,'Team Calendar'!$C$5:$C$14,AK$4,'Team Calendar'!$F$5:$F$14,"Personal absence")=0),1,"")</x:f>
      </x:c>
      <x:c r="AL30" s="211" t="str">
        <x:f>IF(AND(ISNUMBER($D30),ISNUMBER($E30),AL$4&gt;=$D30,AL$4&lt;=$E30,NETWORKDAYS(AL$4,AL$4,'Sources &amp; Change Log'!$J$2:$J$5)=1,COUNTIFS('Team Calendar'!$A$5:$A$14,$F30,'Team Calendar'!$C$5:$C$14,AL$4,'Team Calendar'!$F$5:$F$14,"Personal absence")=0),1,"")</x:f>
      </x:c>
      <x:c r="AM30" s="211" t="str">
        <x:f>IF(AND(ISNUMBER($D30),ISNUMBER($E30),AM$4&gt;=$D30,AM$4&lt;=$E30,NETWORKDAYS(AM$4,AM$4,'Sources &amp; Change Log'!$J$2:$J$5)=1,COUNTIFS('Team Calendar'!$A$5:$A$14,$F30,'Team Calendar'!$C$5:$C$14,AM$4,'Team Calendar'!$F$5:$F$14,"Personal absence")=0),1,"")</x:f>
      </x:c>
      <x:c r="AN30" s="211" t="str">
        <x:f>IF(AND(ISNUMBER($D30),ISNUMBER($E30),AN$4&gt;=$D30,AN$4&lt;=$E30,NETWORKDAYS(AN$4,AN$4,'Sources &amp; Change Log'!$J$2:$J$5)=1,COUNTIFS('Team Calendar'!$A$5:$A$14,$F30,'Team Calendar'!$C$5:$C$14,AN$4,'Team Calendar'!$F$5:$F$14,"Personal absence")=0),1,"")</x:f>
      </x:c>
      <x:c r="AO30" s="211" t="str">
        <x:f>IF(AND(ISNUMBER($D30),ISNUMBER($E30),AO$4&gt;=$D30,AO$4&lt;=$E30,NETWORKDAYS(AO$4,AO$4,'Sources &amp; Change Log'!$J$2:$J$5)=1,COUNTIFS('Team Calendar'!$A$5:$A$14,$F30,'Team Calendar'!$C$5:$C$14,AO$4,'Team Calendar'!$F$5:$F$14,"Personal absence")=0),1,"")</x:f>
      </x:c>
      <x:c r="AP30" s="211" t="str">
        <x:f>IF(AND(ISNUMBER($D30),ISNUMBER($E30),AP$4&gt;=$D30,AP$4&lt;=$E30,NETWORKDAYS(AP$4,AP$4,'Sources &amp; Change Log'!$J$2:$J$5)=1,COUNTIFS('Team Calendar'!$A$5:$A$14,$F30,'Team Calendar'!$C$5:$C$14,AP$4,'Team Calendar'!$F$5:$F$14,"Personal absence")=0),1,"")</x:f>
      </x:c>
      <x:c r="AQ30" s="211" t="str">
        <x:f>IF(AND(ISNUMBER($D30),ISNUMBER($E30),AQ$4&gt;=$D30,AQ$4&lt;=$E30,NETWORKDAYS(AQ$4,AQ$4,'Sources &amp; Change Log'!$J$2:$J$5)=1,COUNTIFS('Team Calendar'!$A$5:$A$14,$F30,'Team Calendar'!$C$5:$C$14,AQ$4,'Team Calendar'!$F$5:$F$14,"Personal absence")=0),1,"")</x:f>
      </x:c>
      <x:c r="AR30" s="211" t="str">
        <x:f>IF(AND(ISNUMBER($D30),ISNUMBER($E30),AR$4&gt;=$D30,AR$4&lt;=$E30,NETWORKDAYS(AR$4,AR$4,'Sources &amp; Change Log'!$J$2:$J$5)=1,COUNTIFS('Team Calendar'!$A$5:$A$14,$F30,'Team Calendar'!$C$5:$C$14,AR$4,'Team Calendar'!$F$5:$F$14,"Personal absence")=0),1,"")</x:f>
      </x:c>
      <x:c r="AS30" s="211" t="str">
        <x:f>IF(AND(ISNUMBER($D30),ISNUMBER($E30),AS$4&gt;=$D30,AS$4&lt;=$E30,NETWORKDAYS(AS$4,AS$4,'Sources &amp; Change Log'!$J$2:$J$5)=1,COUNTIFS('Team Calendar'!$A$5:$A$14,$F30,'Team Calendar'!$C$5:$C$14,AS$4,'Team Calendar'!$F$5:$F$14,"Personal absence")=0),1,"")</x:f>
      </x:c>
      <x:c r="AT30" s="211" t="str">
        <x:f>IF(AND(ISNUMBER($D30),ISNUMBER($E30),AT$4&gt;=$D30,AT$4&lt;=$E30,NETWORKDAYS(AT$4,AT$4,'Sources &amp; Change Log'!$J$2:$J$5)=1,COUNTIFS('Team Calendar'!$A$5:$A$14,$F30,'Team Calendar'!$C$5:$C$14,AT$4,'Team Calendar'!$F$5:$F$14,"Personal absence")=0),1,"")</x:f>
      </x:c>
      <x:c r="AU30" s="211" t="str">
        <x:f>IF(AND(ISNUMBER($D30),ISNUMBER($E30),AU$4&gt;=$D30,AU$4&lt;=$E30,NETWORKDAYS(AU$4,AU$4,'Sources &amp; Change Log'!$J$2:$J$5)=1,COUNTIFS('Team Calendar'!$A$5:$A$14,$F30,'Team Calendar'!$C$5:$C$14,AU$4,'Team Calendar'!$F$5:$F$14,"Personal absence")=0),1,"")</x:f>
      </x:c>
      <x:c r="AV30" s="211" t="str">
        <x:f>IF(AND(ISNUMBER($D30),ISNUMBER($E30),AV$4&gt;=$D30,AV$4&lt;=$E30,NETWORKDAYS(AV$4,AV$4,'Sources &amp; Change Log'!$J$2:$J$5)=1,COUNTIFS('Team Calendar'!$A$5:$A$14,$F30,'Team Calendar'!$C$5:$C$14,AV$4,'Team Calendar'!$F$5:$F$14,"Personal absence")=0),1,"")</x:f>
      </x:c>
      <x:c r="AW30" s="211" t="str">
        <x:f>IF(AND(ISNUMBER($D30),ISNUMBER($E30),AW$4&gt;=$D30,AW$4&lt;=$E30,NETWORKDAYS(AW$4,AW$4,'Sources &amp; Change Log'!$J$2:$J$5)=1,COUNTIFS('Team Calendar'!$A$5:$A$14,$F30,'Team Calendar'!$C$5:$C$14,AW$4,'Team Calendar'!$F$5:$F$14,"Personal absence")=0),1,"")</x:f>
      </x:c>
      <x:c r="AX30" s="211" t="str">
        <x:f>IF(AND(ISNUMBER($D30),ISNUMBER($E30),AX$4&gt;=$D30,AX$4&lt;=$E30,NETWORKDAYS(AX$4,AX$4,'Sources &amp; Change Log'!$J$2:$J$5)=1,COUNTIFS('Team Calendar'!$A$5:$A$14,$F30,'Team Calendar'!$C$5:$C$14,AX$4,'Team Calendar'!$F$5:$F$14,"Personal absence")=0),1,"")</x:f>
      </x:c>
      <x:c r="AY30" s="206"/>
      <x:c r="AZ30" s="206"/>
    </x:row>
    <x:row r="31" ht="30" customHeight="1">
      <x:c r="A31" s="198" t="str">
        <x:f>WBS!A57</x:f>
        <x:v>DEC-P1-TXN-01</x:v>
      </x:c>
      <x:c r="B31" s="198" t="str">
        <x:f>WBS!B57</x:f>
        <x:v>거래 상태·API 응답·재시도·데이터 정합성 계약 결정</x:v>
      </x:c>
      <x:c r="C31" s="198" t="str">
        <x:f>WBS!G57</x:f>
        <x:v>Done</x:v>
      </x:c>
      <x:c r="D31" s="226" t="n">
        <x:f>WBS!H57</x:f>
        <x:v>46273</x:v>
      </x:c>
      <x:c r="E31" s="226" t="n">
        <x:f>WBS!I57</x:f>
        <x:v>46274</x:v>
      </x:c>
      <x:c r="F31" t="str">
        <x:f>WBS!L57</x:f>
        <x:v>이재환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n">
        <x:f>IF(AND(ISNUMBER($D31),ISNUMBER($E31),V$4&gt;=$D31,V$4&lt;=$E31,NETWORKDAYS(V$4,V$4,'Sources &amp; Change Log'!$J$2:$J$5)=1,COUNTIFS('Team Calendar'!$A$5:$A$14,$F31,'Team Calendar'!$C$5:$C$14,V$4,'Team Calendar'!$F$5:$F$14,"Personal absence")=0),1,"")</x:f>
        <x:v>1</x:v>
      </x:c>
      <x:c r="W31" s="211" t="n">
        <x:f>IF(AND(ISNUMBER($D31),ISNUMBER($E31),W$4&gt;=$D31,W$4&lt;=$E31,NETWORKDAYS(W$4,W$4,'Sources &amp; Change Log'!$J$2:$J$5)=1,COUNTIFS('Team Calendar'!$A$5:$A$14,$F31,'Team Calendar'!$C$5:$C$14,W$4,'Team Calendar'!$F$5:$F$14,"Personal absence")=0),1,"")</x:f>
        <x:v>1</x:v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2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11" t="str">
        <x:f>IF(AND(ISNUMBER($D31),ISNUMBER($E31),AJ$4&gt;=$D31,AJ$4&lt;=$E31,NETWORKDAYS(AJ$4,AJ$4,'Sources &amp; Change Log'!$J$2:$J$5)=1,COUNTIFS('Team Calendar'!$A$5:$A$14,$F31,'Team Calendar'!$C$5:$C$14,AJ$4,'Team Calendar'!$F$5:$F$14,"Personal absence")=0),1,"")</x:f>
      </x:c>
      <x:c r="AK31" s="211" t="str">
        <x:f>IF(AND(ISNUMBER($D31),ISNUMBER($E31),AK$4&gt;=$D31,AK$4&lt;=$E31,NETWORKDAYS(AK$4,AK$4,'Sources &amp; Change Log'!$J$2:$J$5)=1,COUNTIFS('Team Calendar'!$A$5:$A$14,$F31,'Team Calendar'!$C$5:$C$14,AK$4,'Team Calendar'!$F$5:$F$14,"Personal absence")=0),1,"")</x:f>
      </x:c>
      <x:c r="AL31" s="211" t="str">
        <x:f>IF(AND(ISNUMBER($D31),ISNUMBER($E31),AL$4&gt;=$D31,AL$4&lt;=$E31,NETWORKDAYS(AL$4,AL$4,'Sources &amp; Change Log'!$J$2:$J$5)=1,COUNTIFS('Team Calendar'!$A$5:$A$14,$F31,'Team Calendar'!$C$5:$C$14,AL$4,'Team Calendar'!$F$5:$F$14,"Personal absence")=0),1,"")</x:f>
      </x:c>
      <x:c r="AM31" s="211" t="str">
        <x:f>IF(AND(ISNUMBER($D31),ISNUMBER($E31),AM$4&gt;=$D31,AM$4&lt;=$E31,NETWORKDAYS(AM$4,AM$4,'Sources &amp; Change Log'!$J$2:$J$5)=1,COUNTIFS('Team Calendar'!$A$5:$A$14,$F31,'Team Calendar'!$C$5:$C$14,AM$4,'Team Calendar'!$F$5:$F$14,"Personal absence")=0),1,"")</x:f>
      </x:c>
      <x:c r="AN31" s="211" t="str">
        <x:f>IF(AND(ISNUMBER($D31),ISNUMBER($E31),AN$4&gt;=$D31,AN$4&lt;=$E31,NETWORKDAYS(AN$4,AN$4,'Sources &amp; Change Log'!$J$2:$J$5)=1,COUNTIFS('Team Calendar'!$A$5:$A$14,$F31,'Team Calendar'!$C$5:$C$14,AN$4,'Team Calendar'!$F$5:$F$14,"Personal absence")=0),1,"")</x:f>
      </x:c>
      <x:c r="AO31" s="211" t="str">
        <x:f>IF(AND(ISNUMBER($D31),ISNUMBER($E31),AO$4&gt;=$D31,AO$4&lt;=$E31,NETWORKDAYS(AO$4,AO$4,'Sources &amp; Change Log'!$J$2:$J$5)=1,COUNTIFS('Team Calendar'!$A$5:$A$14,$F31,'Team Calendar'!$C$5:$C$14,AO$4,'Team Calendar'!$F$5:$F$14,"Personal absence")=0),1,"")</x:f>
      </x:c>
      <x:c r="AP31" s="211" t="str">
        <x:f>IF(AND(ISNUMBER($D31),ISNUMBER($E31),AP$4&gt;=$D31,AP$4&lt;=$E31,NETWORKDAYS(AP$4,AP$4,'Sources &amp; Change Log'!$J$2:$J$5)=1,COUNTIFS('Team Calendar'!$A$5:$A$14,$F31,'Team Calendar'!$C$5:$C$14,AP$4,'Team Calendar'!$F$5:$F$14,"Personal absence")=0),1,"")</x:f>
      </x:c>
      <x:c r="AQ31" s="211" t="str">
        <x:f>IF(AND(ISNUMBER($D31),ISNUMBER($E31),AQ$4&gt;=$D31,AQ$4&lt;=$E31,NETWORKDAYS(AQ$4,AQ$4,'Sources &amp; Change Log'!$J$2:$J$5)=1,COUNTIFS('Team Calendar'!$A$5:$A$14,$F31,'Team Calendar'!$C$5:$C$14,AQ$4,'Team Calendar'!$F$5:$F$14,"Personal absence")=0),1,"")</x:f>
      </x:c>
      <x:c r="AR31" s="211" t="str">
        <x:f>IF(AND(ISNUMBER($D31),ISNUMBER($E31),AR$4&gt;=$D31,AR$4&lt;=$E31,NETWORKDAYS(AR$4,AR$4,'Sources &amp; Change Log'!$J$2:$J$5)=1,COUNTIFS('Team Calendar'!$A$5:$A$14,$F31,'Team Calendar'!$C$5:$C$14,AR$4,'Team Calendar'!$F$5:$F$14,"Personal absence")=0),1,"")</x:f>
      </x:c>
      <x:c r="AS31" s="211" t="str">
        <x:f>IF(AND(ISNUMBER($D31),ISNUMBER($E31),AS$4&gt;=$D31,AS$4&lt;=$E31,NETWORKDAYS(AS$4,AS$4,'Sources &amp; Change Log'!$J$2:$J$5)=1,COUNTIFS('Team Calendar'!$A$5:$A$14,$F31,'Team Calendar'!$C$5:$C$14,AS$4,'Team Calendar'!$F$5:$F$14,"Personal absence")=0),1,"")</x:f>
      </x:c>
      <x:c r="AT31" s="211" t="str">
        <x:f>IF(AND(ISNUMBER($D31),ISNUMBER($E31),AT$4&gt;=$D31,AT$4&lt;=$E31,NETWORKDAYS(AT$4,AT$4,'Sources &amp; Change Log'!$J$2:$J$5)=1,COUNTIFS('Team Calendar'!$A$5:$A$14,$F31,'Team Calendar'!$C$5:$C$14,AT$4,'Team Calendar'!$F$5:$F$14,"Personal absence")=0),1,"")</x:f>
      </x:c>
      <x:c r="AU31" s="211" t="str">
        <x:f>IF(AND(ISNUMBER($D31),ISNUMBER($E31),AU$4&gt;=$D31,AU$4&lt;=$E31,NETWORKDAYS(AU$4,AU$4,'Sources &amp; Change Log'!$J$2:$J$5)=1,COUNTIFS('Team Calendar'!$A$5:$A$14,$F31,'Team Calendar'!$C$5:$C$14,AU$4,'Team Calendar'!$F$5:$F$14,"Personal absence")=0),1,"")</x:f>
      </x:c>
      <x:c r="AV31" s="211" t="str">
        <x:f>IF(AND(ISNUMBER($D31),ISNUMBER($E31),AV$4&gt;=$D31,AV$4&lt;=$E31,NETWORKDAYS(AV$4,AV$4,'Sources &amp; Change Log'!$J$2:$J$5)=1,COUNTIFS('Team Calendar'!$A$5:$A$14,$F31,'Team Calendar'!$C$5:$C$14,AV$4,'Team Calendar'!$F$5:$F$14,"Personal absence")=0),1,"")</x:f>
      </x:c>
      <x:c r="AW31" s="211" t="str">
        <x:f>IF(AND(ISNUMBER($D31),ISNUMBER($E31),AW$4&gt;=$D31,AW$4&lt;=$E31,NETWORKDAYS(AW$4,AW$4,'Sources &amp; Change Log'!$J$2:$J$5)=1,COUNTIFS('Team Calendar'!$A$5:$A$14,$F31,'Team Calendar'!$C$5:$C$14,AW$4,'Team Calendar'!$F$5:$F$14,"Personal absence")=0),1,"")</x:f>
      </x:c>
      <x:c r="AX31" s="211" t="str">
        <x:f>IF(AND(ISNUMBER($D31),ISNUMBER($E31),AX$4&gt;=$D31,AX$4&lt;=$E31,NETWORKDAYS(AX$4,AX$4,'Sources &amp; Change Log'!$J$2:$J$5)=1,COUNTIFS('Team Calendar'!$A$5:$A$14,$F31,'Team Calendar'!$C$5:$C$14,AX$4,'Team Calendar'!$F$5:$F$14,"Personal absence")=0),1,"")</x:f>
      </x:c>
      <x:c r="AY31" s="206"/>
      <x:c r="AZ31" s="206"/>
    </x:row>
    <x:row r="32" ht="30" customHeight="1">
      <x:c r="A32" s="198" t="str">
        <x:f>WBS!A58</x:f>
        <x:v>DEC-P1-ADMIN-01</x:v>
      </x:c>
      <x:c r="B32" s="198" t="str">
        <x:f>WBS!B58</x:f>
        <x:v>보안 시연 범위·테스트 전제·조건부 운영 통제 결정</x:v>
      </x:c>
      <x:c r="C32" s="198" t="str">
        <x:f>WBS!G58</x:f>
        <x:v>Done</x:v>
      </x:c>
      <x:c r="D32" s="226" t="n">
        <x:f>WBS!H58</x:f>
        <x:v>46273</x:v>
      </x:c>
      <x:c r="E32" s="226" t="n">
        <x:f>WBS!I58</x:f>
        <x:v>46274</x:v>
      </x:c>
      <x:c r="F32" t="str">
        <x:f>WBS!L58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n">
        <x:f>IF(AND(ISNUMBER($D32),ISNUMBER($E32),W$4&gt;=$D32,W$4&lt;=$E32,NETWORKDAYS(W$4,W$4,'Sources &amp; Change Log'!$J$2:$J$5)=1,COUNTIFS('Team Calendar'!$A$5:$A$14,$F32,'Team Calendar'!$C$5:$C$14,W$4,'Team Calendar'!$F$5:$F$14,"Personal absence")=0),1,"")</x:f>
        <x:v>1</x:v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11" t="str">
        <x:f>IF(AND(ISNUMBER($D32),ISNUMBER($E32),AJ$4&gt;=$D32,AJ$4&lt;=$E32,NETWORKDAYS(AJ$4,AJ$4,'Sources &amp; Change Log'!$J$2:$J$5)=1,COUNTIFS('Team Calendar'!$A$5:$A$14,$F32,'Team Calendar'!$C$5:$C$14,AJ$4,'Team Calendar'!$F$5:$F$14,"Personal absence")=0),1,"")</x:f>
      </x:c>
      <x:c r="AK32" s="211" t="str">
        <x:f>IF(AND(ISNUMBER($D32),ISNUMBER($E32),AK$4&gt;=$D32,AK$4&lt;=$E32,NETWORKDAYS(AK$4,AK$4,'Sources &amp; Change Log'!$J$2:$J$5)=1,COUNTIFS('Team Calendar'!$A$5:$A$14,$F32,'Team Calendar'!$C$5:$C$14,AK$4,'Team Calendar'!$F$5:$F$14,"Personal absence")=0),1,"")</x:f>
      </x:c>
      <x:c r="AL32" s="211" t="str">
        <x:f>IF(AND(ISNUMBER($D32),ISNUMBER($E32),AL$4&gt;=$D32,AL$4&lt;=$E32,NETWORKDAYS(AL$4,AL$4,'Sources &amp; Change Log'!$J$2:$J$5)=1,COUNTIFS('Team Calendar'!$A$5:$A$14,$F32,'Team Calendar'!$C$5:$C$14,AL$4,'Team Calendar'!$F$5:$F$14,"Personal absence")=0),1,"")</x:f>
      </x:c>
      <x:c r="AM32" s="211" t="str">
        <x:f>IF(AND(ISNUMBER($D32),ISNUMBER($E32),AM$4&gt;=$D32,AM$4&lt;=$E32,NETWORKDAYS(AM$4,AM$4,'Sources &amp; Change Log'!$J$2:$J$5)=1,COUNTIFS('Team Calendar'!$A$5:$A$14,$F32,'Team Calendar'!$C$5:$C$14,AM$4,'Team Calendar'!$F$5:$F$14,"Personal absence")=0),1,"")</x:f>
      </x:c>
      <x:c r="AN32" s="211" t="str">
        <x:f>IF(AND(ISNUMBER($D32),ISNUMBER($E32),AN$4&gt;=$D32,AN$4&lt;=$E32,NETWORKDAYS(AN$4,AN$4,'Sources &amp; Change Log'!$J$2:$J$5)=1,COUNTIFS('Team Calendar'!$A$5:$A$14,$F32,'Team Calendar'!$C$5:$C$14,AN$4,'Team Calendar'!$F$5:$F$14,"Personal absence")=0),1,"")</x:f>
      </x:c>
      <x:c r="AO32" s="211" t="str">
        <x:f>IF(AND(ISNUMBER($D32),ISNUMBER($E32),AO$4&gt;=$D32,AO$4&lt;=$E32,NETWORKDAYS(AO$4,AO$4,'Sources &amp; Change Log'!$J$2:$J$5)=1,COUNTIFS('Team Calendar'!$A$5:$A$14,$F32,'Team Calendar'!$C$5:$C$14,AO$4,'Team Calendar'!$F$5:$F$14,"Personal absence")=0),1,"")</x:f>
      </x:c>
      <x:c r="AP32" s="211" t="str">
        <x:f>IF(AND(ISNUMBER($D32),ISNUMBER($E32),AP$4&gt;=$D32,AP$4&lt;=$E32,NETWORKDAYS(AP$4,AP$4,'Sources &amp; Change Log'!$J$2:$J$5)=1,COUNTIFS('Team Calendar'!$A$5:$A$14,$F32,'Team Calendar'!$C$5:$C$14,AP$4,'Team Calendar'!$F$5:$F$14,"Personal absence")=0),1,"")</x:f>
      </x:c>
      <x:c r="AQ32" s="211" t="str">
        <x:f>IF(AND(ISNUMBER($D32),ISNUMBER($E32),AQ$4&gt;=$D32,AQ$4&lt;=$E32,NETWORKDAYS(AQ$4,AQ$4,'Sources &amp; Change Log'!$J$2:$J$5)=1,COUNTIFS('Team Calendar'!$A$5:$A$14,$F32,'Team Calendar'!$C$5:$C$14,AQ$4,'Team Calendar'!$F$5:$F$14,"Personal absence")=0),1,"")</x:f>
      </x:c>
      <x:c r="AR32" s="211" t="str">
        <x:f>IF(AND(ISNUMBER($D32),ISNUMBER($E32),AR$4&gt;=$D32,AR$4&lt;=$E32,NETWORKDAYS(AR$4,AR$4,'Sources &amp; Change Log'!$J$2:$J$5)=1,COUNTIFS('Team Calendar'!$A$5:$A$14,$F32,'Team Calendar'!$C$5:$C$14,AR$4,'Team Calendar'!$F$5:$F$14,"Personal absence")=0),1,"")</x:f>
      </x:c>
      <x:c r="AS32" s="211" t="str">
        <x:f>IF(AND(ISNUMBER($D32),ISNUMBER($E32),AS$4&gt;=$D32,AS$4&lt;=$E32,NETWORKDAYS(AS$4,AS$4,'Sources &amp; Change Log'!$J$2:$J$5)=1,COUNTIFS('Team Calendar'!$A$5:$A$14,$F32,'Team Calendar'!$C$5:$C$14,AS$4,'Team Calendar'!$F$5:$F$14,"Personal absence")=0),1,"")</x:f>
      </x:c>
      <x:c r="AT32" s="211" t="str">
        <x:f>IF(AND(ISNUMBER($D32),ISNUMBER($E32),AT$4&gt;=$D32,AT$4&lt;=$E32,NETWORKDAYS(AT$4,AT$4,'Sources &amp; Change Log'!$J$2:$J$5)=1,COUNTIFS('Team Calendar'!$A$5:$A$14,$F32,'Team Calendar'!$C$5:$C$14,AT$4,'Team Calendar'!$F$5:$F$14,"Personal absence")=0),1,"")</x:f>
      </x:c>
      <x:c r="AU32" s="211" t="str">
        <x:f>IF(AND(ISNUMBER($D32),ISNUMBER($E32),AU$4&gt;=$D32,AU$4&lt;=$E32,NETWORKDAYS(AU$4,AU$4,'Sources &amp; Change Log'!$J$2:$J$5)=1,COUNTIFS('Team Calendar'!$A$5:$A$14,$F32,'Team Calendar'!$C$5:$C$14,AU$4,'Team Calendar'!$F$5:$F$14,"Personal absence")=0),1,"")</x:f>
      </x:c>
      <x:c r="AV32" s="211" t="str">
        <x:f>IF(AND(ISNUMBER($D32),ISNUMBER($E32),AV$4&gt;=$D32,AV$4&lt;=$E32,NETWORKDAYS(AV$4,AV$4,'Sources &amp; Change Log'!$J$2:$J$5)=1,COUNTIFS('Team Calendar'!$A$5:$A$14,$F32,'Team Calendar'!$C$5:$C$14,AV$4,'Team Calendar'!$F$5:$F$14,"Personal absence")=0),1,"")</x:f>
      </x:c>
      <x:c r="AW32" s="211" t="str">
        <x:f>IF(AND(ISNUMBER($D32),ISNUMBER($E32),AW$4&gt;=$D32,AW$4&lt;=$E32,NETWORKDAYS(AW$4,AW$4,'Sources &amp; Change Log'!$J$2:$J$5)=1,COUNTIFS('Team Calendar'!$A$5:$A$14,$F32,'Team Calendar'!$C$5:$C$14,AW$4,'Team Calendar'!$F$5:$F$14,"Personal absence")=0),1,"")</x:f>
      </x:c>
      <x:c r="AX32" s="211" t="str">
        <x:f>IF(AND(ISNUMBER($D32),ISNUMBER($E32),AX$4&gt;=$D32,AX$4&lt;=$E32,NETWORKDAYS(AX$4,AX$4,'Sources &amp; Change Log'!$J$2:$J$5)=1,COUNTIFS('Team Calendar'!$A$5:$A$14,$F32,'Team Calendar'!$C$5:$C$14,AX$4,'Team Calendar'!$F$5:$F$14,"Personal absence")=0),1,"")</x:f>
      </x:c>
      <x:c r="AY32" s="206"/>
      <x:c r="AZ32" s="206"/>
    </x:row>
    <x:row r="33" ht="30" customHeight="1">
      <x:c r="A33" s="198" t="str">
        <x:f>WBS!A59</x:f>
        <x:v>CR-P1-MON-01-01</x:v>
      </x:c>
      <x:c r="B33" s="198" t="str">
        <x:f>WBS!B59</x:f>
        <x:v>Alertmanager Egress 프록시 서버 구성</x:v>
      </x:c>
      <x:c r="C33" s="198" t="str">
        <x:f>WBS!G59</x:f>
        <x:v>Done</x:v>
      </x:c>
      <x:c r="D33" s="226" t="n">
        <x:f>WBS!H59</x:f>
        <x:v>46276</x:v>
      </x:c>
      <x:c r="E33" s="226" t="n">
        <x:f>WBS!I59</x:f>
        <x:v>46301</x:v>
      </x:c>
      <x:c r="F33" t="str">
        <x:f>WBS!L59</x:f>
        <x:v>이하영</x:v>
      </x:c>
      <x:c r="G33" s="211" t="str">
        <x:f>IF(AND(ISNUMBER($D33),ISNUMBER($E33),G$4&gt;=$D33,G$4&lt;=$E33,NETWORKDAYS(G$4,G$4,'Sources &amp; Change Log'!$J$2:$J$5)=1,COUNTIFS('Team Calendar'!$A$5:$A$14,$F33,'Team Calendar'!$C$5:$C$14,G$4,'Team Calendar'!$F$5:$F$14,"Personal absence")=0),1,"")</x:f>
      </x:c>
      <x:c r="H33" s="211" t="str">
        <x:f>IF(AND(ISNUMBER($D33),ISNUMBER($E33),H$4&gt;=$D33,H$4&lt;=$E33,NETWORKDAYS(H$4,H$4,'Sources &amp; Change Log'!$J$2:$J$5)=1,COUNTIFS('Team Calendar'!$A$5:$A$14,$F33,'Team Calendar'!$C$5:$C$14,H$4,'Team Calendar'!$F$5:$F$14,"Personal absence")=0),1,"")</x:f>
      </x:c>
      <x:c r="I33" s="211" t="str">
        <x:f>IF(AND(ISNUMBER($D33),ISNUMBER($E33),I$4&gt;=$D33,I$4&lt;=$E33,NETWORKDAYS(I$4,I$4,'Sources &amp; Change Log'!$J$2:$J$5)=1,COUNTIFS('Team Calendar'!$A$5:$A$14,$F33,'Team Calendar'!$C$5:$C$14,I$4,'Team Calendar'!$F$5:$F$14,"Personal absence")=0),1,"")</x:f>
      </x:c>
      <x:c r="J33" s="211" t="str">
        <x:f>IF(AND(ISNUMBER($D33),ISNUMBER($E33),J$4&gt;=$D33,J$4&lt;=$E33,NETWORKDAYS(J$4,J$4,'Sources &amp; Change Log'!$J$2:$J$5)=1,COUNTIFS('Team Calendar'!$A$5:$A$14,$F33,'Team Calendar'!$C$5:$C$14,J$4,'Team Calendar'!$F$5:$F$14,"Personal absence")=0),1,"")</x:f>
      </x:c>
      <x:c r="K33" s="211" t="str">
        <x:f>IF(AND(ISNUMBER($D33),ISNUMBER($E33),K$4&gt;=$D33,K$4&lt;=$E33,NETWORKDAYS(K$4,K$4,'Sources &amp; Change Log'!$J$2:$J$5)=1,COUNTIFS('Team Calendar'!$A$5:$A$14,$F33,'Team Calendar'!$C$5:$C$14,K$4,'Team Calendar'!$F$5:$F$14,"Personal absence")=0),1,"")</x:f>
      </x:c>
      <x:c r="L33" s="211" t="str">
        <x:f>IF(AND(ISNUMBER($D33),ISNUMBER($E33),L$4&gt;=$D33,L$4&lt;=$E33,NETWORKDAYS(L$4,L$4,'Sources &amp; Change Log'!$J$2:$J$5)=1,COUNTIFS('Team Calendar'!$A$5:$A$14,$F33,'Team Calendar'!$C$5:$C$14,L$4,'Team Calendar'!$F$5:$F$14,"Personal absence")=0),1,"")</x:f>
      </x:c>
      <x:c r="M33" s="211" t="str">
        <x:f>IF(AND(ISNUMBER($D33),ISNUMBER($E33),M$4&gt;=$D33,M$4&lt;=$E33,NETWORKDAYS(M$4,M$4,'Sources &amp; Change Log'!$J$2:$J$5)=1,COUNTIFS('Team Calendar'!$A$5:$A$14,$F33,'Team Calendar'!$C$5:$C$14,M$4,'Team Calendar'!$F$5:$F$14,"Personal absence")=0),1,"")</x:f>
      </x:c>
      <x:c r="N33" s="211" t="str">
        <x:f>IF(AND(ISNUMBER($D33),ISNUMBER($E33),N$4&gt;=$D33,N$4&lt;=$E33,NETWORKDAYS(N$4,N$4,'Sources &amp; Change Log'!$J$2:$J$5)=1,COUNTIFS('Team Calendar'!$A$5:$A$14,$F33,'Team Calendar'!$C$5:$C$14,N$4,'Team Calendar'!$F$5:$F$14,"Personal absence")=0),1,"")</x:f>
      </x:c>
      <x:c r="O33" s="211" t="str">
        <x:f>IF(AND(ISNUMBER($D33),ISNUMBER($E33),O$4&gt;=$D33,O$4&lt;=$E33,NETWORKDAYS(O$4,O$4,'Sources &amp; Change Log'!$J$2:$J$5)=1,COUNTIFS('Team Calendar'!$A$5:$A$14,$F33,'Team Calendar'!$C$5:$C$14,O$4,'Team Calendar'!$F$5:$F$14,"Personal absence")=0),1,"")</x:f>
      </x:c>
      <x:c r="P33" s="211" t="str">
        <x:f>IF(AND(ISNUMBER($D33),ISNUMBER($E33),P$4&gt;=$D33,P$4&lt;=$E33,NETWORKDAYS(P$4,P$4,'Sources &amp; Change Log'!$J$2:$J$5)=1,COUNTIFS('Team Calendar'!$A$5:$A$14,$F33,'Team Calendar'!$C$5:$C$14,P$4,'Team Calendar'!$F$5:$F$14,"Personal absence")=0),1,"")</x:f>
      </x:c>
      <x:c r="Q33" s="211" t="str">
        <x:f>IF(AND(ISNUMBER($D33),ISNUMBER($E33),Q$4&gt;=$D33,Q$4&lt;=$E33,NETWORKDAYS(Q$4,Q$4,'Sources &amp; Change Log'!$J$2:$J$5)=1,COUNTIFS('Team Calendar'!$A$5:$A$14,$F33,'Team Calendar'!$C$5:$C$14,Q$4,'Team Calendar'!$F$5:$F$14,"Personal absence")=0),1,"")</x:f>
      </x:c>
      <x:c r="R33" s="211" t="str">
        <x:f>IF(AND(ISNUMBER($D33),ISNUMBER($E33),R$4&gt;=$D33,R$4&lt;=$E33,NETWORKDAYS(R$4,R$4,'Sources &amp; Change Log'!$J$2:$J$5)=1,COUNTIFS('Team Calendar'!$A$5:$A$14,$F33,'Team Calendar'!$C$5:$C$14,R$4,'Team Calendar'!$F$5:$F$14,"Personal absence")=0),1,"")</x:f>
      </x:c>
      <x:c r="S33" s="211" t="str">
        <x:f>IF(AND(ISNUMBER($D33),ISNUMBER($E33),S$4&gt;=$D33,S$4&lt;=$E33,NETWORKDAYS(S$4,S$4,'Sources &amp; Change Log'!$J$2:$J$5)=1,COUNTIFS('Team Calendar'!$A$5:$A$14,$F33,'Team Calendar'!$C$5:$C$14,S$4,'Team Calendar'!$F$5:$F$14,"Personal absence")=0),1,"")</x:f>
      </x:c>
      <x:c r="T33" s="211" t="str">
        <x:f>IF(AND(ISNUMBER($D33),ISNUMBER($E33),T$4&gt;=$D33,T$4&lt;=$E33,NETWORKDAYS(T$4,T$4,'Sources &amp; Change Log'!$J$2:$J$5)=1,COUNTIFS('Team Calendar'!$A$5:$A$14,$F33,'Team Calendar'!$C$5:$C$14,T$4,'Team Calendar'!$F$5:$F$14,"Personal absence")=0),1,"")</x:f>
      </x:c>
      <x:c r="U33" s="211" t="str">
        <x:f>IF(AND(ISNUMBER($D33),ISNUMBER($E33),U$4&gt;=$D33,U$4&lt;=$E33,NETWORKDAYS(U$4,U$4,'Sources &amp; Change Log'!$J$2:$J$5)=1,COUNTIFS('Team Calendar'!$A$5:$A$14,$F33,'Team Calendar'!$C$5:$C$14,U$4,'Team Calendar'!$F$5:$F$14,"Personal absence")=0),1,"")</x:f>
      </x:c>
      <x:c r="V33" s="211" t="str">
        <x:f>IF(AND(ISNUMBER($D33),ISNUMBER($E33),V$4&gt;=$D33,V$4&lt;=$E33,NETWORKDAYS(V$4,V$4,'Sources &amp; Change Log'!$J$2:$J$5)=1,COUNTIFS('Team Calendar'!$A$5:$A$14,$F33,'Team Calendar'!$C$5:$C$14,V$4,'Team Calendar'!$F$5:$F$14,"Personal absence")=0),1,"")</x:f>
      </x:c>
      <x:c r="W33" s="211" t="str">
        <x:f>IF(AND(ISNUMBER($D33),ISNUMBER($E33),W$4&gt;=$D33,W$4&lt;=$E33,NETWORKDAYS(W$4,W$4,'Sources &amp; Change Log'!$J$2:$J$5)=1,COUNTIFS('Team Calendar'!$A$5:$A$14,$F33,'Team Calendar'!$C$5:$C$14,W$4,'Team Calendar'!$F$5:$F$14,"Personal absence")=0),1,"")</x:f>
      </x:c>
      <x:c r="X33" s="211" t="str">
        <x:f>IF(AND(ISNUMBER($D33),ISNUMBER($E33),X$4&gt;=$D33,X$4&lt;=$E33,NETWORKDAYS(X$4,X$4,'Sources &amp; Change Log'!$J$2:$J$5)=1,COUNTIFS('Team Calendar'!$A$5:$A$14,$F33,'Team Calendar'!$C$5:$C$14,X$4,'Team Calendar'!$F$5:$F$14,"Personal absence")=0),1,"")</x:f>
      </x:c>
      <x:c r="Y33" s="211" t="n">
        <x:f>IF(AND(ISNUMBER($D33),ISNUMBER($E33),Y$4&gt;=$D33,Y$4&lt;=$E33,NETWORKDAYS(Y$4,Y$4,'Sources &amp; Change Log'!$J$2:$J$5)=1,COUNTIFS('Team Calendar'!$A$5:$A$14,$F33,'Team Calendar'!$C$5:$C$14,Y$4,'Team Calendar'!$F$5:$F$14,"Personal absence")=0),1,"")</x:f>
        <x:v>1</x:v>
      </x:c>
      <x:c r="Z33" s="211" t="str">
        <x:f>IF(AND(ISNUMBER($D33),ISNUMBER($E33),Z$4&gt;=$D33,Z$4&lt;=$E33,NETWORKDAYS(Z$4,Z$4,'Sources &amp; Change Log'!$J$2:$J$5)=1,COUNTIFS('Team Calendar'!$A$5:$A$14,$F33,'Team Calendar'!$C$5:$C$14,Z$4,'Team Calendar'!$F$5:$F$14,"Personal absence")=0),1,"")</x:f>
      </x:c>
      <x:c r="AA33" s="211" t="str">
        <x:f>IF(AND(ISNUMBER($D33),ISNUMBER($E33),AA$4&gt;=$D33,AA$4&lt;=$E33,NETWORKDAYS(AA$4,AA$4,'Sources &amp; Change Log'!$J$2:$J$5)=1,COUNTIFS('Team Calendar'!$A$5:$A$14,$F33,'Team Calendar'!$C$5:$C$14,AA$4,'Team Calendar'!$F$5:$F$14,"Personal absence")=0),1,"")</x:f>
      </x:c>
      <x:c r="AB33" s="211" t="n">
        <x:f>IF(AND(ISNUMBER($D33),ISNUMBER($E33),AB$4&gt;=$D33,AB$4&lt;=$E33,NETWORKDAYS(AB$4,AB$4,'Sources &amp; Change Log'!$J$2:$J$5)=1,COUNTIFS('Team Calendar'!$A$5:$A$14,$F33,'Team Calendar'!$C$5:$C$14,AB$4,'Team Calendar'!$F$5:$F$14,"Personal absence")=0),1,"")</x:f>
        <x:v>1</x:v>
      </x:c>
      <x:c r="AC33" s="211" t="n">
        <x:f>IF(AND(ISNUMBER($D33),ISNUMBER($E33),AC$4&gt;=$D33,AC$4&lt;=$E33,NETWORKDAYS(AC$4,AC$4,'Sources &amp; Change Log'!$J$2:$J$5)=1,COUNTIFS('Team Calendar'!$A$5:$A$14,$F33,'Team Calendar'!$C$5:$C$14,AC$4,'Team Calendar'!$F$5:$F$14,"Personal absence")=0),1,"")</x:f>
        <x:v>1</x:v>
      </x:c>
      <x:c r="AD33" s="211" t="n">
        <x:f>IF(AND(ISNUMBER($D33),ISNUMBER($E33),AD$4&gt;=$D33,AD$4&lt;=$E33,NETWORKDAYS(AD$4,AD$4,'Sources &amp; Change Log'!$J$2:$J$5)=1,COUNTIFS('Team Calendar'!$A$5:$A$14,$F33,'Team Calendar'!$C$5:$C$14,AD$4,'Team Calendar'!$F$5:$F$14,"Personal absence")=0),1,"")</x:f>
        <x:v>1</x:v>
      </x:c>
      <x:c r="AE33" s="211" t="n">
        <x:f>IF(AND(ISNUMBER($D33),ISNUMBER($E33),AE$4&gt;=$D33,AE$4&lt;=$E33,NETWORKDAYS(AE$4,AE$4,'Sources &amp; Change Log'!$J$2:$J$5)=1,COUNTIFS('Team Calendar'!$A$5:$A$14,$F33,'Team Calendar'!$C$5:$C$14,AE$4,'Team Calendar'!$F$5:$F$14,"Personal absence")=0),1,"")</x:f>
        <x:v>1</x:v>
      </x:c>
      <x:c r="AF33" s="211" t="n">
        <x:f>IF(AND(ISNUMBER($D33),ISNUMBER($E33),AF$4&gt;=$D33,AF$4&lt;=$E33,NETWORKDAYS(AF$4,AF$4,'Sources &amp; Change Log'!$J$2:$J$5)=1,COUNTIFS('Team Calendar'!$A$5:$A$14,$F33,'Team Calendar'!$C$5:$C$14,AF$4,'Team Calendar'!$F$5:$F$14,"Personal absence")=0),1,"")</x:f>
        <x:v>1</x:v>
      </x:c>
      <x:c r="AG33" s="211" t="str">
        <x:f>IF(AND(ISNUMBER($D33),ISNUMBER($E33),AG$4&gt;=$D33,AG$4&lt;=$E33,NETWORKDAYS(AG$4,AG$4,'Sources &amp; Change Log'!$J$2:$J$5)=1,COUNTIFS('Team Calendar'!$A$5:$A$14,$F33,'Team Calendar'!$C$5:$C$14,AG$4,'Team Calendar'!$F$5:$F$14,"Personal absence")=0),1,"")</x:f>
      </x:c>
      <x:c r="AH33" s="211" t="str">
        <x:f>IF(AND(ISNUMBER($D33),ISNUMBER($E33),AH$4&gt;=$D33,AH$4&lt;=$E33,NETWORKDAYS(AH$4,AH$4,'Sources &amp; Change Log'!$J$2:$J$5)=1,COUNTIFS('Team Calendar'!$A$5:$A$14,$F33,'Team Calendar'!$C$5:$C$14,AH$4,'Team Calendar'!$F$5:$F$14,"Personal absence")=0),1,"")</x:f>
      </x:c>
      <x:c r="AI33" s="211" t="n">
        <x:f>IF(AND(ISNUMBER($D33),ISNUMBER($E33),AI$4&gt;=$D33,AI$4&lt;=$E33,NETWORKDAYS(AI$4,AI$4,'Sources &amp; Change Log'!$J$2:$J$5)=1,COUNTIFS('Team Calendar'!$A$5:$A$14,$F33,'Team Calendar'!$C$5:$C$14,AI$4,'Team Calendar'!$F$5:$F$14,"Personal absence")=0),1,"")</x:f>
        <x:v>1</x:v>
      </x:c>
      <x:c r="AJ33" s="211" t="n">
        <x:f>IF(AND(ISNUMBER($D33),ISNUMBER($E33),AJ$4&gt;=$D33,AJ$4&lt;=$E33,NETWORKDAYS(AJ$4,AJ$4,'Sources &amp; Change Log'!$J$2:$J$5)=1,COUNTIFS('Team Calendar'!$A$5:$A$14,$F33,'Team Calendar'!$C$5:$C$14,AJ$4,'Team Calendar'!$F$5:$F$14,"Personal absence")=0),1,"")</x:f>
        <x:v>1</x:v>
      </x:c>
      <x:c r="AK33" s="211" t="n">
        <x:f>IF(AND(ISNUMBER($D33),ISNUMBER($E33),AK$4&gt;=$D33,AK$4&lt;=$E33,NETWORKDAYS(AK$4,AK$4,'Sources &amp; Change Log'!$J$2:$J$5)=1,COUNTIFS('Team Calendar'!$A$5:$A$14,$F33,'Team Calendar'!$C$5:$C$14,AK$4,'Team Calendar'!$F$5:$F$14,"Personal absence")=0),1,"")</x:f>
        <x:v>1</x:v>
      </x:c>
      <x:c r="AL33" s="211" t="str">
        <x:f>IF(AND(ISNUMBER($D33),ISNUMBER($E33),AL$4&gt;=$D33,AL$4&lt;=$E33,NETWORKDAYS(AL$4,AL$4,'Sources &amp; Change Log'!$J$2:$J$5)=1,COUNTIFS('Team Calendar'!$A$5:$A$14,$F33,'Team Calendar'!$C$5:$C$14,AL$4,'Team Calendar'!$F$5:$F$14,"Personal absence")=0),1,"")</x:f>
      </x:c>
      <x:c r="AM33" s="211" t="str">
        <x:f>IF(AND(ISNUMBER($D33),ISNUMBER($E33),AM$4&gt;=$D33,AM$4&lt;=$E33,NETWORKDAYS(AM$4,AM$4,'Sources &amp; Change Log'!$J$2:$J$5)=1,COUNTIFS('Team Calendar'!$A$5:$A$14,$F33,'Team Calendar'!$C$5:$C$14,AM$4,'Team Calendar'!$F$5:$F$14,"Personal absence")=0),1,"")</x:f>
      </x:c>
      <x:c r="AN33" s="211" t="str">
        <x:f>IF(AND(ISNUMBER($D33),ISNUMBER($E33),AN$4&gt;=$D33,AN$4&lt;=$E33,NETWORKDAYS(AN$4,AN$4,'Sources &amp; Change Log'!$J$2:$J$5)=1,COUNTIFS('Team Calendar'!$A$5:$A$14,$F33,'Team Calendar'!$C$5:$C$14,AN$4,'Team Calendar'!$F$5:$F$14,"Personal absence")=0),1,"")</x:f>
      </x:c>
      <x:c r="AO33" s="211" t="str">
        <x:f>IF(AND(ISNUMBER($D33),ISNUMBER($E33),AO$4&gt;=$D33,AO$4&lt;=$E33,NETWORKDAYS(AO$4,AO$4,'Sources &amp; Change Log'!$J$2:$J$5)=1,COUNTIFS('Team Calendar'!$A$5:$A$14,$F33,'Team Calendar'!$C$5:$C$14,AO$4,'Team Calendar'!$F$5:$F$14,"Personal absence")=0),1,"")</x:f>
      </x:c>
      <x:c r="AP33" s="211" t="n">
        <x:f>IF(AND(ISNUMBER($D33),ISNUMBER($E33),AP$4&gt;=$D33,AP$4&lt;=$E33,NETWORKDAYS(AP$4,AP$4,'Sources &amp; Change Log'!$J$2:$J$5)=1,COUNTIFS('Team Calendar'!$A$5:$A$14,$F33,'Team Calendar'!$C$5:$C$14,AP$4,'Team Calendar'!$F$5:$F$14,"Personal absence")=0),1,"")</x:f>
        <x:v>1</x:v>
      </x:c>
      <x:c r="AQ33" s="211" t="str">
        <x:f>IF(AND(ISNUMBER($D33),ISNUMBER($E33),AQ$4&gt;=$D33,AQ$4&lt;=$E33,NETWORKDAYS(AQ$4,AQ$4,'Sources &amp; Change Log'!$J$2:$J$5)=1,COUNTIFS('Team Calendar'!$A$5:$A$14,$F33,'Team Calendar'!$C$5:$C$14,AQ$4,'Team Calendar'!$F$5:$F$14,"Personal absence")=0),1,"")</x:f>
      </x:c>
      <x:c r="AR33" s="211" t="n">
        <x:f>IF(AND(ISNUMBER($D33),ISNUMBER($E33),AR$4&gt;=$D33,AR$4&lt;=$E33,NETWORKDAYS(AR$4,AR$4,'Sources &amp; Change Log'!$J$2:$J$5)=1,COUNTIFS('Team Calendar'!$A$5:$A$14,$F33,'Team Calendar'!$C$5:$C$14,AR$4,'Team Calendar'!$F$5:$F$14,"Personal absence")=0),1,"")</x:f>
        <x:v>1</x:v>
      </x:c>
      <x:c r="AS33" s="211" t="n">
        <x:f>IF(AND(ISNUMBER($D33),ISNUMBER($E33),AS$4&gt;=$D33,AS$4&lt;=$E33,NETWORKDAYS(AS$4,AS$4,'Sources &amp; Change Log'!$J$2:$J$5)=1,COUNTIFS('Team Calendar'!$A$5:$A$14,$F33,'Team Calendar'!$C$5:$C$14,AS$4,'Team Calendar'!$F$5:$F$14,"Personal absence")=0),1,"")</x:f>
        <x:v>1</x:v>
      </x:c>
      <x:c r="AT33" s="211" t="n">
        <x:f>IF(AND(ISNUMBER($D33),ISNUMBER($E33),AT$4&gt;=$D33,AT$4&lt;=$E33,NETWORKDAYS(AT$4,AT$4,'Sources &amp; Change Log'!$J$2:$J$5)=1,COUNTIFS('Team Calendar'!$A$5:$A$14,$F33,'Team Calendar'!$C$5:$C$14,AT$4,'Team Calendar'!$F$5:$F$14,"Personal absence")=0),1,"")</x:f>
        <x:v>1</x:v>
      </x:c>
      <x:c r="AU33" s="211" t="str">
        <x:f>IF(AND(ISNUMBER($D33),ISNUMBER($E33),AU$4&gt;=$D33,AU$4&lt;=$E33,NETWORKDAYS(AU$4,AU$4,'Sources &amp; Change Log'!$J$2:$J$5)=1,COUNTIFS('Team Calendar'!$A$5:$A$14,$F33,'Team Calendar'!$C$5:$C$14,AU$4,'Team Calendar'!$F$5:$F$14,"Personal absence")=0),1,"")</x:f>
      </x:c>
      <x:c r="AV33" s="211" t="str">
        <x:f>IF(AND(ISNUMBER($D33),ISNUMBER($E33),AV$4&gt;=$D33,AV$4&lt;=$E33,NETWORKDAYS(AV$4,AV$4,'Sources &amp; Change Log'!$J$2:$J$5)=1,COUNTIFS('Team Calendar'!$A$5:$A$14,$F33,'Team Calendar'!$C$5:$C$14,AV$4,'Team Calendar'!$F$5:$F$14,"Personal absence")=0),1,"")</x:f>
      </x:c>
      <x:c r="AW33" s="211" t="str">
        <x:f>IF(AND(ISNUMBER($D33),ISNUMBER($E33),AW$4&gt;=$D33,AW$4&lt;=$E33,NETWORKDAYS(AW$4,AW$4,'Sources &amp; Change Log'!$J$2:$J$5)=1,COUNTIFS('Team Calendar'!$A$5:$A$14,$F33,'Team Calendar'!$C$5:$C$14,AW$4,'Team Calendar'!$F$5:$F$14,"Personal absence")=0),1,"")</x:f>
      </x:c>
      <x:c r="AX33" s="211" t="n">
        <x:f>IF(AND(ISNUMBER($D33),ISNUMBER($E33),AX$4&gt;=$D33,AX$4&lt;=$E33,NETWORKDAYS(AX$4,AX$4,'Sources &amp; Change Log'!$J$2:$J$5)=1,COUNTIFS('Team Calendar'!$A$5:$A$14,$F33,'Team Calendar'!$C$5:$C$14,AX$4,'Team Calendar'!$F$5:$F$14,"Personal absence")=0),1,"")</x:f>
        <x:v>1</x:v>
      </x:c>
      <x:c r="AY33" s="206"/>
      <x:c r="AZ33" s="206"/>
    </x:row>
    <x:row r="34" ht="30" customHeight="1">
      <x:c r="A34" s="198" t="str">
        <x:f>WBS!A60</x:f>
        <x:v>CR-P1-MON-01-02</x:v>
      </x:c>
      <x:c r="B34" s="198" t="str">
        <x:f>WBS!B60</x:f>
        <x:v>Alertmanager Egress Kubernetes 보안 설정 (NetworkPolicy)</x:v>
      </x:c>
      <x:c r="C34" s="198" t="str">
        <x:f>WBS!G60</x:f>
        <x:v>Done</x:v>
      </x:c>
      <x:c r="D34" s="226" t="n">
        <x:f>WBS!H60</x:f>
        <x:v>46276</x:v>
      </x:c>
      <x:c r="E34" s="226" t="n">
        <x:f>WBS!I60</x:f>
        <x:v>46301</x:v>
      </x:c>
      <x:c r="F34" t="str">
        <x:f>WBS!L60</x:f>
        <x:v>이하영</x:v>
      </x:c>
      <x:c r="G34" s="211" t="str">
        <x:f>IF(AND(ISNUMBER($D34),ISNUMBER($E34),G$4&gt;=$D34,G$4&lt;=$E34,NETWORKDAYS(G$4,G$4,'Sources &amp; Change Log'!$J$2:$J$5)=1,COUNTIFS('Team Calendar'!$A$5:$A$14,$F34,'Team Calendar'!$C$5:$C$14,G$4,'Team Calendar'!$F$5:$F$14,"Personal absence")=0),1,"")</x:f>
      </x:c>
      <x:c r="H34" s="211" t="str">
        <x:f>IF(AND(ISNUMBER($D34),ISNUMBER($E34),H$4&gt;=$D34,H$4&lt;=$E34,NETWORKDAYS(H$4,H$4,'Sources &amp; Change Log'!$J$2:$J$5)=1,COUNTIFS('Team Calendar'!$A$5:$A$14,$F34,'Team Calendar'!$C$5:$C$14,H$4,'Team Calendar'!$F$5:$F$14,"Personal absence")=0),1,"")</x:f>
      </x:c>
      <x:c r="I34" s="211" t="str">
        <x:f>IF(AND(ISNUMBER($D34),ISNUMBER($E34),I$4&gt;=$D34,I$4&lt;=$E34,NETWORKDAYS(I$4,I$4,'Sources &amp; Change Log'!$J$2:$J$5)=1,COUNTIFS('Team Calendar'!$A$5:$A$14,$F34,'Team Calendar'!$C$5:$C$14,I$4,'Team Calendar'!$F$5:$F$14,"Personal absence")=0),1,"")</x:f>
      </x:c>
      <x:c r="J34" s="211" t="str">
        <x:f>IF(AND(ISNUMBER($D34),ISNUMBER($E34),J$4&gt;=$D34,J$4&lt;=$E34,NETWORKDAYS(J$4,J$4,'Sources &amp; Change Log'!$J$2:$J$5)=1,COUNTIFS('Team Calendar'!$A$5:$A$14,$F34,'Team Calendar'!$C$5:$C$14,J$4,'Team Calendar'!$F$5:$F$14,"Personal absence")=0),1,"")</x:f>
      </x:c>
      <x:c r="K34" s="211" t="str">
        <x:f>IF(AND(ISNUMBER($D34),ISNUMBER($E34),K$4&gt;=$D34,K$4&lt;=$E34,NETWORKDAYS(K$4,K$4,'Sources &amp; Change Log'!$J$2:$J$5)=1,COUNTIFS('Team Calendar'!$A$5:$A$14,$F34,'Team Calendar'!$C$5:$C$14,K$4,'Team Calendar'!$F$5:$F$14,"Personal absence")=0),1,"")</x:f>
      </x:c>
      <x:c r="L34" s="211" t="str">
        <x:f>IF(AND(ISNUMBER($D34),ISNUMBER($E34),L$4&gt;=$D34,L$4&lt;=$E34,NETWORKDAYS(L$4,L$4,'Sources &amp; Change Log'!$J$2:$J$5)=1,COUNTIFS('Team Calendar'!$A$5:$A$14,$F34,'Team Calendar'!$C$5:$C$14,L$4,'Team Calendar'!$F$5:$F$14,"Personal absence")=0),1,"")</x:f>
      </x:c>
      <x:c r="M34" s="211" t="str">
        <x:f>IF(AND(ISNUMBER($D34),ISNUMBER($E34),M$4&gt;=$D34,M$4&lt;=$E34,NETWORKDAYS(M$4,M$4,'Sources &amp; Change Log'!$J$2:$J$5)=1,COUNTIFS('Team Calendar'!$A$5:$A$14,$F34,'Team Calendar'!$C$5:$C$14,M$4,'Team Calendar'!$F$5:$F$14,"Personal absence")=0),1,"")</x:f>
      </x:c>
      <x:c r="N34" s="211" t="str">
        <x:f>IF(AND(ISNUMBER($D34),ISNUMBER($E34),N$4&gt;=$D34,N$4&lt;=$E34,NETWORKDAYS(N$4,N$4,'Sources &amp; Change Log'!$J$2:$J$5)=1,COUNTIFS('Team Calendar'!$A$5:$A$14,$F34,'Team Calendar'!$C$5:$C$14,N$4,'Team Calendar'!$F$5:$F$14,"Personal absence")=0),1,"")</x:f>
      </x:c>
      <x:c r="O34" s="211" t="str">
        <x:f>IF(AND(ISNUMBER($D34),ISNUMBER($E34),O$4&gt;=$D34,O$4&lt;=$E34,NETWORKDAYS(O$4,O$4,'Sources &amp; Change Log'!$J$2:$J$5)=1,COUNTIFS('Team Calendar'!$A$5:$A$14,$F34,'Team Calendar'!$C$5:$C$14,O$4,'Team Calendar'!$F$5:$F$14,"Personal absence")=0),1,"")</x:f>
      </x:c>
      <x:c r="P34" s="211" t="str">
        <x:f>IF(AND(ISNUMBER($D34),ISNUMBER($E34),P$4&gt;=$D34,P$4&lt;=$E34,NETWORKDAYS(P$4,P$4,'Sources &amp; Change Log'!$J$2:$J$5)=1,COUNTIFS('Team Calendar'!$A$5:$A$14,$F34,'Team Calendar'!$C$5:$C$14,P$4,'Team Calendar'!$F$5:$F$14,"Personal absence")=0),1,"")</x:f>
      </x:c>
      <x:c r="Q34" s="211" t="str">
        <x:f>IF(AND(ISNUMBER($D34),ISNUMBER($E34),Q$4&gt;=$D34,Q$4&lt;=$E34,NETWORKDAYS(Q$4,Q$4,'Sources &amp; Change Log'!$J$2:$J$5)=1,COUNTIFS('Team Calendar'!$A$5:$A$14,$F34,'Team Calendar'!$C$5:$C$14,Q$4,'Team Calendar'!$F$5:$F$14,"Personal absence")=0),1,"")</x:f>
      </x:c>
      <x:c r="R34" s="211" t="str">
        <x:f>IF(AND(ISNUMBER($D34),ISNUMBER($E34),R$4&gt;=$D34,R$4&lt;=$E34,NETWORKDAYS(R$4,R$4,'Sources &amp; Change Log'!$J$2:$J$5)=1,COUNTIFS('Team Calendar'!$A$5:$A$14,$F34,'Team Calendar'!$C$5:$C$14,R$4,'Team Calendar'!$F$5:$F$14,"Personal absence")=0),1,"")</x:f>
      </x:c>
      <x:c r="S34" s="211" t="str">
        <x:f>IF(AND(ISNUMBER($D34),ISNUMBER($E34),S$4&gt;=$D34,S$4&lt;=$E34,NETWORKDAYS(S$4,S$4,'Sources &amp; Change Log'!$J$2:$J$5)=1,COUNTIFS('Team Calendar'!$A$5:$A$14,$F34,'Team Calendar'!$C$5:$C$14,S$4,'Team Calendar'!$F$5:$F$14,"Personal absence")=0),1,"")</x:f>
      </x:c>
      <x:c r="T34" s="211" t="str">
        <x:f>IF(AND(ISNUMBER($D34),ISNUMBER($E34),T$4&gt;=$D34,T$4&lt;=$E34,NETWORKDAYS(T$4,T$4,'Sources &amp; Change Log'!$J$2:$J$5)=1,COUNTIFS('Team Calendar'!$A$5:$A$14,$F34,'Team Calendar'!$C$5:$C$14,T$4,'Team Calendar'!$F$5:$F$14,"Personal absence")=0),1,"")</x:f>
      </x:c>
      <x:c r="U34" s="211" t="str">
        <x:f>IF(AND(ISNUMBER($D34),ISNUMBER($E34),U$4&gt;=$D34,U$4&lt;=$E34,NETWORKDAYS(U$4,U$4,'Sources &amp; Change Log'!$J$2:$J$5)=1,COUNTIFS('Team Calendar'!$A$5:$A$14,$F34,'Team Calendar'!$C$5:$C$14,U$4,'Team Calendar'!$F$5:$F$14,"Personal absence")=0),1,"")</x:f>
      </x:c>
      <x:c r="V34" s="211" t="str">
        <x:f>IF(AND(ISNUMBER($D34),ISNUMBER($E34),V$4&gt;=$D34,V$4&lt;=$E34,NETWORKDAYS(V$4,V$4,'Sources &amp; Change Log'!$J$2:$J$5)=1,COUNTIFS('Team Calendar'!$A$5:$A$14,$F34,'Team Calendar'!$C$5:$C$14,V$4,'Team Calendar'!$F$5:$F$14,"Personal absence")=0),1,"")</x:f>
      </x:c>
      <x:c r="W34" s="211" t="str">
        <x:f>IF(AND(ISNUMBER($D34),ISNUMBER($E34),W$4&gt;=$D34,W$4&lt;=$E34,NETWORKDAYS(W$4,W$4,'Sources &amp; Change Log'!$J$2:$J$5)=1,COUNTIFS('Team Calendar'!$A$5:$A$14,$F34,'Team Calendar'!$C$5:$C$14,W$4,'Team Calendar'!$F$5:$F$14,"Personal absence")=0),1,"")</x:f>
      </x:c>
      <x:c r="X34" s="211" t="str">
        <x:f>IF(AND(ISNUMBER($D34),ISNUMBER($E34),X$4&gt;=$D34,X$4&lt;=$E34,NETWORKDAYS(X$4,X$4,'Sources &amp; Change Log'!$J$2:$J$5)=1,COUNTIFS('Team Calendar'!$A$5:$A$14,$F34,'Team Calendar'!$C$5:$C$14,X$4,'Team Calendar'!$F$5:$F$14,"Personal absence")=0),1,"")</x:f>
      </x:c>
      <x:c r="Y34" s="211" t="n">
        <x:f>IF(AND(ISNUMBER($D34),ISNUMBER($E34),Y$4&gt;=$D34,Y$4&lt;=$E34,NETWORKDAYS(Y$4,Y$4,'Sources &amp; Change Log'!$J$2:$J$5)=1,COUNTIFS('Team Calendar'!$A$5:$A$14,$F34,'Team Calendar'!$C$5:$C$14,Y$4,'Team Calendar'!$F$5:$F$14,"Personal absence")=0),1,"")</x:f>
        <x:v>1</x:v>
      </x:c>
      <x:c r="Z34" s="211" t="str">
        <x:f>IF(AND(ISNUMBER($D34),ISNUMBER($E34),Z$4&gt;=$D34,Z$4&lt;=$E34,NETWORKDAYS(Z$4,Z$4,'Sources &amp; Change Log'!$J$2:$J$5)=1,COUNTIFS('Team Calendar'!$A$5:$A$14,$F34,'Team Calendar'!$C$5:$C$14,Z$4,'Team Calendar'!$F$5:$F$14,"Personal absence")=0),1,"")</x:f>
      </x:c>
      <x:c r="AA34" s="211" t="str">
        <x:f>IF(AND(ISNUMBER($D34),ISNUMBER($E34),AA$4&gt;=$D34,AA$4&lt;=$E34,NETWORKDAYS(AA$4,AA$4,'Sources &amp; Change Log'!$J$2:$J$5)=1,COUNTIFS('Team Calendar'!$A$5:$A$14,$F34,'Team Calendar'!$C$5:$C$14,AA$4,'Team Calendar'!$F$5:$F$14,"Personal absence")=0),1,"")</x:f>
      </x:c>
      <x:c r="AB34" s="211" t="n">
        <x:f>IF(AND(ISNUMBER($D34),ISNUMBER($E34),AB$4&gt;=$D34,AB$4&lt;=$E34,NETWORKDAYS(AB$4,AB$4,'Sources &amp; Change Log'!$J$2:$J$5)=1,COUNTIFS('Team Calendar'!$A$5:$A$14,$F34,'Team Calendar'!$C$5:$C$14,AB$4,'Team Calendar'!$F$5:$F$14,"Personal absence")=0),1,"")</x:f>
        <x:v>1</x:v>
      </x:c>
      <x:c r="AC34" s="211" t="n">
        <x:f>IF(AND(ISNUMBER($D34),ISNUMBER($E34),AC$4&gt;=$D34,AC$4&lt;=$E34,NETWORKDAYS(AC$4,AC$4,'Sources &amp; Change Log'!$J$2:$J$5)=1,COUNTIFS('Team Calendar'!$A$5:$A$14,$F34,'Team Calendar'!$C$5:$C$14,AC$4,'Team Calendar'!$F$5:$F$14,"Personal absence")=0),1,"")</x:f>
        <x:v>1</x:v>
      </x:c>
      <x:c r="AD34" s="211" t="n">
        <x:f>IF(AND(ISNUMBER($D34),ISNUMBER($E34),AD$4&gt;=$D34,AD$4&lt;=$E34,NETWORKDAYS(AD$4,AD$4,'Sources &amp; Change Log'!$J$2:$J$5)=1,COUNTIFS('Team Calendar'!$A$5:$A$14,$F34,'Team Calendar'!$C$5:$C$14,AD$4,'Team Calendar'!$F$5:$F$14,"Personal absence")=0),1,"")</x:f>
        <x:v>1</x:v>
      </x:c>
      <x:c r="AE34" s="211" t="n">
        <x:f>IF(AND(ISNUMBER($D34),ISNUMBER($E34),AE$4&gt;=$D34,AE$4&lt;=$E34,NETWORKDAYS(AE$4,AE$4,'Sources &amp; Change Log'!$J$2:$J$5)=1,COUNTIFS('Team Calendar'!$A$5:$A$14,$F34,'Team Calendar'!$C$5:$C$14,AE$4,'Team Calendar'!$F$5:$F$14,"Personal absence")=0),1,"")</x:f>
        <x:v>1</x:v>
      </x:c>
      <x:c r="AF34" s="211" t="n">
        <x:f>IF(AND(ISNUMBER($D34),ISNUMBER($E34),AF$4&gt;=$D34,AF$4&lt;=$E34,NETWORKDAYS(AF$4,AF$4,'Sources &amp; Change Log'!$J$2:$J$5)=1,COUNTIFS('Team Calendar'!$A$5:$A$14,$F34,'Team Calendar'!$C$5:$C$14,AF$4,'Team Calendar'!$F$5:$F$14,"Personal absence")=0),1,"")</x:f>
        <x:v>1</x:v>
      </x:c>
      <x:c r="AG34" s="211" t="str">
        <x:f>IF(AND(ISNUMBER($D34),ISNUMBER($E34),AG$4&gt;=$D34,AG$4&lt;=$E34,NETWORKDAYS(AG$4,AG$4,'Sources &amp; Change Log'!$J$2:$J$5)=1,COUNTIFS('Team Calendar'!$A$5:$A$14,$F34,'Team Calendar'!$C$5:$C$14,AG$4,'Team Calendar'!$F$5:$F$14,"Personal absence")=0),1,"")</x:f>
      </x:c>
      <x:c r="AH34" s="211" t="str">
        <x:f>IF(AND(ISNUMBER($D34),ISNUMBER($E34),AH$4&gt;=$D34,AH$4&lt;=$E34,NETWORKDAYS(AH$4,AH$4,'Sources &amp; Change Log'!$J$2:$J$5)=1,COUNTIFS('Team Calendar'!$A$5:$A$14,$F34,'Team Calendar'!$C$5:$C$14,AH$4,'Team Calendar'!$F$5:$F$14,"Personal absence")=0),1,"")</x:f>
      </x:c>
      <x:c r="AI34" s="211" t="n">
        <x:f>IF(AND(ISNUMBER($D34),ISNUMBER($E34),AI$4&gt;=$D34,AI$4&lt;=$E34,NETWORKDAYS(AI$4,AI$4,'Sources &amp; Change Log'!$J$2:$J$5)=1,COUNTIFS('Team Calendar'!$A$5:$A$14,$F34,'Team Calendar'!$C$5:$C$14,AI$4,'Team Calendar'!$F$5:$F$14,"Personal absence")=0),1,"")</x:f>
        <x:v>1</x:v>
      </x:c>
      <x:c r="AJ34" s="211" t="n">
        <x:f>IF(AND(ISNUMBER($D34),ISNUMBER($E34),AJ$4&gt;=$D34,AJ$4&lt;=$E34,NETWORKDAYS(AJ$4,AJ$4,'Sources &amp; Change Log'!$J$2:$J$5)=1,COUNTIFS('Team Calendar'!$A$5:$A$14,$F34,'Team Calendar'!$C$5:$C$14,AJ$4,'Team Calendar'!$F$5:$F$14,"Personal absence")=0),1,"")</x:f>
        <x:v>1</x:v>
      </x:c>
      <x:c r="AK34" s="211" t="n">
        <x:f>IF(AND(ISNUMBER($D34),ISNUMBER($E34),AK$4&gt;=$D34,AK$4&lt;=$E34,NETWORKDAYS(AK$4,AK$4,'Sources &amp; Change Log'!$J$2:$J$5)=1,COUNTIFS('Team Calendar'!$A$5:$A$14,$F34,'Team Calendar'!$C$5:$C$14,AK$4,'Team Calendar'!$F$5:$F$14,"Personal absence")=0),1,"")</x:f>
        <x:v>1</x:v>
      </x:c>
      <x:c r="AL34" s="211" t="str">
        <x:f>IF(AND(ISNUMBER($D34),ISNUMBER($E34),AL$4&gt;=$D34,AL$4&lt;=$E34,NETWORKDAYS(AL$4,AL$4,'Sources &amp; Change Log'!$J$2:$J$5)=1,COUNTIFS('Team Calendar'!$A$5:$A$14,$F34,'Team Calendar'!$C$5:$C$14,AL$4,'Team Calendar'!$F$5:$F$14,"Personal absence")=0),1,"")</x:f>
      </x:c>
      <x:c r="AM34" s="211" t="str">
        <x:f>IF(AND(ISNUMBER($D34),ISNUMBER($E34),AM$4&gt;=$D34,AM$4&lt;=$E34,NETWORKDAYS(AM$4,AM$4,'Sources &amp; Change Log'!$J$2:$J$5)=1,COUNTIFS('Team Calendar'!$A$5:$A$14,$F34,'Team Calendar'!$C$5:$C$14,AM$4,'Team Calendar'!$F$5:$F$14,"Personal absence")=0),1,"")</x:f>
      </x:c>
      <x:c r="AN34" s="211" t="str">
        <x:f>IF(AND(ISNUMBER($D34),ISNUMBER($E34),AN$4&gt;=$D34,AN$4&lt;=$E34,NETWORKDAYS(AN$4,AN$4,'Sources &amp; Change Log'!$J$2:$J$5)=1,COUNTIFS('Team Calendar'!$A$5:$A$14,$F34,'Team Calendar'!$C$5:$C$14,AN$4,'Team Calendar'!$F$5:$F$14,"Personal absence")=0),1,"")</x:f>
      </x:c>
      <x:c r="AO34" s="211" t="str">
        <x:f>IF(AND(ISNUMBER($D34),ISNUMBER($E34),AO$4&gt;=$D34,AO$4&lt;=$E34,NETWORKDAYS(AO$4,AO$4,'Sources &amp; Change Log'!$J$2:$J$5)=1,COUNTIFS('Team Calendar'!$A$5:$A$14,$F34,'Team Calendar'!$C$5:$C$14,AO$4,'Team Calendar'!$F$5:$F$14,"Personal absence")=0),1,"")</x:f>
      </x:c>
      <x:c r="AP34" s="211" t="n">
        <x:f>IF(AND(ISNUMBER($D34),ISNUMBER($E34),AP$4&gt;=$D34,AP$4&lt;=$E34,NETWORKDAYS(AP$4,AP$4,'Sources &amp; Change Log'!$J$2:$J$5)=1,COUNTIFS('Team Calendar'!$A$5:$A$14,$F34,'Team Calendar'!$C$5:$C$14,AP$4,'Team Calendar'!$F$5:$F$14,"Personal absence")=0),1,"")</x:f>
        <x:v>1</x:v>
      </x:c>
      <x:c r="AQ34" s="211" t="str">
        <x:f>IF(AND(ISNUMBER($D34),ISNUMBER($E34),AQ$4&gt;=$D34,AQ$4&lt;=$E34,NETWORKDAYS(AQ$4,AQ$4,'Sources &amp; Change Log'!$J$2:$J$5)=1,COUNTIFS('Team Calendar'!$A$5:$A$14,$F34,'Team Calendar'!$C$5:$C$14,AQ$4,'Team Calendar'!$F$5:$F$14,"Personal absence")=0),1,"")</x:f>
      </x:c>
      <x:c r="AR34" s="211" t="n">
        <x:f>IF(AND(ISNUMBER($D34),ISNUMBER($E34),AR$4&gt;=$D34,AR$4&lt;=$E34,NETWORKDAYS(AR$4,AR$4,'Sources &amp; Change Log'!$J$2:$J$5)=1,COUNTIFS('Team Calendar'!$A$5:$A$14,$F34,'Team Calendar'!$C$5:$C$14,AR$4,'Team Calendar'!$F$5:$F$14,"Personal absence")=0),1,"")</x:f>
        <x:v>1</x:v>
      </x:c>
      <x:c r="AS34" s="211" t="n">
        <x:f>IF(AND(ISNUMBER($D34),ISNUMBER($E34),AS$4&gt;=$D34,AS$4&lt;=$E34,NETWORKDAYS(AS$4,AS$4,'Sources &amp; Change Log'!$J$2:$J$5)=1,COUNTIFS('Team Calendar'!$A$5:$A$14,$F34,'Team Calendar'!$C$5:$C$14,AS$4,'Team Calendar'!$F$5:$F$14,"Personal absence")=0),1,"")</x:f>
        <x:v>1</x:v>
      </x:c>
      <x:c r="AT34" s="211" t="n">
        <x:f>IF(AND(ISNUMBER($D34),ISNUMBER($E34),AT$4&gt;=$D34,AT$4&lt;=$E34,NETWORKDAYS(AT$4,AT$4,'Sources &amp; Change Log'!$J$2:$J$5)=1,COUNTIFS('Team Calendar'!$A$5:$A$14,$F34,'Team Calendar'!$C$5:$C$14,AT$4,'Team Calendar'!$F$5:$F$14,"Personal absence")=0),1,"")</x:f>
        <x:v>1</x:v>
      </x:c>
      <x:c r="AU34" s="211" t="str">
        <x:f>IF(AND(ISNUMBER($D34),ISNUMBER($E34),AU$4&gt;=$D34,AU$4&lt;=$E34,NETWORKDAYS(AU$4,AU$4,'Sources &amp; Change Log'!$J$2:$J$5)=1,COUNTIFS('Team Calendar'!$A$5:$A$14,$F34,'Team Calendar'!$C$5:$C$14,AU$4,'Team Calendar'!$F$5:$F$14,"Personal absence")=0),1,"")</x:f>
      </x:c>
      <x:c r="AV34" s="211" t="str">
        <x:f>IF(AND(ISNUMBER($D34),ISNUMBER($E34),AV$4&gt;=$D34,AV$4&lt;=$E34,NETWORKDAYS(AV$4,AV$4,'Sources &amp; Change Log'!$J$2:$J$5)=1,COUNTIFS('Team Calendar'!$A$5:$A$14,$F34,'Team Calendar'!$C$5:$C$14,AV$4,'Team Calendar'!$F$5:$F$14,"Personal absence")=0),1,"")</x:f>
      </x:c>
      <x:c r="AW34" s="211" t="str">
        <x:f>IF(AND(ISNUMBER($D34),ISNUMBER($E34),AW$4&gt;=$D34,AW$4&lt;=$E34,NETWORKDAYS(AW$4,AW$4,'Sources &amp; Change Log'!$J$2:$J$5)=1,COUNTIFS('Team Calendar'!$A$5:$A$14,$F34,'Team Calendar'!$C$5:$C$14,AW$4,'Team Calendar'!$F$5:$F$14,"Personal absence")=0),1,"")</x:f>
      </x:c>
      <x:c r="AX34" s="211" t="n">
        <x:f>IF(AND(ISNUMBER($D34),ISNUMBER($E34),AX$4&gt;=$D34,AX$4&lt;=$E34,NETWORKDAYS(AX$4,AX$4,'Sources &amp; Change Log'!$J$2:$J$5)=1,COUNTIFS('Team Calendar'!$A$5:$A$14,$F34,'Team Calendar'!$C$5:$C$14,AX$4,'Team Calendar'!$F$5:$F$14,"Personal absence")=0),1,"")</x:f>
        <x:v>1</x:v>
      </x:c>
      <x:c r="AY34" s="206"/>
      <x:c r="AZ34" s="206"/>
    </x:row>
    <x:row r="35" ht="30" customHeight="1">
      <x:c r="A35" s="228" t="str">
        <x:f>WBS!A61</x:f>
        <x:v>DEC-P1-EGRESS-01</x:v>
      </x:c>
      <x:c r="B35" s="228" t="str">
        <x:f>WBS!B61</x:f>
        <x:v>Alertmanager 전용 프록시 배치·예약 IP 사용 결정</x:v>
      </x:c>
      <x:c r="C35" s="228" t="str">
        <x:f>WBS!G61</x:f>
        <x:v>Done</x:v>
      </x:c>
      <x:c r="D35" s="227" t="n">
        <x:f>WBS!H61</x:f>
        <x:v>46279</x:v>
      </x:c>
      <x:c r="E35" s="227" t="n">
        <x:f>WBS!I61</x:f>
        <x:v>46286</x:v>
      </x:c>
      <x:c r="F35" s="146" t="str">
        <x:f>WBS!L61</x:f>
        <x:v>이권욱</x:v>
      </x:c>
      <x:c r="G35" s="213" t="str">
        <x:f>IF(AND(ISNUMBER($D35),ISNUMBER($E35),G$4&gt;=$D35,G$4&lt;=$E35,NETWORKDAYS(G$4,G$4,'Sources &amp; Change Log'!$J$2:$J$5)=1,COUNTIFS('Team Calendar'!$A$5:$A$14,$F35,'Team Calendar'!$C$5:$C$14,G$4,'Team Calendar'!$F$5:$F$14,"Personal absence")=0),1,"")</x:f>
      </x:c>
      <x:c r="H35" s="213" t="str">
        <x:f>IF(AND(ISNUMBER($D35),ISNUMBER($E35),H$4&gt;=$D35,H$4&lt;=$E35,NETWORKDAYS(H$4,H$4,'Sources &amp; Change Log'!$J$2:$J$5)=1,COUNTIFS('Team Calendar'!$A$5:$A$14,$F35,'Team Calendar'!$C$5:$C$14,H$4,'Team Calendar'!$F$5:$F$14,"Personal absence")=0),1,"")</x:f>
      </x:c>
      <x:c r="I35" s="213" t="str">
        <x:f>IF(AND(ISNUMBER($D35),ISNUMBER($E35),I$4&gt;=$D35,I$4&lt;=$E35,NETWORKDAYS(I$4,I$4,'Sources &amp; Change Log'!$J$2:$J$5)=1,COUNTIFS('Team Calendar'!$A$5:$A$14,$F35,'Team Calendar'!$C$5:$C$14,I$4,'Team Calendar'!$F$5:$F$14,"Personal absence")=0),1,"")</x:f>
      </x:c>
      <x:c r="J35" s="213" t="str">
        <x:f>IF(AND(ISNUMBER($D35),ISNUMBER($E35),J$4&gt;=$D35,J$4&lt;=$E35,NETWORKDAYS(J$4,J$4,'Sources &amp; Change Log'!$J$2:$J$5)=1,COUNTIFS('Team Calendar'!$A$5:$A$14,$F35,'Team Calendar'!$C$5:$C$14,J$4,'Team Calendar'!$F$5:$F$14,"Personal absence")=0),1,"")</x:f>
      </x:c>
      <x:c r="K35" s="213" t="str">
        <x:f>IF(AND(ISNUMBER($D35),ISNUMBER($E35),K$4&gt;=$D35,K$4&lt;=$E35,NETWORKDAYS(K$4,K$4,'Sources &amp; Change Log'!$J$2:$J$5)=1,COUNTIFS('Team Calendar'!$A$5:$A$14,$F35,'Team Calendar'!$C$5:$C$14,K$4,'Team Calendar'!$F$5:$F$14,"Personal absence")=0),1,"")</x:f>
      </x:c>
      <x:c r="L35" s="213" t="str">
        <x:f>IF(AND(ISNUMBER($D35),ISNUMBER($E35),L$4&gt;=$D35,L$4&lt;=$E35,NETWORKDAYS(L$4,L$4,'Sources &amp; Change Log'!$J$2:$J$5)=1,COUNTIFS('Team Calendar'!$A$5:$A$14,$F35,'Team Calendar'!$C$5:$C$14,L$4,'Team Calendar'!$F$5:$F$14,"Personal absence")=0),1,"")</x:f>
      </x:c>
      <x:c r="M35" s="213" t="str">
        <x:f>IF(AND(ISNUMBER($D35),ISNUMBER($E35),M$4&gt;=$D35,M$4&lt;=$E35,NETWORKDAYS(M$4,M$4,'Sources &amp; Change Log'!$J$2:$J$5)=1,COUNTIFS('Team Calendar'!$A$5:$A$14,$F35,'Team Calendar'!$C$5:$C$14,M$4,'Team Calendar'!$F$5:$F$14,"Personal absence")=0),1,"")</x:f>
      </x:c>
      <x:c r="N35" s="213" t="str">
        <x:f>IF(AND(ISNUMBER($D35),ISNUMBER($E35),N$4&gt;=$D35,N$4&lt;=$E35,NETWORKDAYS(N$4,N$4,'Sources &amp; Change Log'!$J$2:$J$5)=1,COUNTIFS('Team Calendar'!$A$5:$A$14,$F35,'Team Calendar'!$C$5:$C$14,N$4,'Team Calendar'!$F$5:$F$14,"Personal absence")=0),1,"")</x:f>
      </x:c>
      <x:c r="O35" s="213" t="str">
        <x:f>IF(AND(ISNUMBER($D35),ISNUMBER($E35),O$4&gt;=$D35,O$4&lt;=$E35,NETWORKDAYS(O$4,O$4,'Sources &amp; Change Log'!$J$2:$J$5)=1,COUNTIFS('Team Calendar'!$A$5:$A$14,$F35,'Team Calendar'!$C$5:$C$14,O$4,'Team Calendar'!$F$5:$F$14,"Personal absence")=0),1,"")</x:f>
      </x:c>
      <x:c r="P35" s="213" t="str">
        <x:f>IF(AND(ISNUMBER($D35),ISNUMBER($E35),P$4&gt;=$D35,P$4&lt;=$E35,NETWORKDAYS(P$4,P$4,'Sources &amp; Change Log'!$J$2:$J$5)=1,COUNTIFS('Team Calendar'!$A$5:$A$14,$F35,'Team Calendar'!$C$5:$C$14,P$4,'Team Calendar'!$F$5:$F$14,"Personal absence")=0),1,"")</x:f>
      </x:c>
      <x:c r="Q35" s="213" t="str">
        <x:f>IF(AND(ISNUMBER($D35),ISNUMBER($E35),Q$4&gt;=$D35,Q$4&lt;=$E35,NETWORKDAYS(Q$4,Q$4,'Sources &amp; Change Log'!$J$2:$J$5)=1,COUNTIFS('Team Calendar'!$A$5:$A$14,$F35,'Team Calendar'!$C$5:$C$14,Q$4,'Team Calendar'!$F$5:$F$14,"Personal absence")=0),1,"")</x:f>
      </x:c>
      <x:c r="R35" s="213" t="str">
        <x:f>IF(AND(ISNUMBER($D35),ISNUMBER($E35),R$4&gt;=$D35,R$4&lt;=$E35,NETWORKDAYS(R$4,R$4,'Sources &amp; Change Log'!$J$2:$J$5)=1,COUNTIFS('Team Calendar'!$A$5:$A$14,$F35,'Team Calendar'!$C$5:$C$14,R$4,'Team Calendar'!$F$5:$F$14,"Personal absence")=0),1,"")</x:f>
      </x:c>
      <x:c r="S35" s="213" t="str">
        <x:f>IF(AND(ISNUMBER($D35),ISNUMBER($E35),S$4&gt;=$D35,S$4&lt;=$E35,NETWORKDAYS(S$4,S$4,'Sources &amp; Change Log'!$J$2:$J$5)=1,COUNTIFS('Team Calendar'!$A$5:$A$14,$F35,'Team Calendar'!$C$5:$C$14,S$4,'Team Calendar'!$F$5:$F$14,"Personal absence")=0),1,"")</x:f>
      </x:c>
      <x:c r="T35" s="213" t="str">
        <x:f>IF(AND(ISNUMBER($D35),ISNUMBER($E35),T$4&gt;=$D35,T$4&lt;=$E35,NETWORKDAYS(T$4,T$4,'Sources &amp; Change Log'!$J$2:$J$5)=1,COUNTIFS('Team Calendar'!$A$5:$A$14,$F35,'Team Calendar'!$C$5:$C$14,T$4,'Team Calendar'!$F$5:$F$14,"Personal absence")=0),1,"")</x:f>
      </x:c>
      <x:c r="U35" s="213" t="str">
        <x:f>IF(AND(ISNUMBER($D35),ISNUMBER($E35),U$4&gt;=$D35,U$4&lt;=$E35,NETWORKDAYS(U$4,U$4,'Sources &amp; Change Log'!$J$2:$J$5)=1,COUNTIFS('Team Calendar'!$A$5:$A$14,$F35,'Team Calendar'!$C$5:$C$14,U$4,'Team Calendar'!$F$5:$F$14,"Personal absence")=0),1,"")</x:f>
      </x:c>
      <x:c r="V35" s="213" t="str">
        <x:f>IF(AND(ISNUMBER($D35),ISNUMBER($E35),V$4&gt;=$D35,V$4&lt;=$E35,NETWORKDAYS(V$4,V$4,'Sources &amp; Change Log'!$J$2:$J$5)=1,COUNTIFS('Team Calendar'!$A$5:$A$14,$F35,'Team Calendar'!$C$5:$C$14,V$4,'Team Calendar'!$F$5:$F$14,"Personal absence")=0),1,"")</x:f>
      </x:c>
      <x:c r="W35" s="213" t="str">
        <x:f>IF(AND(ISNUMBER($D35),ISNUMBER($E35),W$4&gt;=$D35,W$4&lt;=$E35,NETWORKDAYS(W$4,W$4,'Sources &amp; Change Log'!$J$2:$J$5)=1,COUNTIFS('Team Calendar'!$A$5:$A$14,$F35,'Team Calendar'!$C$5:$C$14,W$4,'Team Calendar'!$F$5:$F$14,"Personal absence")=0),1,"")</x:f>
      </x:c>
      <x:c r="X35" s="213" t="str">
        <x:f>IF(AND(ISNUMBER($D35),ISNUMBER($E35),X$4&gt;=$D35,X$4&lt;=$E35,NETWORKDAYS(X$4,X$4,'Sources &amp; Change Log'!$J$2:$J$5)=1,COUNTIFS('Team Calendar'!$A$5:$A$14,$F35,'Team Calendar'!$C$5:$C$14,X$4,'Team Calendar'!$F$5:$F$14,"Personal absence")=0),1,"")</x:f>
      </x:c>
      <x:c r="Y35" s="213" t="str">
        <x:f>IF(AND(ISNUMBER($D35),ISNUMBER($E35),Y$4&gt;=$D35,Y$4&lt;=$E35,NETWORKDAYS(Y$4,Y$4,'Sources &amp; Change Log'!$J$2:$J$5)=1,COUNTIFS('Team Calendar'!$A$5:$A$14,$F35,'Team Calendar'!$C$5:$C$14,Y$4,'Team Calendar'!$F$5:$F$14,"Personal absence")=0),1,"")</x:f>
      </x:c>
      <x:c r="Z35" s="213" t="str">
        <x:f>IF(AND(ISNUMBER($D35),ISNUMBER($E35),Z$4&gt;=$D35,Z$4&lt;=$E35,NETWORKDAYS(Z$4,Z$4,'Sources &amp; Change Log'!$J$2:$J$5)=1,COUNTIFS('Team Calendar'!$A$5:$A$14,$F35,'Team Calendar'!$C$5:$C$14,Z$4,'Team Calendar'!$F$5:$F$14,"Personal absence")=0),1,"")</x:f>
      </x:c>
      <x:c r="AA35" s="213" t="str">
        <x:f>IF(AND(ISNUMBER($D35),ISNUMBER($E35),AA$4&gt;=$D35,AA$4&lt;=$E35,NETWORKDAYS(AA$4,AA$4,'Sources &amp; Change Log'!$J$2:$J$5)=1,COUNTIFS('Team Calendar'!$A$5:$A$14,$F35,'Team Calendar'!$C$5:$C$14,AA$4,'Team Calendar'!$F$5:$F$14,"Personal absence")=0),1,"")</x:f>
      </x:c>
      <x:c r="AB35" s="213" t="n">
        <x:f>IF(AND(ISNUMBER($D35),ISNUMBER($E35),AB$4&gt;=$D35,AB$4&lt;=$E35,NETWORKDAYS(AB$4,AB$4,'Sources &amp; Change Log'!$J$2:$J$5)=1,COUNTIFS('Team Calendar'!$A$5:$A$14,$F35,'Team Calendar'!$C$5:$C$14,AB$4,'Team Calendar'!$F$5:$F$14,"Personal absence")=0),1,"")</x:f>
        <x:v>1</x:v>
      </x:c>
      <x:c r="AC35" s="213" t="n">
        <x:f>IF(AND(ISNUMBER($D35),ISNUMBER($E35),AC$4&gt;=$D35,AC$4&lt;=$E35,NETWORKDAYS(AC$4,AC$4,'Sources &amp; Change Log'!$J$2:$J$5)=1,COUNTIFS('Team Calendar'!$A$5:$A$14,$F35,'Team Calendar'!$C$5:$C$14,AC$4,'Team Calendar'!$F$5:$F$14,"Personal absence")=0),1,"")</x:f>
        <x:v>1</x:v>
      </x:c>
      <x:c r="AD35" s="213" t="n">
        <x:f>IF(AND(ISNUMBER($D35),ISNUMBER($E35),AD$4&gt;=$D35,AD$4&lt;=$E35,NETWORKDAYS(AD$4,AD$4,'Sources &amp; Change Log'!$J$2:$J$5)=1,COUNTIFS('Team Calendar'!$A$5:$A$14,$F35,'Team Calendar'!$C$5:$C$14,AD$4,'Team Calendar'!$F$5:$F$14,"Personal absence")=0),1,"")</x:f>
        <x:v>1</x:v>
      </x:c>
      <x:c r="AE35" s="213" t="n">
        <x:f>IF(AND(ISNUMBER($D35),ISNUMBER($E35),AE$4&gt;=$D35,AE$4&lt;=$E35,NETWORKDAYS(AE$4,AE$4,'Sources &amp; Change Log'!$J$2:$J$5)=1,COUNTIFS('Team Calendar'!$A$5:$A$14,$F35,'Team Calendar'!$C$5:$C$14,AE$4,'Team Calendar'!$F$5:$F$14,"Personal absence")=0),1,"")</x:f>
        <x:v>1</x:v>
      </x:c>
      <x:c r="AF35" s="213" t="n">
        <x:f>IF(AND(ISNUMBER($D35),ISNUMBER($E35),AF$4&gt;=$D35,AF$4&lt;=$E35,NETWORKDAYS(AF$4,AF$4,'Sources &amp; Change Log'!$J$2:$J$5)=1,COUNTIFS('Team Calendar'!$A$5:$A$14,$F35,'Team Calendar'!$C$5:$C$14,AF$4,'Team Calendar'!$F$5:$F$14,"Personal absence")=0),1,"")</x:f>
        <x:v>1</x:v>
      </x:c>
      <x:c r="AG35" s="213" t="str">
        <x:f>IF(AND(ISNUMBER($D35),ISNUMBER($E35),AG$4&gt;=$D35,AG$4&lt;=$E35,NETWORKDAYS(AG$4,AG$4,'Sources &amp; Change Log'!$J$2:$J$5)=1,COUNTIFS('Team Calendar'!$A$5:$A$14,$F35,'Team Calendar'!$C$5:$C$14,AG$4,'Team Calendar'!$F$5:$F$14,"Personal absence")=0),1,"")</x:f>
      </x:c>
      <x:c r="AH35" s="213" t="str">
        <x:f>IF(AND(ISNUMBER($D35),ISNUMBER($E35),AH$4&gt;=$D35,AH$4&lt;=$E35,NETWORKDAYS(AH$4,AH$4,'Sources &amp; Change Log'!$J$2:$J$5)=1,COUNTIFS('Team Calendar'!$A$5:$A$14,$F35,'Team Calendar'!$C$5:$C$14,AH$4,'Team Calendar'!$F$5:$F$14,"Personal absence")=0),1,"")</x:f>
      </x:c>
      <x:c r="AI35" s="213" t="n">
        <x:f>IF(AND(ISNUMBER($D35),ISNUMBER($E35),AI$4&gt;=$D35,AI$4&lt;=$E35,NETWORKDAYS(AI$4,AI$4,'Sources &amp; Change Log'!$J$2:$J$5)=1,COUNTIFS('Team Calendar'!$A$5:$A$14,$F35,'Team Calendar'!$C$5:$C$14,AI$4,'Team Calendar'!$F$5:$F$14,"Personal absence")=0),1,"")</x:f>
        <x:v>1</x:v>
      </x:c>
      <x:c r="AJ35" s="211" t="str">
        <x:f>IF(AND(ISNUMBER($D35),ISNUMBER($E35),AJ$4&gt;=$D35,AJ$4&lt;=$E35,NETWORKDAYS(AJ$4,AJ$4,'Sources &amp; Change Log'!$J$2:$J$5)=1,COUNTIFS('Team Calendar'!$A$5:$A$14,$F35,'Team Calendar'!$C$5:$C$14,AJ$4,'Team Calendar'!$F$5:$F$14,"Personal absence")=0),1,"")</x:f>
      </x:c>
      <x:c r="AK35" s="211" t="str">
        <x:f>IF(AND(ISNUMBER($D35),ISNUMBER($E35),AK$4&gt;=$D35,AK$4&lt;=$E35,NETWORKDAYS(AK$4,AK$4,'Sources &amp; Change Log'!$J$2:$J$5)=1,COUNTIFS('Team Calendar'!$A$5:$A$14,$F35,'Team Calendar'!$C$5:$C$14,AK$4,'Team Calendar'!$F$5:$F$14,"Personal absence")=0),1,"")</x:f>
      </x:c>
      <x:c r="AL35" s="211" t="str">
        <x:f>IF(AND(ISNUMBER($D35),ISNUMBER($E35),AL$4&gt;=$D35,AL$4&lt;=$E35,NETWORKDAYS(AL$4,AL$4,'Sources &amp; Change Log'!$J$2:$J$5)=1,COUNTIFS('Team Calendar'!$A$5:$A$14,$F35,'Team Calendar'!$C$5:$C$14,AL$4,'Team Calendar'!$F$5:$F$14,"Personal absence")=0),1,"")</x:f>
      </x:c>
      <x:c r="AM35" s="211" t="str">
        <x:f>IF(AND(ISNUMBER($D35),ISNUMBER($E35),AM$4&gt;=$D35,AM$4&lt;=$E35,NETWORKDAYS(AM$4,AM$4,'Sources &amp; Change Log'!$J$2:$J$5)=1,COUNTIFS('Team Calendar'!$A$5:$A$14,$F35,'Team Calendar'!$C$5:$C$14,AM$4,'Team Calendar'!$F$5:$F$14,"Personal absence")=0),1,"")</x:f>
      </x:c>
      <x:c r="AN35" s="211" t="str">
        <x:f>IF(AND(ISNUMBER($D35),ISNUMBER($E35),AN$4&gt;=$D35,AN$4&lt;=$E35,NETWORKDAYS(AN$4,AN$4,'Sources &amp; Change Log'!$J$2:$J$5)=1,COUNTIFS('Team Calendar'!$A$5:$A$14,$F35,'Team Calendar'!$C$5:$C$14,AN$4,'Team Calendar'!$F$5:$F$14,"Personal absence")=0),1,"")</x:f>
      </x:c>
      <x:c r="AO35" s="211" t="str">
        <x:f>IF(AND(ISNUMBER($D35),ISNUMBER($E35),AO$4&gt;=$D35,AO$4&lt;=$E35,NETWORKDAYS(AO$4,AO$4,'Sources &amp; Change Log'!$J$2:$J$5)=1,COUNTIFS('Team Calendar'!$A$5:$A$14,$F35,'Team Calendar'!$C$5:$C$14,AO$4,'Team Calendar'!$F$5:$F$14,"Personal absence")=0),1,"")</x:f>
      </x:c>
      <x:c r="AP35" s="211" t="str">
        <x:f>IF(AND(ISNUMBER($D35),ISNUMBER($E35),AP$4&gt;=$D35,AP$4&lt;=$E35,NETWORKDAYS(AP$4,AP$4,'Sources &amp; Change Log'!$J$2:$J$5)=1,COUNTIFS('Team Calendar'!$A$5:$A$14,$F35,'Team Calendar'!$C$5:$C$14,AP$4,'Team Calendar'!$F$5:$F$14,"Personal absence")=0),1,"")</x:f>
      </x:c>
      <x:c r="AQ35" s="211" t="str">
        <x:f>IF(AND(ISNUMBER($D35),ISNUMBER($E35),AQ$4&gt;=$D35,AQ$4&lt;=$E35,NETWORKDAYS(AQ$4,AQ$4,'Sources &amp; Change Log'!$J$2:$J$5)=1,COUNTIFS('Team Calendar'!$A$5:$A$14,$F35,'Team Calendar'!$C$5:$C$14,AQ$4,'Team Calendar'!$F$5:$F$14,"Personal absence")=0),1,"")</x:f>
      </x:c>
      <x:c r="AR35" s="211" t="str">
        <x:f>IF(AND(ISNUMBER($D35),ISNUMBER($E35),AR$4&gt;=$D35,AR$4&lt;=$E35,NETWORKDAYS(AR$4,AR$4,'Sources &amp; Change Log'!$J$2:$J$5)=1,COUNTIFS('Team Calendar'!$A$5:$A$14,$F35,'Team Calendar'!$C$5:$C$14,AR$4,'Team Calendar'!$F$5:$F$14,"Personal absence")=0),1,"")</x:f>
      </x:c>
      <x:c r="AS35" s="211" t="str">
        <x:f>IF(AND(ISNUMBER($D35),ISNUMBER($E35),AS$4&gt;=$D35,AS$4&lt;=$E35,NETWORKDAYS(AS$4,AS$4,'Sources &amp; Change Log'!$J$2:$J$5)=1,COUNTIFS('Team Calendar'!$A$5:$A$14,$F35,'Team Calendar'!$C$5:$C$14,AS$4,'Team Calendar'!$F$5:$F$14,"Personal absence")=0),1,"")</x:f>
      </x:c>
      <x:c r="AT35" s="211" t="str">
        <x:f>IF(AND(ISNUMBER($D35),ISNUMBER($E35),AT$4&gt;=$D35,AT$4&lt;=$E35,NETWORKDAYS(AT$4,AT$4,'Sources &amp; Change Log'!$J$2:$J$5)=1,COUNTIFS('Team Calendar'!$A$5:$A$14,$F35,'Team Calendar'!$C$5:$C$14,AT$4,'Team Calendar'!$F$5:$F$14,"Personal absence")=0),1,"")</x:f>
      </x:c>
      <x:c r="AU35" s="211" t="str">
        <x:f>IF(AND(ISNUMBER($D35),ISNUMBER($E35),AU$4&gt;=$D35,AU$4&lt;=$E35,NETWORKDAYS(AU$4,AU$4,'Sources &amp; Change Log'!$J$2:$J$5)=1,COUNTIFS('Team Calendar'!$A$5:$A$14,$F35,'Team Calendar'!$C$5:$C$14,AU$4,'Team Calendar'!$F$5:$F$14,"Personal absence")=0),1,"")</x:f>
      </x:c>
      <x:c r="AV35" s="211" t="str">
        <x:f>IF(AND(ISNUMBER($D35),ISNUMBER($E35),AV$4&gt;=$D35,AV$4&lt;=$E35,NETWORKDAYS(AV$4,AV$4,'Sources &amp; Change Log'!$J$2:$J$5)=1,COUNTIFS('Team Calendar'!$A$5:$A$14,$F35,'Team Calendar'!$C$5:$C$14,AV$4,'Team Calendar'!$F$5:$F$14,"Personal absence")=0),1,"")</x:f>
      </x:c>
      <x:c r="AW35" s="211" t="str">
        <x:f>IF(AND(ISNUMBER($D35),ISNUMBER($E35),AW$4&gt;=$D35,AW$4&lt;=$E35,NETWORKDAYS(AW$4,AW$4,'Sources &amp; Change Log'!$J$2:$J$5)=1,COUNTIFS('Team Calendar'!$A$5:$A$14,$F35,'Team Calendar'!$C$5:$C$14,AW$4,'Team Calendar'!$F$5:$F$14,"Personal absence")=0),1,"")</x:f>
      </x:c>
      <x:c r="AX35" s="211" t="str">
        <x:f>IF(AND(ISNUMBER($D35),ISNUMBER($E35),AX$4&gt;=$D35,AX$4&lt;=$E35,NETWORKDAYS(AX$4,AX$4,'Sources &amp; Change Log'!$J$2:$J$5)=1,COUNTIFS('Team Calendar'!$A$5:$A$14,$F35,'Team Calendar'!$C$5:$C$14,AX$4,'Team Calendar'!$F$5:$F$14,"Personal absence")=0),1,"")</x:f>
      </x:c>
      <x:c r="AY35" s="206"/>
      <x:c r="AZ35" s="206"/>
    </x:row>
    <x:row r="36" ht="30" customHeight="1">
      <x:c r="A36" s="228" t="str">
        <x:f>WBS!A65</x:f>
        <x:v>DEC-P1-ENTRY-01</x:v>
      </x:c>
      <x:c r="B36" s="228" t="str">
        <x:f>WBS!B65</x:f>
        <x:v>Edge Service Exposure Decision</x:v>
      </x:c>
      <x:c r="C36" s="228" t="str">
        <x:f>WBS!G65</x:f>
        <x:v>Done</x:v>
      </x:c>
      <x:c r="D36" s="227" t="n">
        <x:f>WBS!H65</x:f>
        <x:v>46261</x:v>
      </x:c>
      <x:c r="E36" s="227" t="n">
        <x:f>WBS!I65</x:f>
        <x:v>46265</x:v>
      </x:c>
      <x:c r="F36" s="146" t="str">
        <x:f>WBS!L65</x:f>
        <x:v>이권욱</x:v>
      </x:c>
      <x:c r="G36" s="213" t="str">
        <x:f>IF(AND(ISNUMBER($D36),ISNUMBER($E36),G$4&gt;=$D36,G$4&lt;=$E36,NETWORKDAYS(G$4,G$4,'Sources &amp; Change Log'!$J$2:$J$5)=1,COUNTIFS('Team Calendar'!$A$5:$A$14,$F36,'Team Calendar'!$C$5:$C$14,G$4,'Team Calendar'!$F$5:$F$14,"Personal absence")=0),1,"")</x:f>
      </x:c>
      <x:c r="H36" s="213" t="str">
        <x:f>IF(AND(ISNUMBER($D36),ISNUMBER($E36),H$4&gt;=$D36,H$4&lt;=$E36,NETWORKDAYS(H$4,H$4,'Sources &amp; Change Log'!$J$2:$J$5)=1,COUNTIFS('Team Calendar'!$A$5:$A$14,$F36,'Team Calendar'!$C$5:$C$14,H$4,'Team Calendar'!$F$5:$F$14,"Personal absence")=0),1,"")</x:f>
      </x:c>
      <x:c r="I36" s="213" t="str">
        <x:f>IF(AND(ISNUMBER($D36),ISNUMBER($E36),I$4&gt;=$D36,I$4&lt;=$E36,NETWORKDAYS(I$4,I$4,'Sources &amp; Change Log'!$J$2:$J$5)=1,COUNTIFS('Team Calendar'!$A$5:$A$14,$F36,'Team Calendar'!$C$5:$C$14,I$4,'Team Calendar'!$F$5:$F$14,"Personal absence")=0),1,"")</x:f>
      </x:c>
      <x:c r="J36" s="213" t="n">
        <x:f>IF(AND(ISNUMBER($D36),ISNUMBER($E36),J$4&gt;=$D36,J$4&lt;=$E36,NETWORKDAYS(J$4,J$4,'Sources &amp; Change Log'!$J$2:$J$5)=1,COUNTIFS('Team Calendar'!$A$5:$A$14,$F36,'Team Calendar'!$C$5:$C$14,J$4,'Team Calendar'!$F$5:$F$14,"Personal absence")=0),1,"")</x:f>
        <x:v>1</x:v>
      </x:c>
      <x:c r="K36" s="213" t="n">
        <x:f>IF(AND(ISNUMBER($D36),ISNUMBER($E36),K$4&gt;=$D36,K$4&lt;=$E36,NETWORKDAYS(K$4,K$4,'Sources &amp; Change Log'!$J$2:$J$5)=1,COUNTIFS('Team Calendar'!$A$5:$A$14,$F36,'Team Calendar'!$C$5:$C$14,K$4,'Team Calendar'!$F$5:$F$14,"Personal absence")=0),1,"")</x:f>
        <x:v>1</x:v>
      </x:c>
      <x:c r="L36" s="213" t="str">
        <x:f>IF(AND(ISNUMBER($D36),ISNUMBER($E36),L$4&gt;=$D36,L$4&lt;=$E36,NETWORKDAYS(L$4,L$4,'Sources &amp; Change Log'!$J$2:$J$5)=1,COUNTIFS('Team Calendar'!$A$5:$A$14,$F36,'Team Calendar'!$C$5:$C$14,L$4,'Team Calendar'!$F$5:$F$14,"Personal absence")=0),1,"")</x:f>
      </x:c>
      <x:c r="M36" s="213" t="str">
        <x:f>IF(AND(ISNUMBER($D36),ISNUMBER($E36),M$4&gt;=$D36,M$4&lt;=$E36,NETWORKDAYS(M$4,M$4,'Sources &amp; Change Log'!$J$2:$J$5)=1,COUNTIFS('Team Calendar'!$A$5:$A$14,$F36,'Team Calendar'!$C$5:$C$14,M$4,'Team Calendar'!$F$5:$F$14,"Personal absence")=0),1,"")</x:f>
      </x:c>
      <x:c r="N36" s="213" t="n">
        <x:f>IF(AND(ISNUMBER($D36),ISNUMBER($E36),N$4&gt;=$D36,N$4&lt;=$E36,NETWORKDAYS(N$4,N$4,'Sources &amp; Change Log'!$J$2:$J$5)=1,COUNTIFS('Team Calendar'!$A$5:$A$14,$F36,'Team Calendar'!$C$5:$C$14,N$4,'Team Calendar'!$F$5:$F$14,"Personal absence")=0),1,"")</x:f>
        <x:v>1</x:v>
      </x:c>
      <x:c r="O36" s="213" t="str">
        <x:f>IF(AND(ISNUMBER($D36),ISNUMBER($E36),O$4&gt;=$D36,O$4&lt;=$E36,NETWORKDAYS(O$4,O$4,'Sources &amp; Change Log'!$J$2:$J$5)=1,COUNTIFS('Team Calendar'!$A$5:$A$14,$F36,'Team Calendar'!$C$5:$C$14,O$4,'Team Calendar'!$F$5:$F$14,"Personal absence")=0),1,"")</x:f>
      </x:c>
      <x:c r="P36" s="213" t="str">
        <x:f>IF(AND(ISNUMBER($D36),ISNUMBER($E36),P$4&gt;=$D36,P$4&lt;=$E36,NETWORKDAYS(P$4,P$4,'Sources &amp; Change Log'!$J$2:$J$5)=1,COUNTIFS('Team Calendar'!$A$5:$A$14,$F36,'Team Calendar'!$C$5:$C$14,P$4,'Team Calendar'!$F$5:$F$14,"Personal absence")=0),1,"")</x:f>
      </x:c>
      <x:c r="Q36" s="213" t="str">
        <x:f>IF(AND(ISNUMBER($D36),ISNUMBER($E36),Q$4&gt;=$D36,Q$4&lt;=$E36,NETWORKDAYS(Q$4,Q$4,'Sources &amp; Change Log'!$J$2:$J$5)=1,COUNTIFS('Team Calendar'!$A$5:$A$14,$F36,'Team Calendar'!$C$5:$C$14,Q$4,'Team Calendar'!$F$5:$F$14,"Personal absence")=0),1,"")</x:f>
      </x:c>
      <x:c r="R36" s="213" t="str">
        <x:f>IF(AND(ISNUMBER($D36),ISNUMBER($E36),R$4&gt;=$D36,R$4&lt;=$E36,NETWORKDAYS(R$4,R$4,'Sources &amp; Change Log'!$J$2:$J$5)=1,COUNTIFS('Team Calendar'!$A$5:$A$14,$F36,'Team Calendar'!$C$5:$C$14,R$4,'Team Calendar'!$F$5:$F$14,"Personal absence")=0),1,"")</x:f>
      </x:c>
      <x:c r="S36" s="213" t="str">
        <x:f>IF(AND(ISNUMBER($D36),ISNUMBER($E36),S$4&gt;=$D36,S$4&lt;=$E36,NETWORKDAYS(S$4,S$4,'Sources &amp; Change Log'!$J$2:$J$5)=1,COUNTIFS('Team Calendar'!$A$5:$A$14,$F36,'Team Calendar'!$C$5:$C$14,S$4,'Team Calendar'!$F$5:$F$14,"Personal absence")=0),1,"")</x:f>
      </x:c>
      <x:c r="T36" s="213" t="str">
        <x:f>IF(AND(ISNUMBER($D36),ISNUMBER($E36),T$4&gt;=$D36,T$4&lt;=$E36,NETWORKDAYS(T$4,T$4,'Sources &amp; Change Log'!$J$2:$J$5)=1,COUNTIFS('Team Calendar'!$A$5:$A$14,$F36,'Team Calendar'!$C$5:$C$14,T$4,'Team Calendar'!$F$5:$F$14,"Personal absence")=0),1,"")</x:f>
      </x:c>
      <x:c r="U36" s="213" t="str">
        <x:f>IF(AND(ISNUMBER($D36),ISNUMBER($E36),U$4&gt;=$D36,U$4&lt;=$E36,NETWORKDAYS(U$4,U$4,'Sources &amp; Change Log'!$J$2:$J$5)=1,COUNTIFS('Team Calendar'!$A$5:$A$14,$F36,'Team Calendar'!$C$5:$C$14,U$4,'Team Calendar'!$F$5:$F$14,"Personal absence")=0),1,"")</x:f>
      </x:c>
      <x:c r="V36" s="213" t="str">
        <x:f>IF(AND(ISNUMBER($D36),ISNUMBER($E36),V$4&gt;=$D36,V$4&lt;=$E36,NETWORKDAYS(V$4,V$4,'Sources &amp; Change Log'!$J$2:$J$5)=1,COUNTIFS('Team Calendar'!$A$5:$A$14,$F36,'Team Calendar'!$C$5:$C$14,V$4,'Team Calendar'!$F$5:$F$14,"Personal absence")=0),1,"")</x:f>
      </x:c>
      <x:c r="W36" s="213" t="str">
        <x:f>IF(AND(ISNUMBER($D36),ISNUMBER($E36),W$4&gt;=$D36,W$4&lt;=$E36,NETWORKDAYS(W$4,W$4,'Sources &amp; Change Log'!$J$2:$J$5)=1,COUNTIFS('Team Calendar'!$A$5:$A$14,$F36,'Team Calendar'!$C$5:$C$14,W$4,'Team Calendar'!$F$5:$F$14,"Personal absence")=0),1,"")</x:f>
      </x:c>
      <x:c r="X36" s="213" t="str">
        <x:f>IF(AND(ISNUMBER($D36),ISNUMBER($E36),X$4&gt;=$D36,X$4&lt;=$E36,NETWORKDAYS(X$4,X$4,'Sources &amp; Change Log'!$J$2:$J$5)=1,COUNTIFS('Team Calendar'!$A$5:$A$14,$F36,'Team Calendar'!$C$5:$C$14,X$4,'Team Calendar'!$F$5:$F$14,"Personal absence")=0),1,"")</x:f>
      </x:c>
      <x:c r="Y36" s="213" t="str">
        <x:f>IF(AND(ISNUMBER($D36),ISNUMBER($E36),Y$4&gt;=$D36,Y$4&lt;=$E36,NETWORKDAYS(Y$4,Y$4,'Sources &amp; Change Log'!$J$2:$J$5)=1,COUNTIFS('Team Calendar'!$A$5:$A$14,$F36,'Team Calendar'!$C$5:$C$14,Y$4,'Team Calendar'!$F$5:$F$14,"Personal absence")=0),1,"")</x:f>
      </x:c>
      <x:c r="Z36" s="213" t="str">
        <x:f>IF(AND(ISNUMBER($D36),ISNUMBER($E36),Z$4&gt;=$D36,Z$4&lt;=$E36,NETWORKDAYS(Z$4,Z$4,'Sources &amp; Change Log'!$J$2:$J$5)=1,COUNTIFS('Team Calendar'!$A$5:$A$14,$F36,'Team Calendar'!$C$5:$C$14,Z$4,'Team Calendar'!$F$5:$F$14,"Personal absence")=0),1,"")</x:f>
      </x:c>
      <x:c r="AA36" s="213" t="str">
        <x:f>IF(AND(ISNUMBER($D36),ISNUMBER($E36),AA$4&gt;=$D36,AA$4&lt;=$E36,NETWORKDAYS(AA$4,AA$4,'Sources &amp; Change Log'!$J$2:$J$5)=1,COUNTIFS('Team Calendar'!$A$5:$A$14,$F36,'Team Calendar'!$C$5:$C$14,AA$4,'Team Calendar'!$F$5:$F$14,"Personal absence")=0),1,"")</x:f>
      </x:c>
      <x:c r="AB36" s="213" t="str">
        <x:f>IF(AND(ISNUMBER($D36),ISNUMBER($E36),AB$4&gt;=$D36,AB$4&lt;=$E36,NETWORKDAYS(AB$4,AB$4,'Sources &amp; Change Log'!$J$2:$J$5)=1,COUNTIFS('Team Calendar'!$A$5:$A$14,$F36,'Team Calendar'!$C$5:$C$14,AB$4,'Team Calendar'!$F$5:$F$14,"Personal absence")=0),1,"")</x:f>
      </x:c>
      <x:c r="AC36" s="213" t="str">
        <x:f>IF(AND(ISNUMBER($D36),ISNUMBER($E36),AC$4&gt;=$D36,AC$4&lt;=$E36,NETWORKDAYS(AC$4,AC$4,'Sources &amp; Change Log'!$J$2:$J$5)=1,COUNTIFS('Team Calendar'!$A$5:$A$14,$F36,'Team Calendar'!$C$5:$C$14,AC$4,'Team Calendar'!$F$5:$F$14,"Personal absence")=0),1,"")</x:f>
      </x:c>
      <x:c r="AD36" s="213" t="str">
        <x:f>IF(AND(ISNUMBER($D36),ISNUMBER($E36),AD$4&gt;=$D36,AD$4&lt;=$E36,NETWORKDAYS(AD$4,AD$4,'Sources &amp; Change Log'!$J$2:$J$5)=1,COUNTIFS('Team Calendar'!$A$5:$A$14,$F36,'Team Calendar'!$C$5:$C$14,AD$4,'Team Calendar'!$F$5:$F$14,"Personal absence")=0),1,"")</x:f>
      </x:c>
      <x:c r="AE36" s="213" t="str">
        <x:f>IF(AND(ISNUMBER($D36),ISNUMBER($E36),AE$4&gt;=$D36,AE$4&lt;=$E36,NETWORKDAYS(AE$4,AE$4,'Sources &amp; Change Log'!$J$2:$J$5)=1,COUNTIFS('Team Calendar'!$A$5:$A$14,$F36,'Team Calendar'!$C$5:$C$14,AE$4,'Team Calendar'!$F$5:$F$14,"Personal absence")=0),1,"")</x:f>
      </x:c>
      <x:c r="AF36" s="213" t="str">
        <x:f>IF(AND(ISNUMBER($D36),ISNUMBER($E36),AF$4&gt;=$D36,AF$4&lt;=$E36,NETWORKDAYS(AF$4,AF$4,'Sources &amp; Change Log'!$J$2:$J$5)=1,COUNTIFS('Team Calendar'!$A$5:$A$14,$F36,'Team Calendar'!$C$5:$C$14,AF$4,'Team Calendar'!$F$5:$F$14,"Personal absence")=0),1,"")</x:f>
      </x:c>
      <x:c r="AG36" s="213" t="str">
        <x:f>IF(AND(ISNUMBER($D36),ISNUMBER($E36),AG$4&gt;=$D36,AG$4&lt;=$E36,NETWORKDAYS(AG$4,AG$4,'Sources &amp; Change Log'!$J$2:$J$5)=1,COUNTIFS('Team Calendar'!$A$5:$A$14,$F36,'Team Calendar'!$C$5:$C$14,AG$4,'Team Calendar'!$F$5:$F$14,"Personal absence")=0),1,"")</x:f>
      </x:c>
      <x:c r="AH36" s="213" t="str">
        <x:f>IF(AND(ISNUMBER($D36),ISNUMBER($E36),AH$4&gt;=$D36,AH$4&lt;=$E36,NETWORKDAYS(AH$4,AH$4,'Sources &amp; Change Log'!$J$2:$J$5)=1,COUNTIFS('Team Calendar'!$A$5:$A$14,$F36,'Team Calendar'!$C$5:$C$14,AH$4,'Team Calendar'!$F$5:$F$14,"Personal absence")=0),1,"")</x:f>
      </x:c>
      <x:c r="AI36" s="213" t="str">
        <x:f>IF(AND(ISNUMBER($D36),ISNUMBER($E36),AI$4&gt;=$D36,AI$4&lt;=$E36,NETWORKDAYS(AI$4,AI$4,'Sources &amp; Change Log'!$J$2:$J$5)=1,COUNTIFS('Team Calendar'!$A$5:$A$14,$F36,'Team Calendar'!$C$5:$C$14,AI$4,'Team Calendar'!$F$5:$F$14,"Personal absence")=0),1,"")</x:f>
      </x:c>
      <x:c r="AJ36" s="211" t="str">
        <x:f>IF(AND(ISNUMBER($D36),ISNUMBER($E36),AJ$4&gt;=$D36,AJ$4&lt;=$E36,NETWORKDAYS(AJ$4,AJ$4,'Sources &amp; Change Log'!$J$2:$J$5)=1,COUNTIFS('Team Calendar'!$A$5:$A$14,$F36,'Team Calendar'!$C$5:$C$14,AJ$4,'Team Calendar'!$F$5:$F$14,"Personal absence")=0),1,"")</x:f>
      </x:c>
      <x:c r="AK36" s="211" t="str">
        <x:f>IF(AND(ISNUMBER($D36),ISNUMBER($E36),AK$4&gt;=$D36,AK$4&lt;=$E36,NETWORKDAYS(AK$4,AK$4,'Sources &amp; Change Log'!$J$2:$J$5)=1,COUNTIFS('Team Calendar'!$A$5:$A$14,$F36,'Team Calendar'!$C$5:$C$14,AK$4,'Team Calendar'!$F$5:$F$14,"Personal absence")=0),1,"")</x:f>
      </x:c>
      <x:c r="AL36" s="211" t="str">
        <x:f>IF(AND(ISNUMBER($D36),ISNUMBER($E36),AL$4&gt;=$D36,AL$4&lt;=$E36,NETWORKDAYS(AL$4,AL$4,'Sources &amp; Change Log'!$J$2:$J$5)=1,COUNTIFS('Team Calendar'!$A$5:$A$14,$F36,'Team Calendar'!$C$5:$C$14,AL$4,'Team Calendar'!$F$5:$F$14,"Personal absence")=0),1,"")</x:f>
      </x:c>
      <x:c r="AM36" s="211" t="str">
        <x:f>IF(AND(ISNUMBER($D36),ISNUMBER($E36),AM$4&gt;=$D36,AM$4&lt;=$E36,NETWORKDAYS(AM$4,AM$4,'Sources &amp; Change Log'!$J$2:$J$5)=1,COUNTIFS('Team Calendar'!$A$5:$A$14,$F36,'Team Calendar'!$C$5:$C$14,AM$4,'Team Calendar'!$F$5:$F$14,"Personal absence")=0),1,"")</x:f>
      </x:c>
      <x:c r="AN36" s="211" t="str">
        <x:f>IF(AND(ISNUMBER($D36),ISNUMBER($E36),AN$4&gt;=$D36,AN$4&lt;=$E36,NETWORKDAYS(AN$4,AN$4,'Sources &amp; Change Log'!$J$2:$J$5)=1,COUNTIFS('Team Calendar'!$A$5:$A$14,$F36,'Team Calendar'!$C$5:$C$14,AN$4,'Team Calendar'!$F$5:$F$14,"Personal absence")=0),1,"")</x:f>
      </x:c>
      <x:c r="AO36" s="211" t="str">
        <x:f>IF(AND(ISNUMBER($D36),ISNUMBER($E36),AO$4&gt;=$D36,AO$4&lt;=$E36,NETWORKDAYS(AO$4,AO$4,'Sources &amp; Change Log'!$J$2:$J$5)=1,COUNTIFS('Team Calendar'!$A$5:$A$14,$F36,'Team Calendar'!$C$5:$C$14,AO$4,'Team Calendar'!$F$5:$F$14,"Personal absence")=0),1,"")</x:f>
      </x:c>
      <x:c r="AP36" s="211" t="str">
        <x:f>IF(AND(ISNUMBER($D36),ISNUMBER($E36),AP$4&gt;=$D36,AP$4&lt;=$E36,NETWORKDAYS(AP$4,AP$4,'Sources &amp; Change Log'!$J$2:$J$5)=1,COUNTIFS('Team Calendar'!$A$5:$A$14,$F36,'Team Calendar'!$C$5:$C$14,AP$4,'Team Calendar'!$F$5:$F$14,"Personal absence")=0),1,"")</x:f>
      </x:c>
      <x:c r="AQ36" s="211" t="str">
        <x:f>IF(AND(ISNUMBER($D36),ISNUMBER($E36),AQ$4&gt;=$D36,AQ$4&lt;=$E36,NETWORKDAYS(AQ$4,AQ$4,'Sources &amp; Change Log'!$J$2:$J$5)=1,COUNTIFS('Team Calendar'!$A$5:$A$14,$F36,'Team Calendar'!$C$5:$C$14,AQ$4,'Team Calendar'!$F$5:$F$14,"Personal absence")=0),1,"")</x:f>
      </x:c>
      <x:c r="AR36" s="211" t="str">
        <x:f>IF(AND(ISNUMBER($D36),ISNUMBER($E36),AR$4&gt;=$D36,AR$4&lt;=$E36,NETWORKDAYS(AR$4,AR$4,'Sources &amp; Change Log'!$J$2:$J$5)=1,COUNTIFS('Team Calendar'!$A$5:$A$14,$F36,'Team Calendar'!$C$5:$C$14,AR$4,'Team Calendar'!$F$5:$F$14,"Personal absence")=0),1,"")</x:f>
      </x:c>
      <x:c r="AS36" s="211" t="str">
        <x:f>IF(AND(ISNUMBER($D36),ISNUMBER($E36),AS$4&gt;=$D36,AS$4&lt;=$E36,NETWORKDAYS(AS$4,AS$4,'Sources &amp; Change Log'!$J$2:$J$5)=1,COUNTIFS('Team Calendar'!$A$5:$A$14,$F36,'Team Calendar'!$C$5:$C$14,AS$4,'Team Calendar'!$F$5:$F$14,"Personal absence")=0),1,"")</x:f>
      </x:c>
      <x:c r="AT36" s="211" t="str">
        <x:f>IF(AND(ISNUMBER($D36),ISNUMBER($E36),AT$4&gt;=$D36,AT$4&lt;=$E36,NETWORKDAYS(AT$4,AT$4,'Sources &amp; Change Log'!$J$2:$J$5)=1,COUNTIFS('Team Calendar'!$A$5:$A$14,$F36,'Team Calendar'!$C$5:$C$14,AT$4,'Team Calendar'!$F$5:$F$14,"Personal absence")=0),1,"")</x:f>
      </x:c>
      <x:c r="AU36" s="211" t="str">
        <x:f>IF(AND(ISNUMBER($D36),ISNUMBER($E36),AU$4&gt;=$D36,AU$4&lt;=$E36,NETWORKDAYS(AU$4,AU$4,'Sources &amp; Change Log'!$J$2:$J$5)=1,COUNTIFS('Team Calendar'!$A$5:$A$14,$F36,'Team Calendar'!$C$5:$C$14,AU$4,'Team Calendar'!$F$5:$F$14,"Personal absence")=0),1,"")</x:f>
      </x:c>
      <x:c r="AV36" s="211" t="str">
        <x:f>IF(AND(ISNUMBER($D36),ISNUMBER($E36),AV$4&gt;=$D36,AV$4&lt;=$E36,NETWORKDAYS(AV$4,AV$4,'Sources &amp; Change Log'!$J$2:$J$5)=1,COUNTIFS('Team Calendar'!$A$5:$A$14,$F36,'Team Calendar'!$C$5:$C$14,AV$4,'Team Calendar'!$F$5:$F$14,"Personal absence")=0),1,"")</x:f>
      </x:c>
      <x:c r="AW36" s="211" t="str">
        <x:f>IF(AND(ISNUMBER($D36),ISNUMBER($E36),AW$4&gt;=$D36,AW$4&lt;=$E36,NETWORKDAYS(AW$4,AW$4,'Sources &amp; Change Log'!$J$2:$J$5)=1,COUNTIFS('Team Calendar'!$A$5:$A$14,$F36,'Team Calendar'!$C$5:$C$14,AW$4,'Team Calendar'!$F$5:$F$14,"Personal absence")=0),1,"")</x:f>
      </x:c>
      <x:c r="AX36" s="211" t="str">
        <x:f>IF(AND(ISNUMBER($D36),ISNUMBER($E36),AX$4&gt;=$D36,AX$4&lt;=$E36,NETWORKDAYS(AX$4,AX$4,'Sources &amp; Change Log'!$J$2:$J$5)=1,COUNTIFS('Team Calendar'!$A$5:$A$14,$F36,'Team Calendar'!$C$5:$C$14,AX$4,'Team Calendar'!$F$5:$F$14,"Personal absence")=0),1,"")</x:f>
      </x:c>
      <x:c r="AY36" s="206"/>
      <x:c r="AZ36" s="206"/>
    </x:row>
    <x:row r="37" ht="30" customHeight="1">
      <x:c r="A37" s="228" t="str">
        <x:f>WBS!A66</x:f>
        <x:v>DEC-P1-MON-01</x:v>
      </x:c>
      <x:c r="B37" s="228" t="str">
        <x:f>WBS!B66</x:f>
        <x:v>Kubernetes-Integrated Hybrid Monitoring Architecture</x:v>
      </x:c>
      <x:c r="C37" s="228" t="str">
        <x:f>WBS!G66</x:f>
        <x:v>Done</x:v>
      </x:c>
      <x:c r="D37" s="227" t="n">
        <x:f>WBS!H66</x:f>
        <x:v>46265</x:v>
      </x:c>
      <x:c r="E37" s="227" t="n">
        <x:f>WBS!I66</x:f>
        <x:v>46265</x:v>
      </x:c>
      <x:c r="F37" s="146" t="str">
        <x:f>WBS!L66</x:f>
        <x:v>이권욱</x:v>
      </x:c>
      <x:c r="G37" s="213" t="str">
        <x:f>IF(AND(ISNUMBER($D37),ISNUMBER($E37),G$4&gt;=$D37,G$4&lt;=$E37,NETWORKDAYS(G$4,G$4,'Sources &amp; Change Log'!$J$2:$J$5)=1,COUNTIFS('Team Calendar'!$A$5:$A$14,$F37,'Team Calendar'!$C$5:$C$14,G$4,'Team Calendar'!$F$5:$F$14,"Personal absence")=0),1,"")</x:f>
      </x:c>
      <x:c r="H37" s="213" t="str">
        <x:f>IF(AND(ISNUMBER($D37),ISNUMBER($E37),H$4&gt;=$D37,H$4&lt;=$E37,NETWORKDAYS(H$4,H$4,'Sources &amp; Change Log'!$J$2:$J$5)=1,COUNTIFS('Team Calendar'!$A$5:$A$14,$F37,'Team Calendar'!$C$5:$C$14,H$4,'Team Calendar'!$F$5:$F$14,"Personal absence")=0),1,"")</x:f>
      </x:c>
      <x:c r="I37" s="213" t="str">
        <x:f>IF(AND(ISNUMBER($D37),ISNUMBER($E37),I$4&gt;=$D37,I$4&lt;=$E37,NETWORKDAYS(I$4,I$4,'Sources &amp; Change Log'!$J$2:$J$5)=1,COUNTIFS('Team Calendar'!$A$5:$A$14,$F37,'Team Calendar'!$C$5:$C$14,I$4,'Team Calendar'!$F$5:$F$14,"Personal absence")=0),1,"")</x:f>
      </x:c>
      <x:c r="J37" s="213" t="str">
        <x:f>IF(AND(ISNUMBER($D37),ISNUMBER($E37),J$4&gt;=$D37,J$4&lt;=$E37,NETWORKDAYS(J$4,J$4,'Sources &amp; Change Log'!$J$2:$J$5)=1,COUNTIFS('Team Calendar'!$A$5:$A$14,$F37,'Team Calendar'!$C$5:$C$14,J$4,'Team Calendar'!$F$5:$F$14,"Personal absence")=0),1,"")</x:f>
      </x:c>
      <x:c r="K37" s="213" t="str">
        <x:f>IF(AND(ISNUMBER($D37),ISNUMBER($E37),K$4&gt;=$D37,K$4&lt;=$E37,NETWORKDAYS(K$4,K$4,'Sources &amp; Change Log'!$J$2:$J$5)=1,COUNTIFS('Team Calendar'!$A$5:$A$14,$F37,'Team Calendar'!$C$5:$C$14,K$4,'Team Calendar'!$F$5:$F$14,"Personal absence")=0),1,"")</x:f>
      </x:c>
      <x:c r="L37" s="213" t="str">
        <x:f>IF(AND(ISNUMBER($D37),ISNUMBER($E37),L$4&gt;=$D37,L$4&lt;=$E37,NETWORKDAYS(L$4,L$4,'Sources &amp; Change Log'!$J$2:$J$5)=1,COUNTIFS('Team Calendar'!$A$5:$A$14,$F37,'Team Calendar'!$C$5:$C$14,L$4,'Team Calendar'!$F$5:$F$14,"Personal absence")=0),1,"")</x:f>
      </x:c>
      <x:c r="M37" s="213" t="str">
        <x:f>IF(AND(ISNUMBER($D37),ISNUMBER($E37),M$4&gt;=$D37,M$4&lt;=$E37,NETWORKDAYS(M$4,M$4,'Sources &amp; Change Log'!$J$2:$J$5)=1,COUNTIFS('Team Calendar'!$A$5:$A$14,$F37,'Team Calendar'!$C$5:$C$14,M$4,'Team Calendar'!$F$5:$F$14,"Personal absence")=0),1,"")</x:f>
      </x:c>
      <x:c r="N37" s="213" t="n">
        <x:f>IF(AND(ISNUMBER($D37),ISNUMBER($E37),N$4&gt;=$D37,N$4&lt;=$E37,NETWORKDAYS(N$4,N$4,'Sources &amp; Change Log'!$J$2:$J$5)=1,COUNTIFS('Team Calendar'!$A$5:$A$14,$F37,'Team Calendar'!$C$5:$C$14,N$4,'Team Calendar'!$F$5:$F$14,"Personal absence")=0),1,"")</x:f>
        <x:v>1</x:v>
      </x:c>
      <x:c r="O37" s="213" t="str">
        <x:f>IF(AND(ISNUMBER($D37),ISNUMBER($E37),O$4&gt;=$D37,O$4&lt;=$E37,NETWORKDAYS(O$4,O$4,'Sources &amp; Change Log'!$J$2:$J$5)=1,COUNTIFS('Team Calendar'!$A$5:$A$14,$F37,'Team Calendar'!$C$5:$C$14,O$4,'Team Calendar'!$F$5:$F$14,"Personal absence")=0),1,"")</x:f>
      </x:c>
      <x:c r="P37" s="213" t="str">
        <x:f>IF(AND(ISNUMBER($D37),ISNUMBER($E37),P$4&gt;=$D37,P$4&lt;=$E37,NETWORKDAYS(P$4,P$4,'Sources &amp; Change Log'!$J$2:$J$5)=1,COUNTIFS('Team Calendar'!$A$5:$A$14,$F37,'Team Calendar'!$C$5:$C$14,P$4,'Team Calendar'!$F$5:$F$14,"Personal absence")=0),1,"")</x:f>
      </x:c>
      <x:c r="Q37" s="213" t="str">
        <x:f>IF(AND(ISNUMBER($D37),ISNUMBER($E37),Q$4&gt;=$D37,Q$4&lt;=$E37,NETWORKDAYS(Q$4,Q$4,'Sources &amp; Change Log'!$J$2:$J$5)=1,COUNTIFS('Team Calendar'!$A$5:$A$14,$F37,'Team Calendar'!$C$5:$C$14,Q$4,'Team Calendar'!$F$5:$F$14,"Personal absence")=0),1,"")</x:f>
      </x:c>
      <x:c r="R37" s="213" t="str">
        <x:f>IF(AND(ISNUMBER($D37),ISNUMBER($E37),R$4&gt;=$D37,R$4&lt;=$E37,NETWORKDAYS(R$4,R$4,'Sources &amp; Change Log'!$J$2:$J$5)=1,COUNTIFS('Team Calendar'!$A$5:$A$14,$F37,'Team Calendar'!$C$5:$C$14,R$4,'Team Calendar'!$F$5:$F$14,"Personal absence")=0),1,"")</x:f>
      </x:c>
      <x:c r="S37" s="213" t="str">
        <x:f>IF(AND(ISNUMBER($D37),ISNUMBER($E37),S$4&gt;=$D37,S$4&lt;=$E37,NETWORKDAYS(S$4,S$4,'Sources &amp; Change Log'!$J$2:$J$5)=1,COUNTIFS('Team Calendar'!$A$5:$A$14,$F37,'Team Calendar'!$C$5:$C$14,S$4,'Team Calendar'!$F$5:$F$14,"Personal absence")=0),1,"")</x:f>
      </x:c>
      <x:c r="T37" s="213" t="str">
        <x:f>IF(AND(ISNUMBER($D37),ISNUMBER($E37),T$4&gt;=$D37,T$4&lt;=$E37,NETWORKDAYS(T$4,T$4,'Sources &amp; Change Log'!$J$2:$J$5)=1,COUNTIFS('Team Calendar'!$A$5:$A$14,$F37,'Team Calendar'!$C$5:$C$14,T$4,'Team Calendar'!$F$5:$F$14,"Personal absence")=0),1,"")</x:f>
      </x:c>
      <x:c r="U37" s="213" t="str">
        <x:f>IF(AND(ISNUMBER($D37),ISNUMBER($E37),U$4&gt;=$D37,U$4&lt;=$E37,NETWORKDAYS(U$4,U$4,'Sources &amp; Change Log'!$J$2:$J$5)=1,COUNTIFS('Team Calendar'!$A$5:$A$14,$F37,'Team Calendar'!$C$5:$C$14,U$4,'Team Calendar'!$F$5:$F$14,"Personal absence")=0),1,"")</x:f>
      </x:c>
      <x:c r="V37" s="213" t="str">
        <x:f>IF(AND(ISNUMBER($D37),ISNUMBER($E37),V$4&gt;=$D37,V$4&lt;=$E37,NETWORKDAYS(V$4,V$4,'Sources &amp; Change Log'!$J$2:$J$5)=1,COUNTIFS('Team Calendar'!$A$5:$A$14,$F37,'Team Calendar'!$C$5:$C$14,V$4,'Team Calendar'!$F$5:$F$14,"Personal absence")=0),1,"")</x:f>
      </x:c>
      <x:c r="W37" s="213" t="str">
        <x:f>IF(AND(ISNUMBER($D37),ISNUMBER($E37),W$4&gt;=$D37,W$4&lt;=$E37,NETWORKDAYS(W$4,W$4,'Sources &amp; Change Log'!$J$2:$J$5)=1,COUNTIFS('Team Calendar'!$A$5:$A$14,$F37,'Team Calendar'!$C$5:$C$14,W$4,'Team Calendar'!$F$5:$F$14,"Personal absence")=0),1,"")</x:f>
      </x:c>
      <x:c r="X37" s="213" t="str">
        <x:f>IF(AND(ISNUMBER($D37),ISNUMBER($E37),X$4&gt;=$D37,X$4&lt;=$E37,NETWORKDAYS(X$4,X$4,'Sources &amp; Change Log'!$J$2:$J$5)=1,COUNTIFS('Team Calendar'!$A$5:$A$14,$F37,'Team Calendar'!$C$5:$C$14,X$4,'Team Calendar'!$F$5:$F$14,"Personal absence")=0),1,"")</x:f>
      </x:c>
      <x:c r="Y37" s="213" t="str">
        <x:f>IF(AND(ISNUMBER($D37),ISNUMBER($E37),Y$4&gt;=$D37,Y$4&lt;=$E37,NETWORKDAYS(Y$4,Y$4,'Sources &amp; Change Log'!$J$2:$J$5)=1,COUNTIFS('Team Calendar'!$A$5:$A$14,$F37,'Team Calendar'!$C$5:$C$14,Y$4,'Team Calendar'!$F$5:$F$14,"Personal absence")=0),1,"")</x:f>
      </x:c>
      <x:c r="Z37" s="213" t="str">
        <x:f>IF(AND(ISNUMBER($D37),ISNUMBER($E37),Z$4&gt;=$D37,Z$4&lt;=$E37,NETWORKDAYS(Z$4,Z$4,'Sources &amp; Change Log'!$J$2:$J$5)=1,COUNTIFS('Team Calendar'!$A$5:$A$14,$F37,'Team Calendar'!$C$5:$C$14,Z$4,'Team Calendar'!$F$5:$F$14,"Personal absence")=0),1,"")</x:f>
      </x:c>
      <x:c r="AA37" s="213" t="str">
        <x:f>IF(AND(ISNUMBER($D37),ISNUMBER($E37),AA$4&gt;=$D37,AA$4&lt;=$E37,NETWORKDAYS(AA$4,AA$4,'Sources &amp; Change Log'!$J$2:$J$5)=1,COUNTIFS('Team Calendar'!$A$5:$A$14,$F37,'Team Calendar'!$C$5:$C$14,AA$4,'Team Calendar'!$F$5:$F$14,"Personal absence")=0),1,"")</x:f>
      </x:c>
      <x:c r="AB37" s="213" t="str">
        <x:f>IF(AND(ISNUMBER($D37),ISNUMBER($E37),AB$4&gt;=$D37,AB$4&lt;=$E37,NETWORKDAYS(AB$4,AB$4,'Sources &amp; Change Log'!$J$2:$J$5)=1,COUNTIFS('Team Calendar'!$A$5:$A$14,$F37,'Team Calendar'!$C$5:$C$14,AB$4,'Team Calendar'!$F$5:$F$14,"Personal absence")=0),1,"")</x:f>
      </x:c>
      <x:c r="AC37" s="213" t="str">
        <x:f>IF(AND(ISNUMBER($D37),ISNUMBER($E37),AC$4&gt;=$D37,AC$4&lt;=$E37,NETWORKDAYS(AC$4,AC$4,'Sources &amp; Change Log'!$J$2:$J$5)=1,COUNTIFS('Team Calendar'!$A$5:$A$14,$F37,'Team Calendar'!$C$5:$C$14,AC$4,'Team Calendar'!$F$5:$F$14,"Personal absence")=0),1,"")</x:f>
      </x:c>
      <x:c r="AD37" s="213" t="str">
        <x:f>IF(AND(ISNUMBER($D37),ISNUMBER($E37),AD$4&gt;=$D37,AD$4&lt;=$E37,NETWORKDAYS(AD$4,AD$4,'Sources &amp; Change Log'!$J$2:$J$5)=1,COUNTIFS('Team Calendar'!$A$5:$A$14,$F37,'Team Calendar'!$C$5:$C$14,AD$4,'Team Calendar'!$F$5:$F$14,"Personal absence")=0),1,"")</x:f>
      </x:c>
      <x:c r="AE37" s="213" t="str">
        <x:f>IF(AND(ISNUMBER($D37),ISNUMBER($E37),AE$4&gt;=$D37,AE$4&lt;=$E37,NETWORKDAYS(AE$4,AE$4,'Sources &amp; Change Log'!$J$2:$J$5)=1,COUNTIFS('Team Calendar'!$A$5:$A$14,$F37,'Team Calendar'!$C$5:$C$14,AE$4,'Team Calendar'!$F$5:$F$14,"Personal absence")=0),1,"")</x:f>
      </x:c>
      <x:c r="AF37" s="213" t="str">
        <x:f>IF(AND(ISNUMBER($D37),ISNUMBER($E37),AF$4&gt;=$D37,AF$4&lt;=$E37,NETWORKDAYS(AF$4,AF$4,'Sources &amp; Change Log'!$J$2:$J$5)=1,COUNTIFS('Team Calendar'!$A$5:$A$14,$F37,'Team Calendar'!$C$5:$C$14,AF$4,'Team Calendar'!$F$5:$F$14,"Personal absence")=0),1,"")</x:f>
      </x:c>
      <x:c r="AG37" s="213" t="str">
        <x:f>IF(AND(ISNUMBER($D37),ISNUMBER($E37),AG$4&gt;=$D37,AG$4&lt;=$E37,NETWORKDAYS(AG$4,AG$4,'Sources &amp; Change Log'!$J$2:$J$5)=1,COUNTIFS('Team Calendar'!$A$5:$A$14,$F37,'Team Calendar'!$C$5:$C$14,AG$4,'Team Calendar'!$F$5:$F$14,"Personal absence")=0),1,"")</x:f>
      </x:c>
      <x:c r="AH37" s="213" t="str">
        <x:f>IF(AND(ISNUMBER($D37),ISNUMBER($E37),AH$4&gt;=$D37,AH$4&lt;=$E37,NETWORKDAYS(AH$4,AH$4,'Sources &amp; Change Log'!$J$2:$J$5)=1,COUNTIFS('Team Calendar'!$A$5:$A$14,$F37,'Team Calendar'!$C$5:$C$14,AH$4,'Team Calendar'!$F$5:$F$14,"Personal absence")=0),1,"")</x:f>
      </x:c>
      <x:c r="AI37" s="213" t="str">
        <x:f>IF(AND(ISNUMBER($D37),ISNUMBER($E37),AI$4&gt;=$D37,AI$4&lt;=$E37,NETWORKDAYS(AI$4,AI$4,'Sources &amp; Change Log'!$J$2:$J$5)=1,COUNTIFS('Team Calendar'!$A$5:$A$14,$F37,'Team Calendar'!$C$5:$C$14,AI$4,'Team Calendar'!$F$5:$F$14,"Personal absence")=0),1,"")</x:f>
      </x:c>
      <x:c r="AJ37" s="211" t="str">
        <x:f>IF(AND(ISNUMBER($D37),ISNUMBER($E37),AJ$4&gt;=$D37,AJ$4&lt;=$E37,NETWORKDAYS(AJ$4,AJ$4,'Sources &amp; Change Log'!$J$2:$J$5)=1,COUNTIFS('Team Calendar'!$A$5:$A$14,$F37,'Team Calendar'!$C$5:$C$14,AJ$4,'Team Calendar'!$F$5:$F$14,"Personal absence")=0),1,"")</x:f>
      </x:c>
      <x:c r="AK37" s="211" t="str">
        <x:f>IF(AND(ISNUMBER($D37),ISNUMBER($E37),AK$4&gt;=$D37,AK$4&lt;=$E37,NETWORKDAYS(AK$4,AK$4,'Sources &amp; Change Log'!$J$2:$J$5)=1,COUNTIFS('Team Calendar'!$A$5:$A$14,$F37,'Team Calendar'!$C$5:$C$14,AK$4,'Team Calendar'!$F$5:$F$14,"Personal absence")=0),1,"")</x:f>
      </x:c>
      <x:c r="AL37" s="211" t="str">
        <x:f>IF(AND(ISNUMBER($D37),ISNUMBER($E37),AL$4&gt;=$D37,AL$4&lt;=$E37,NETWORKDAYS(AL$4,AL$4,'Sources &amp; Change Log'!$J$2:$J$5)=1,COUNTIFS('Team Calendar'!$A$5:$A$14,$F37,'Team Calendar'!$C$5:$C$14,AL$4,'Team Calendar'!$F$5:$F$14,"Personal absence")=0),1,"")</x:f>
      </x:c>
      <x:c r="AM37" s="211" t="str">
        <x:f>IF(AND(ISNUMBER($D37),ISNUMBER($E37),AM$4&gt;=$D37,AM$4&lt;=$E37,NETWORKDAYS(AM$4,AM$4,'Sources &amp; Change Log'!$J$2:$J$5)=1,COUNTIFS('Team Calendar'!$A$5:$A$14,$F37,'Team Calendar'!$C$5:$C$14,AM$4,'Team Calendar'!$F$5:$F$14,"Personal absence")=0),1,"")</x:f>
      </x:c>
      <x:c r="AN37" s="211" t="str">
        <x:f>IF(AND(ISNUMBER($D37),ISNUMBER($E37),AN$4&gt;=$D37,AN$4&lt;=$E37,NETWORKDAYS(AN$4,AN$4,'Sources &amp; Change Log'!$J$2:$J$5)=1,COUNTIFS('Team Calendar'!$A$5:$A$14,$F37,'Team Calendar'!$C$5:$C$14,AN$4,'Team Calendar'!$F$5:$F$14,"Personal absence")=0),1,"")</x:f>
      </x:c>
      <x:c r="AO37" s="211" t="str">
        <x:f>IF(AND(ISNUMBER($D37),ISNUMBER($E37),AO$4&gt;=$D37,AO$4&lt;=$E37,NETWORKDAYS(AO$4,AO$4,'Sources &amp; Change Log'!$J$2:$J$5)=1,COUNTIFS('Team Calendar'!$A$5:$A$14,$F37,'Team Calendar'!$C$5:$C$14,AO$4,'Team Calendar'!$F$5:$F$14,"Personal absence")=0),1,"")</x:f>
      </x:c>
      <x:c r="AP37" s="211" t="str">
        <x:f>IF(AND(ISNUMBER($D37),ISNUMBER($E37),AP$4&gt;=$D37,AP$4&lt;=$E37,NETWORKDAYS(AP$4,AP$4,'Sources &amp; Change Log'!$J$2:$J$5)=1,COUNTIFS('Team Calendar'!$A$5:$A$14,$F37,'Team Calendar'!$C$5:$C$14,AP$4,'Team Calendar'!$F$5:$F$14,"Personal absence")=0),1,"")</x:f>
      </x:c>
      <x:c r="AQ37" s="211" t="str">
        <x:f>IF(AND(ISNUMBER($D37),ISNUMBER($E37),AQ$4&gt;=$D37,AQ$4&lt;=$E37,NETWORKDAYS(AQ$4,AQ$4,'Sources &amp; Change Log'!$J$2:$J$5)=1,COUNTIFS('Team Calendar'!$A$5:$A$14,$F37,'Team Calendar'!$C$5:$C$14,AQ$4,'Team Calendar'!$F$5:$F$14,"Personal absence")=0),1,"")</x:f>
      </x:c>
      <x:c r="AR37" s="211" t="str">
        <x:f>IF(AND(ISNUMBER($D37),ISNUMBER($E37),AR$4&gt;=$D37,AR$4&lt;=$E37,NETWORKDAYS(AR$4,AR$4,'Sources &amp; Change Log'!$J$2:$J$5)=1,COUNTIFS('Team Calendar'!$A$5:$A$14,$F37,'Team Calendar'!$C$5:$C$14,AR$4,'Team Calendar'!$F$5:$F$14,"Personal absence")=0),1,"")</x:f>
      </x:c>
      <x:c r="AS37" s="211" t="str">
        <x:f>IF(AND(ISNUMBER($D37),ISNUMBER($E37),AS$4&gt;=$D37,AS$4&lt;=$E37,NETWORKDAYS(AS$4,AS$4,'Sources &amp; Change Log'!$J$2:$J$5)=1,COUNTIFS('Team Calendar'!$A$5:$A$14,$F37,'Team Calendar'!$C$5:$C$14,AS$4,'Team Calendar'!$F$5:$F$14,"Personal absence")=0),1,"")</x:f>
      </x:c>
      <x:c r="AT37" s="211" t="str">
        <x:f>IF(AND(ISNUMBER($D37),ISNUMBER($E37),AT$4&gt;=$D37,AT$4&lt;=$E37,NETWORKDAYS(AT$4,AT$4,'Sources &amp; Change Log'!$J$2:$J$5)=1,COUNTIFS('Team Calendar'!$A$5:$A$14,$F37,'Team Calendar'!$C$5:$C$14,AT$4,'Team Calendar'!$F$5:$F$14,"Personal absence")=0),1,"")</x:f>
      </x:c>
      <x:c r="AU37" s="211" t="str">
        <x:f>IF(AND(ISNUMBER($D37),ISNUMBER($E37),AU$4&gt;=$D37,AU$4&lt;=$E37,NETWORKDAYS(AU$4,AU$4,'Sources &amp; Change Log'!$J$2:$J$5)=1,COUNTIFS('Team Calendar'!$A$5:$A$14,$F37,'Team Calendar'!$C$5:$C$14,AU$4,'Team Calendar'!$F$5:$F$14,"Personal absence")=0),1,"")</x:f>
      </x:c>
      <x:c r="AV37" s="211" t="str">
        <x:f>IF(AND(ISNUMBER($D37),ISNUMBER($E37),AV$4&gt;=$D37,AV$4&lt;=$E37,NETWORKDAYS(AV$4,AV$4,'Sources &amp; Change Log'!$J$2:$J$5)=1,COUNTIFS('Team Calendar'!$A$5:$A$14,$F37,'Team Calendar'!$C$5:$C$14,AV$4,'Team Calendar'!$F$5:$F$14,"Personal absence")=0),1,"")</x:f>
      </x:c>
      <x:c r="AW37" s="211" t="str">
        <x:f>IF(AND(ISNUMBER($D37),ISNUMBER($E37),AW$4&gt;=$D37,AW$4&lt;=$E37,NETWORKDAYS(AW$4,AW$4,'Sources &amp; Change Log'!$J$2:$J$5)=1,COUNTIFS('Team Calendar'!$A$5:$A$14,$F37,'Team Calendar'!$C$5:$C$14,AW$4,'Team Calendar'!$F$5:$F$14,"Personal absence")=0),1,"")</x:f>
      </x:c>
      <x:c r="AX37" s="211" t="str">
        <x:f>IF(AND(ISNUMBER($D37),ISNUMBER($E37),AX$4&gt;=$D37,AX$4&lt;=$E37,NETWORKDAYS(AX$4,AX$4,'Sources &amp; Change Log'!$J$2:$J$5)=1,COUNTIFS('Team Calendar'!$A$5:$A$14,$F37,'Team Calendar'!$C$5:$C$14,AX$4,'Team Calendar'!$F$5:$F$14,"Personal absence")=0),1,"")</x:f>
      </x:c>
      <x:c r="AY37" s="206"/>
      <x:c r="AZ37" s="206"/>
    </x:row>
    <x:row r="38" ht="30" customHeight="1">
      <x:c r="A38" s="198" t="str">
        <x:f>WBS!A67</x:f>
        <x:v>DEC-P1-TLS-01</x:v>
      </x:c>
      <x:c r="B38" s="198" t="str">
        <x:f>WBS!B67</x:f>
        <x:v>Harbor / Edge TLS Trust Decision</x:v>
      </x:c>
      <x:c r="C38" s="198" t="str">
        <x:f>WBS!G67</x:f>
        <x:v>Done</x:v>
      </x:c>
      <x:c r="D38" s="226" t="n">
        <x:f>WBS!H67</x:f>
        <x:v>46261</x:v>
      </x:c>
      <x:c r="E38" s="226" t="n">
        <x:f>WBS!I67</x:f>
        <x:v>46265</x:v>
      </x:c>
      <x:c r="F38" t="str">
        <x:f>WBS!L67</x:f>
        <x:v>이권욱</x:v>
      </x:c>
      <x:c r="G38" s="211" t="str">
        <x:f>IF(AND(ISNUMBER($D38),ISNUMBER($E38),G$4&gt;=$D38,G$4&lt;=$E38,NETWORKDAYS(G$4,G$4,'Sources &amp; Change Log'!$J$2:$J$5)=1,COUNTIFS('Team Calendar'!$A$5:$A$14,$F38,'Team Calendar'!$C$5:$C$14,G$4,'Team Calendar'!$F$5:$F$14,"Personal absence")=0),1,"")</x:f>
      </x:c>
      <x:c r="H38" s="211" t="str">
        <x:f>IF(AND(ISNUMBER($D38),ISNUMBER($E38),H$4&gt;=$D38,H$4&lt;=$E38,NETWORKDAYS(H$4,H$4,'Sources &amp; Change Log'!$J$2:$J$5)=1,COUNTIFS('Team Calendar'!$A$5:$A$14,$F38,'Team Calendar'!$C$5:$C$14,H$4,'Team Calendar'!$F$5:$F$14,"Personal absence")=0),1,"")</x:f>
      </x:c>
      <x:c r="I38" s="211" t="str">
        <x:f>IF(AND(ISNUMBER($D38),ISNUMBER($E38),I$4&gt;=$D38,I$4&lt;=$E38,NETWORKDAYS(I$4,I$4,'Sources &amp; Change Log'!$J$2:$J$5)=1,COUNTIFS('Team Calendar'!$A$5:$A$14,$F38,'Team Calendar'!$C$5:$C$14,I$4,'Team Calendar'!$F$5:$F$14,"Personal absence")=0),1,"")</x:f>
      </x:c>
      <x:c r="J38" s="211" t="n">
        <x:f>IF(AND(ISNUMBER($D38),ISNUMBER($E38),J$4&gt;=$D38,J$4&lt;=$E38,NETWORKDAYS(J$4,J$4,'Sources &amp; Change Log'!$J$2:$J$5)=1,COUNTIFS('Team Calendar'!$A$5:$A$14,$F38,'Team Calendar'!$C$5:$C$14,J$4,'Team Calendar'!$F$5:$F$14,"Personal absence")=0),1,"")</x:f>
        <x:v>1</x:v>
      </x:c>
      <x:c r="K38" s="211" t="n">
        <x:f>IF(AND(ISNUMBER($D38),ISNUMBER($E38),K$4&gt;=$D38,K$4&lt;=$E38,NETWORKDAYS(K$4,K$4,'Sources &amp; Change Log'!$J$2:$J$5)=1,COUNTIFS('Team Calendar'!$A$5:$A$14,$F38,'Team Calendar'!$C$5:$C$14,K$4,'Team Calendar'!$F$5:$F$14,"Personal absence")=0),1,"")</x:f>
        <x:v>1</x:v>
      </x:c>
      <x:c r="L38" s="211" t="str">
        <x:f>IF(AND(ISNUMBER($D38),ISNUMBER($E38),L$4&gt;=$D38,L$4&lt;=$E38,NETWORKDAYS(L$4,L$4,'Sources &amp; Change Log'!$J$2:$J$5)=1,COUNTIFS('Team Calendar'!$A$5:$A$14,$F38,'Team Calendar'!$C$5:$C$14,L$4,'Team Calendar'!$F$5:$F$14,"Personal absence")=0),1,"")</x:f>
      </x:c>
      <x:c r="M38" s="211" t="str">
        <x:f>IF(AND(ISNUMBER($D38),ISNUMBER($E38),M$4&gt;=$D38,M$4&lt;=$E38,NETWORKDAYS(M$4,M$4,'Sources &amp; Change Log'!$J$2:$J$5)=1,COUNTIFS('Team Calendar'!$A$5:$A$14,$F38,'Team Calendar'!$C$5:$C$14,M$4,'Team Calendar'!$F$5:$F$14,"Personal absence")=0),1,"")</x:f>
      </x:c>
      <x:c r="N38" s="211" t="n">
        <x:f>IF(AND(ISNUMBER($D38),ISNUMBER($E38),N$4&gt;=$D38,N$4&lt;=$E38,NETWORKDAYS(N$4,N$4,'Sources &amp; Change Log'!$J$2:$J$5)=1,COUNTIFS('Team Calendar'!$A$5:$A$14,$F38,'Team Calendar'!$C$5:$C$14,N$4,'Team Calendar'!$F$5:$F$14,"Personal absence")=0),1,"")</x:f>
        <x:v>1</x:v>
      </x:c>
      <x:c r="O38" s="211" t="str">
        <x:f>IF(AND(ISNUMBER($D38),ISNUMBER($E38),O$4&gt;=$D38,O$4&lt;=$E38,NETWORKDAYS(O$4,O$4,'Sources &amp; Change Log'!$J$2:$J$5)=1,COUNTIFS('Team Calendar'!$A$5:$A$14,$F38,'Team Calendar'!$C$5:$C$14,O$4,'Team Calendar'!$F$5:$F$14,"Personal absence")=0),1,"")</x:f>
      </x:c>
      <x:c r="P38" s="211" t="str">
        <x:f>IF(AND(ISNUMBER($D38),ISNUMBER($E38),P$4&gt;=$D38,P$4&lt;=$E38,NETWORKDAYS(P$4,P$4,'Sources &amp; Change Log'!$J$2:$J$5)=1,COUNTIFS('Team Calendar'!$A$5:$A$14,$F38,'Team Calendar'!$C$5:$C$14,P$4,'Team Calendar'!$F$5:$F$14,"Personal absence")=0),1,"")</x:f>
      </x:c>
      <x:c r="Q38" s="211" t="str">
        <x:f>IF(AND(ISNUMBER($D38),ISNUMBER($E38),Q$4&gt;=$D38,Q$4&lt;=$E38,NETWORKDAYS(Q$4,Q$4,'Sources &amp; Change Log'!$J$2:$J$5)=1,COUNTIFS('Team Calendar'!$A$5:$A$14,$F38,'Team Calendar'!$C$5:$C$14,Q$4,'Team Calendar'!$F$5:$F$14,"Personal absence")=0),1,"")</x:f>
      </x:c>
      <x:c r="R38" s="211" t="str">
        <x:f>IF(AND(ISNUMBER($D38),ISNUMBER($E38),R$4&gt;=$D38,R$4&lt;=$E38,NETWORKDAYS(R$4,R$4,'Sources &amp; Change Log'!$J$2:$J$5)=1,COUNTIFS('Team Calendar'!$A$5:$A$14,$F38,'Team Calendar'!$C$5:$C$14,R$4,'Team Calendar'!$F$5:$F$14,"Personal absence")=0),1,"")</x:f>
      </x:c>
      <x:c r="S38" s="211" t="str">
        <x:f>IF(AND(ISNUMBER($D38),ISNUMBER($E38),S$4&gt;=$D38,S$4&lt;=$E38,NETWORKDAYS(S$4,S$4,'Sources &amp; Change Log'!$J$2:$J$5)=1,COUNTIFS('Team Calendar'!$A$5:$A$14,$F38,'Team Calendar'!$C$5:$C$14,S$4,'Team Calendar'!$F$5:$F$14,"Personal absence")=0),1,"")</x:f>
      </x:c>
      <x:c r="T38" s="211" t="str">
        <x:f>IF(AND(ISNUMBER($D38),ISNUMBER($E38),T$4&gt;=$D38,T$4&lt;=$E38,NETWORKDAYS(T$4,T$4,'Sources &amp; Change Log'!$J$2:$J$5)=1,COUNTIFS('Team Calendar'!$A$5:$A$14,$F38,'Team Calendar'!$C$5:$C$14,T$4,'Team Calendar'!$F$5:$F$14,"Personal absence")=0),1,"")</x:f>
      </x:c>
      <x:c r="U38" s="211" t="str">
        <x:f>IF(AND(ISNUMBER($D38),ISNUMBER($E38),U$4&gt;=$D38,U$4&lt;=$E38,NETWORKDAYS(U$4,U$4,'Sources &amp; Change Log'!$J$2:$J$5)=1,COUNTIFS('Team Calendar'!$A$5:$A$14,$F38,'Team Calendar'!$C$5:$C$14,U$4,'Team Calendar'!$F$5:$F$14,"Personal absence")=0),1,"")</x:f>
      </x:c>
      <x:c r="V38" s="211" t="str">
        <x:f>IF(AND(ISNUMBER($D38),ISNUMBER($E38),V$4&gt;=$D38,V$4&lt;=$E38,NETWORKDAYS(V$4,V$4,'Sources &amp; Change Log'!$J$2:$J$5)=1,COUNTIFS('Team Calendar'!$A$5:$A$14,$F38,'Team Calendar'!$C$5:$C$14,V$4,'Team Calendar'!$F$5:$F$14,"Personal absence")=0),1,"")</x:f>
      </x:c>
      <x:c r="W38" s="211" t="str">
        <x:f>IF(AND(ISNUMBER($D38),ISNUMBER($E38),W$4&gt;=$D38,W$4&lt;=$E38,NETWORKDAYS(W$4,W$4,'Sources &amp; Change Log'!$J$2:$J$5)=1,COUNTIFS('Team Calendar'!$A$5:$A$14,$F38,'Team Calendar'!$C$5:$C$14,W$4,'Team Calendar'!$F$5:$F$14,"Personal absence")=0),1,"")</x:f>
      </x:c>
      <x:c r="X38" s="211" t="str">
        <x:f>IF(AND(ISNUMBER($D38),ISNUMBER($E38),X$4&gt;=$D38,X$4&lt;=$E38,NETWORKDAYS(X$4,X$4,'Sources &amp; Change Log'!$J$2:$J$5)=1,COUNTIFS('Team Calendar'!$A$5:$A$14,$F38,'Team Calendar'!$C$5:$C$14,X$4,'Team Calendar'!$F$5:$F$14,"Personal absence")=0),1,"")</x:f>
      </x:c>
      <x:c r="Y38" s="211" t="str">
        <x:f>IF(AND(ISNUMBER($D38),ISNUMBER($E38),Y$4&gt;=$D38,Y$4&lt;=$E38,NETWORKDAYS(Y$4,Y$4,'Sources &amp; Change Log'!$J$2:$J$5)=1,COUNTIFS('Team Calendar'!$A$5:$A$14,$F38,'Team Calendar'!$C$5:$C$14,Y$4,'Team Calendar'!$F$5:$F$14,"Personal absence")=0),1,"")</x:f>
      </x:c>
      <x:c r="Z38" s="211" t="str">
        <x:f>IF(AND(ISNUMBER($D38),ISNUMBER($E38),Z$4&gt;=$D38,Z$4&lt;=$E38,NETWORKDAYS(Z$4,Z$4,'Sources &amp; Change Log'!$J$2:$J$5)=1,COUNTIFS('Team Calendar'!$A$5:$A$14,$F38,'Team Calendar'!$C$5:$C$14,Z$4,'Team Calendar'!$F$5:$F$14,"Personal absence")=0),1,"")</x:f>
      </x:c>
      <x:c r="AA38" s="211" t="str">
        <x:f>IF(AND(ISNUMBER($D38),ISNUMBER($E38),AA$4&gt;=$D38,AA$4&lt;=$E38,NETWORKDAYS(AA$4,AA$4,'Sources &amp; Change Log'!$J$2:$J$5)=1,COUNTIFS('Team Calendar'!$A$5:$A$14,$F38,'Team Calendar'!$C$5:$C$14,AA$4,'Team Calendar'!$F$5:$F$14,"Personal absence")=0),1,"")</x:f>
      </x:c>
      <x:c r="AB38" s="211" t="str">
        <x:f>IF(AND(ISNUMBER($D38),ISNUMBER($E38),AB$4&gt;=$D38,AB$4&lt;=$E38,NETWORKDAYS(AB$4,AB$4,'Sources &amp; Change Log'!$J$2:$J$5)=1,COUNTIFS('Team Calendar'!$A$5:$A$14,$F38,'Team Calendar'!$C$5:$C$14,AB$4,'Team Calendar'!$F$5:$F$14,"Personal absence")=0),1,"")</x:f>
      </x:c>
      <x:c r="AC38" s="211" t="str">
        <x:f>IF(AND(ISNUMBER($D38),ISNUMBER($E38),AC$4&gt;=$D38,AC$4&lt;=$E38,NETWORKDAYS(AC$4,AC$4,'Sources &amp; Change Log'!$J$2:$J$5)=1,COUNTIFS('Team Calendar'!$A$5:$A$14,$F38,'Team Calendar'!$C$5:$C$14,AC$4,'Team Calendar'!$F$5:$F$14,"Personal absence")=0),1,"")</x:f>
      </x:c>
      <x:c r="AD38" s="211" t="str">
        <x:f>IF(AND(ISNUMBER($D38),ISNUMBER($E38),AD$4&gt;=$D38,AD$4&lt;=$E38,NETWORKDAYS(AD$4,AD$4,'Sources &amp; Change Log'!$J$2:$J$5)=1,COUNTIFS('Team Calendar'!$A$5:$A$14,$F38,'Team Calendar'!$C$5:$C$14,AD$4,'Team Calendar'!$F$5:$F$14,"Personal absence")=0),1,"")</x:f>
      </x:c>
      <x:c r="AE38" s="211" t="str">
        <x:f>IF(AND(ISNUMBER($D38),ISNUMBER($E38),AE$4&gt;=$D38,AE$4&lt;=$E38,NETWORKDAYS(AE$4,AE$4,'Sources &amp; Change Log'!$J$2:$J$5)=1,COUNTIFS('Team Calendar'!$A$5:$A$14,$F38,'Team Calendar'!$C$5:$C$14,AE$4,'Team Calendar'!$F$5:$F$14,"Personal absence")=0),1,"")</x:f>
      </x:c>
      <x:c r="AF38" s="211" t="str">
        <x:f>IF(AND(ISNUMBER($D38),ISNUMBER($E38),AF$4&gt;=$D38,AF$4&lt;=$E38,NETWORKDAYS(AF$4,AF$4,'Sources &amp; Change Log'!$J$2:$J$5)=1,COUNTIFS('Team Calendar'!$A$5:$A$14,$F38,'Team Calendar'!$C$5:$C$14,AF$4,'Team Calendar'!$F$5:$F$14,"Personal absence")=0),1,"")</x:f>
      </x:c>
      <x:c r="AG38" s="211" t="str">
        <x:f>IF(AND(ISNUMBER($D38),ISNUMBER($E38),AG$4&gt;=$D38,AG$4&lt;=$E38,NETWORKDAYS(AG$4,AG$4,'Sources &amp; Change Log'!$J$2:$J$5)=1,COUNTIFS('Team Calendar'!$A$5:$A$14,$F38,'Team Calendar'!$C$5:$C$14,AG$4,'Team Calendar'!$F$5:$F$14,"Personal absence")=0),1,"")</x:f>
      </x:c>
      <x:c r="AH38" s="211" t="str">
        <x:f>IF(AND(ISNUMBER($D38),ISNUMBER($E38),AH$4&gt;=$D38,AH$4&lt;=$E38,NETWORKDAYS(AH$4,AH$4,'Sources &amp; Change Log'!$J$2:$J$5)=1,COUNTIFS('Team Calendar'!$A$5:$A$14,$F38,'Team Calendar'!$C$5:$C$14,AH$4,'Team Calendar'!$F$5:$F$14,"Personal absence")=0),1,"")</x:f>
      </x:c>
      <x:c r="AI38" s="211" t="str">
        <x:f>IF(AND(ISNUMBER($D38),ISNUMBER($E38),AI$4&gt;=$D38,AI$4&lt;=$E38,NETWORKDAYS(AI$4,AI$4,'Sources &amp; Change Log'!$J$2:$J$5)=1,COUNTIFS('Team Calendar'!$A$5:$A$14,$F38,'Team Calendar'!$C$5:$C$14,AI$4,'Team Calendar'!$F$5:$F$14,"Personal absence")=0),1,"")</x:f>
      </x:c>
      <x:c r="AJ38" s="211" t="str">
        <x:f>IF(AND(ISNUMBER($D38),ISNUMBER($E38),AJ$4&gt;=$D38,AJ$4&lt;=$E38,NETWORKDAYS(AJ$4,AJ$4,'Sources &amp; Change Log'!$J$2:$J$5)=1,COUNTIFS('Team Calendar'!$A$5:$A$14,$F38,'Team Calendar'!$C$5:$C$14,AJ$4,'Team Calendar'!$F$5:$F$14,"Personal absence")=0),1,"")</x:f>
      </x:c>
      <x:c r="AK38" s="211" t="str">
        <x:f>IF(AND(ISNUMBER($D38),ISNUMBER($E38),AK$4&gt;=$D38,AK$4&lt;=$E38,NETWORKDAYS(AK$4,AK$4,'Sources &amp; Change Log'!$J$2:$J$5)=1,COUNTIFS('Team Calendar'!$A$5:$A$14,$F38,'Team Calendar'!$C$5:$C$14,AK$4,'Team Calendar'!$F$5:$F$14,"Personal absence")=0),1,"")</x:f>
      </x:c>
      <x:c r="AL38" s="211" t="str">
        <x:f>IF(AND(ISNUMBER($D38),ISNUMBER($E38),AL$4&gt;=$D38,AL$4&lt;=$E38,NETWORKDAYS(AL$4,AL$4,'Sources &amp; Change Log'!$J$2:$J$5)=1,COUNTIFS('Team Calendar'!$A$5:$A$14,$F38,'Team Calendar'!$C$5:$C$14,AL$4,'Team Calendar'!$F$5:$F$14,"Personal absence")=0),1,"")</x:f>
      </x:c>
      <x:c r="AM38" s="211" t="str">
        <x:f>IF(AND(ISNUMBER($D38),ISNUMBER($E38),AM$4&gt;=$D38,AM$4&lt;=$E38,NETWORKDAYS(AM$4,AM$4,'Sources &amp; Change Log'!$J$2:$J$5)=1,COUNTIFS('Team Calendar'!$A$5:$A$14,$F38,'Team Calendar'!$C$5:$C$14,AM$4,'Team Calendar'!$F$5:$F$14,"Personal absence")=0),1,"")</x:f>
      </x:c>
      <x:c r="AN38" s="211" t="str">
        <x:f>IF(AND(ISNUMBER($D38),ISNUMBER($E38),AN$4&gt;=$D38,AN$4&lt;=$E38,NETWORKDAYS(AN$4,AN$4,'Sources &amp; Change Log'!$J$2:$J$5)=1,COUNTIFS('Team Calendar'!$A$5:$A$14,$F38,'Team Calendar'!$C$5:$C$14,AN$4,'Team Calendar'!$F$5:$F$14,"Personal absence")=0),1,"")</x:f>
      </x:c>
      <x:c r="AO38" s="211" t="str">
        <x:f>IF(AND(ISNUMBER($D38),ISNUMBER($E38),AO$4&gt;=$D38,AO$4&lt;=$E38,NETWORKDAYS(AO$4,AO$4,'Sources &amp; Change Log'!$J$2:$J$5)=1,COUNTIFS('Team Calendar'!$A$5:$A$14,$F38,'Team Calendar'!$C$5:$C$14,AO$4,'Team Calendar'!$F$5:$F$14,"Personal absence")=0),1,"")</x:f>
      </x:c>
      <x:c r="AP38" s="211" t="str">
        <x:f>IF(AND(ISNUMBER($D38),ISNUMBER($E38),AP$4&gt;=$D38,AP$4&lt;=$E38,NETWORKDAYS(AP$4,AP$4,'Sources &amp; Change Log'!$J$2:$J$5)=1,COUNTIFS('Team Calendar'!$A$5:$A$14,$F38,'Team Calendar'!$C$5:$C$14,AP$4,'Team Calendar'!$F$5:$F$14,"Personal absence")=0),1,"")</x:f>
      </x:c>
      <x:c r="AQ38" s="211" t="str">
        <x:f>IF(AND(ISNUMBER($D38),ISNUMBER($E38),AQ$4&gt;=$D38,AQ$4&lt;=$E38,NETWORKDAYS(AQ$4,AQ$4,'Sources &amp; Change Log'!$J$2:$J$5)=1,COUNTIFS('Team Calendar'!$A$5:$A$14,$F38,'Team Calendar'!$C$5:$C$14,AQ$4,'Team Calendar'!$F$5:$F$14,"Personal absence")=0),1,"")</x:f>
      </x:c>
      <x:c r="AR38" s="211" t="str">
        <x:f>IF(AND(ISNUMBER($D38),ISNUMBER($E38),AR$4&gt;=$D38,AR$4&lt;=$E38,NETWORKDAYS(AR$4,AR$4,'Sources &amp; Change Log'!$J$2:$J$5)=1,COUNTIFS('Team Calendar'!$A$5:$A$14,$F38,'Team Calendar'!$C$5:$C$14,AR$4,'Team Calendar'!$F$5:$F$14,"Personal absence")=0),1,"")</x:f>
      </x:c>
      <x:c r="AS38" s="211" t="str">
        <x:f>IF(AND(ISNUMBER($D38),ISNUMBER($E38),AS$4&gt;=$D38,AS$4&lt;=$E38,NETWORKDAYS(AS$4,AS$4,'Sources &amp; Change Log'!$J$2:$J$5)=1,COUNTIFS('Team Calendar'!$A$5:$A$14,$F38,'Team Calendar'!$C$5:$C$14,AS$4,'Team Calendar'!$F$5:$F$14,"Personal absence")=0),1,"")</x:f>
      </x:c>
      <x:c r="AT38" s="211" t="str">
        <x:f>IF(AND(ISNUMBER($D38),ISNUMBER($E38),AT$4&gt;=$D38,AT$4&lt;=$E38,NETWORKDAYS(AT$4,AT$4,'Sources &amp; Change Log'!$J$2:$J$5)=1,COUNTIFS('Team Calendar'!$A$5:$A$14,$F38,'Team Calendar'!$C$5:$C$14,AT$4,'Team Calendar'!$F$5:$F$14,"Personal absence")=0),1,"")</x:f>
      </x:c>
      <x:c r="AU38" s="211" t="str">
        <x:f>IF(AND(ISNUMBER($D38),ISNUMBER($E38),AU$4&gt;=$D38,AU$4&lt;=$E38,NETWORKDAYS(AU$4,AU$4,'Sources &amp; Change Log'!$J$2:$J$5)=1,COUNTIFS('Team Calendar'!$A$5:$A$14,$F38,'Team Calendar'!$C$5:$C$14,AU$4,'Team Calendar'!$F$5:$F$14,"Personal absence")=0),1,"")</x:f>
      </x:c>
      <x:c r="AV38" s="211" t="str">
        <x:f>IF(AND(ISNUMBER($D38),ISNUMBER($E38),AV$4&gt;=$D38,AV$4&lt;=$E38,NETWORKDAYS(AV$4,AV$4,'Sources &amp; Change Log'!$J$2:$J$5)=1,COUNTIFS('Team Calendar'!$A$5:$A$14,$F38,'Team Calendar'!$C$5:$C$14,AV$4,'Team Calendar'!$F$5:$F$14,"Personal absence")=0),1,"")</x:f>
      </x:c>
      <x:c r="AW38" s="211" t="str">
        <x:f>IF(AND(ISNUMBER($D38),ISNUMBER($E38),AW$4&gt;=$D38,AW$4&lt;=$E38,NETWORKDAYS(AW$4,AW$4,'Sources &amp; Change Log'!$J$2:$J$5)=1,COUNTIFS('Team Calendar'!$A$5:$A$14,$F38,'Team Calendar'!$C$5:$C$14,AW$4,'Team Calendar'!$F$5:$F$14,"Personal absence")=0),1,"")</x:f>
      </x:c>
      <x:c r="AX38" s="211" t="str">
        <x:f>IF(AND(ISNUMBER($D38),ISNUMBER($E38),AX$4&gt;=$D38,AX$4&lt;=$E38,NETWORKDAYS(AX$4,AX$4,'Sources &amp; Change Log'!$J$2:$J$5)=1,COUNTIFS('Team Calendar'!$A$5:$A$14,$F38,'Team Calendar'!$C$5:$C$14,AX$4,'Team Calendar'!$F$5:$F$14,"Personal absence")=0),1,"")</x:f>
      </x:c>
      <x:c r="AY38" s="206"/>
      <x:c r="AZ38" s="206"/>
    </x:row>
    <x:row r="39" ht="30" customHeight="1">
      <x:c r="A39" s="198" t="str">
        <x:f>WBS!A68</x:f>
        <x:v>P1-ANS-01</x:v>
      </x:c>
      <x:c r="B39" s="198" t="str">
        <x:f>WBS!B68</x:f>
        <x:v>Ansible Inventory / OS-Node Bootstrap — Closed Update</x:v>
      </x:c>
      <x:c r="C39" s="198" t="str">
        <x:f>WBS!G68</x:f>
        <x:v>Done</x:v>
      </x:c>
      <x:c r="D39" s="226" t="n">
        <x:f>WBS!H68</x:f>
        <x:v>46261</x:v>
      </x:c>
      <x:c r="E39" s="226" t="n">
        <x:f>WBS!I68</x:f>
        <x:v>46266</x:v>
      </x:c>
      <x:c r="F39" t="str">
        <x:f>WBS!L68</x:f>
        <x:v>이권욱</x:v>
      </x:c>
      <x:c r="G39" s="211" t="str">
        <x:f>IF(AND(ISNUMBER($D39),ISNUMBER($E39),G$4&gt;=$D39,G$4&lt;=$E39,NETWORKDAYS(G$4,G$4,'Sources &amp; Change Log'!$J$2:$J$5)=1,COUNTIFS('Team Calendar'!$A$5:$A$14,$F39,'Team Calendar'!$C$5:$C$14,G$4,'Team Calendar'!$F$5:$F$14,"Personal absence")=0),1,"")</x:f>
      </x:c>
      <x:c r="H39" s="211" t="str">
        <x:f>IF(AND(ISNUMBER($D39),ISNUMBER($E39),H$4&gt;=$D39,H$4&lt;=$E39,NETWORKDAYS(H$4,H$4,'Sources &amp; Change Log'!$J$2:$J$5)=1,COUNTIFS('Team Calendar'!$A$5:$A$14,$F39,'Team Calendar'!$C$5:$C$14,H$4,'Team Calendar'!$F$5:$F$14,"Personal absence")=0),1,"")</x:f>
      </x:c>
      <x:c r="I39" s="211" t="str">
        <x:f>IF(AND(ISNUMBER($D39),ISNUMBER($E39),I$4&gt;=$D39,I$4&lt;=$E39,NETWORKDAYS(I$4,I$4,'Sources &amp; Change Log'!$J$2:$J$5)=1,COUNTIFS('Team Calendar'!$A$5:$A$14,$F39,'Team Calendar'!$C$5:$C$14,I$4,'Team Calendar'!$F$5:$F$14,"Personal absence")=0),1,"")</x:f>
      </x:c>
      <x:c r="J39" s="211" t="n">
        <x:f>IF(AND(ISNUMBER($D39),ISNUMBER($E39),J$4&gt;=$D39,J$4&lt;=$E39,NETWORKDAYS(J$4,J$4,'Sources &amp; Change Log'!$J$2:$J$5)=1,COUNTIFS('Team Calendar'!$A$5:$A$14,$F39,'Team Calendar'!$C$5:$C$14,J$4,'Team Calendar'!$F$5:$F$14,"Personal absence")=0),1,"")</x:f>
        <x:v>1</x:v>
      </x:c>
      <x:c r="K39" s="211" t="n">
        <x:f>IF(AND(ISNUMBER($D39),ISNUMBER($E39),K$4&gt;=$D39,K$4&lt;=$E39,NETWORKDAYS(K$4,K$4,'Sources &amp; Change Log'!$J$2:$J$5)=1,COUNTIFS('Team Calendar'!$A$5:$A$14,$F39,'Team Calendar'!$C$5:$C$14,K$4,'Team Calendar'!$F$5:$F$14,"Personal absence")=0),1,"")</x:f>
        <x:v>1</x:v>
      </x:c>
      <x:c r="L39" s="211" t="str">
        <x:f>IF(AND(ISNUMBER($D39),ISNUMBER($E39),L$4&gt;=$D39,L$4&lt;=$E39,NETWORKDAYS(L$4,L$4,'Sources &amp; Change Log'!$J$2:$J$5)=1,COUNTIFS('Team Calendar'!$A$5:$A$14,$F39,'Team Calendar'!$C$5:$C$14,L$4,'Team Calendar'!$F$5:$F$14,"Personal absence")=0),1,"")</x:f>
      </x:c>
      <x:c r="M39" s="211" t="str">
        <x:f>IF(AND(ISNUMBER($D39),ISNUMBER($E39),M$4&gt;=$D39,M$4&lt;=$E39,NETWORKDAYS(M$4,M$4,'Sources &amp; Change Log'!$J$2:$J$5)=1,COUNTIFS('Team Calendar'!$A$5:$A$14,$F39,'Team Calendar'!$C$5:$C$14,M$4,'Team Calendar'!$F$5:$F$14,"Personal absence")=0),1,"")</x:f>
      </x:c>
      <x:c r="N39" s="211" t="n">
        <x:f>IF(AND(ISNUMBER($D39),ISNUMBER($E39),N$4&gt;=$D39,N$4&lt;=$E39,NETWORKDAYS(N$4,N$4,'Sources &amp; Change Log'!$J$2:$J$5)=1,COUNTIFS('Team Calendar'!$A$5:$A$14,$F39,'Team Calendar'!$C$5:$C$14,N$4,'Team Calendar'!$F$5:$F$14,"Personal absence")=0),1,"")</x:f>
        <x:v>1</x:v>
      </x:c>
      <x:c r="O39" s="211" t="n">
        <x:f>IF(AND(ISNUMBER($D39),ISNUMBER($E39),O$4&gt;=$D39,O$4&lt;=$E39,NETWORKDAYS(O$4,O$4,'Sources &amp; Change Log'!$J$2:$J$5)=1,COUNTIFS('Team Calendar'!$A$5:$A$14,$F39,'Team Calendar'!$C$5:$C$14,O$4,'Team Calendar'!$F$5:$F$14,"Personal absence")=0),1,"")</x:f>
        <x:v>1</x:v>
      </x:c>
      <x:c r="P39" s="211" t="str">
        <x:f>IF(AND(ISNUMBER($D39),ISNUMBER($E39),P$4&gt;=$D39,P$4&lt;=$E39,NETWORKDAYS(P$4,P$4,'Sources &amp; Change Log'!$J$2:$J$5)=1,COUNTIFS('Team Calendar'!$A$5:$A$14,$F39,'Team Calendar'!$C$5:$C$14,P$4,'Team Calendar'!$F$5:$F$14,"Personal absence")=0),1,"")</x:f>
      </x:c>
      <x:c r="Q39" s="211" t="str">
        <x:f>IF(AND(ISNUMBER($D39),ISNUMBER($E39),Q$4&gt;=$D39,Q$4&lt;=$E39,NETWORKDAYS(Q$4,Q$4,'Sources &amp; Change Log'!$J$2:$J$5)=1,COUNTIFS('Team Calendar'!$A$5:$A$14,$F39,'Team Calendar'!$C$5:$C$14,Q$4,'Team Calendar'!$F$5:$F$14,"Personal absence")=0),1,"")</x:f>
      </x:c>
      <x:c r="R39" s="211" t="str">
        <x:f>IF(AND(ISNUMBER($D39),ISNUMBER($E39),R$4&gt;=$D39,R$4&lt;=$E39,NETWORKDAYS(R$4,R$4,'Sources &amp; Change Log'!$J$2:$J$5)=1,COUNTIFS('Team Calendar'!$A$5:$A$14,$F39,'Team Calendar'!$C$5:$C$14,R$4,'Team Calendar'!$F$5:$F$14,"Personal absence")=0),1,"")</x:f>
      </x:c>
      <x:c r="S39" s="211" t="str">
        <x:f>IF(AND(ISNUMBER($D39),ISNUMBER($E39),S$4&gt;=$D39,S$4&lt;=$E39,NETWORKDAYS(S$4,S$4,'Sources &amp; Change Log'!$J$2:$J$5)=1,COUNTIFS('Team Calendar'!$A$5:$A$14,$F39,'Team Calendar'!$C$5:$C$14,S$4,'Team Calendar'!$F$5:$F$14,"Personal absence")=0),1,"")</x:f>
      </x:c>
      <x:c r="T39" s="211" t="str">
        <x:f>IF(AND(ISNUMBER($D39),ISNUMBER($E39),T$4&gt;=$D39,T$4&lt;=$E39,NETWORKDAYS(T$4,T$4,'Sources &amp; Change Log'!$J$2:$J$5)=1,COUNTIFS('Team Calendar'!$A$5:$A$14,$F39,'Team Calendar'!$C$5:$C$14,T$4,'Team Calendar'!$F$5:$F$14,"Personal absence")=0),1,"")</x:f>
      </x:c>
      <x:c r="U39" s="211" t="str">
        <x:f>IF(AND(ISNUMBER($D39),ISNUMBER($E39),U$4&gt;=$D39,U$4&lt;=$E39,NETWORKDAYS(U$4,U$4,'Sources &amp; Change Log'!$J$2:$J$5)=1,COUNTIFS('Team Calendar'!$A$5:$A$14,$F39,'Team Calendar'!$C$5:$C$14,U$4,'Team Calendar'!$F$5:$F$14,"Personal absence")=0),1,"")</x:f>
      </x:c>
      <x:c r="V39" s="211" t="str">
        <x:f>IF(AND(ISNUMBER($D39),ISNUMBER($E39),V$4&gt;=$D39,V$4&lt;=$E39,NETWORKDAYS(V$4,V$4,'Sources &amp; Change Log'!$J$2:$J$5)=1,COUNTIFS('Team Calendar'!$A$5:$A$14,$F39,'Team Calendar'!$C$5:$C$14,V$4,'Team Calendar'!$F$5:$F$14,"Personal absence")=0),1,"")</x:f>
      </x:c>
      <x:c r="W39" s="211" t="str">
        <x:f>IF(AND(ISNUMBER($D39),ISNUMBER($E39),W$4&gt;=$D39,W$4&lt;=$E39,NETWORKDAYS(W$4,W$4,'Sources &amp; Change Log'!$J$2:$J$5)=1,COUNTIFS('Team Calendar'!$A$5:$A$14,$F39,'Team Calendar'!$C$5:$C$14,W$4,'Team Calendar'!$F$5:$F$14,"Personal absence")=0),1,"")</x:f>
      </x:c>
      <x:c r="X39" s="211" t="str">
        <x:f>IF(AND(ISNUMBER($D39),ISNUMBER($E39),X$4&gt;=$D39,X$4&lt;=$E39,NETWORKDAYS(X$4,X$4,'Sources &amp; Change Log'!$J$2:$J$5)=1,COUNTIFS('Team Calendar'!$A$5:$A$14,$F39,'Team Calendar'!$C$5:$C$14,X$4,'Team Calendar'!$F$5:$F$14,"Personal absence")=0),1,"")</x:f>
      </x:c>
      <x:c r="Y39" s="211" t="str">
        <x:f>IF(AND(ISNUMBER($D39),ISNUMBER($E39),Y$4&gt;=$D39,Y$4&lt;=$E39,NETWORKDAYS(Y$4,Y$4,'Sources &amp; Change Log'!$J$2:$J$5)=1,COUNTIFS('Team Calendar'!$A$5:$A$14,$F39,'Team Calendar'!$C$5:$C$14,Y$4,'Team Calendar'!$F$5:$F$14,"Personal absence")=0),1,"")</x:f>
      </x:c>
      <x:c r="Z39" s="211" t="str">
        <x:f>IF(AND(ISNUMBER($D39),ISNUMBER($E39),Z$4&gt;=$D39,Z$4&lt;=$E39,NETWORKDAYS(Z$4,Z$4,'Sources &amp; Change Log'!$J$2:$J$5)=1,COUNTIFS('Team Calendar'!$A$5:$A$14,$F39,'Team Calendar'!$C$5:$C$14,Z$4,'Team Calendar'!$F$5:$F$14,"Personal absence")=0),1,"")</x:f>
      </x:c>
      <x:c r="AA39" s="211" t="str">
        <x:f>IF(AND(ISNUMBER($D39),ISNUMBER($E39),AA$4&gt;=$D39,AA$4&lt;=$E39,NETWORKDAYS(AA$4,AA$4,'Sources &amp; Change Log'!$J$2:$J$5)=1,COUNTIFS('Team Calendar'!$A$5:$A$14,$F39,'Team Calendar'!$C$5:$C$14,AA$4,'Team Calendar'!$F$5:$F$14,"Personal absence")=0),1,"")</x:f>
      </x:c>
      <x:c r="AB39" s="211" t="str">
        <x:f>IF(AND(ISNUMBER($D39),ISNUMBER($E39),AB$4&gt;=$D39,AB$4&lt;=$E39,NETWORKDAYS(AB$4,AB$4,'Sources &amp; Change Log'!$J$2:$J$5)=1,COUNTIFS('Team Calendar'!$A$5:$A$14,$F39,'Team Calendar'!$C$5:$C$14,AB$4,'Team Calendar'!$F$5:$F$14,"Personal absence")=0),1,"")</x:f>
      </x:c>
      <x:c r="AC39" s="211" t="str">
        <x:f>IF(AND(ISNUMBER($D39),ISNUMBER($E39),AC$4&gt;=$D39,AC$4&lt;=$E39,NETWORKDAYS(AC$4,AC$4,'Sources &amp; Change Log'!$J$2:$J$5)=1,COUNTIFS('Team Calendar'!$A$5:$A$14,$F39,'Team Calendar'!$C$5:$C$14,AC$4,'Team Calendar'!$F$5:$F$14,"Personal absence")=0),1,"")</x:f>
      </x:c>
      <x:c r="AD39" s="211" t="str">
        <x:f>IF(AND(ISNUMBER($D39),ISNUMBER($E39),AD$4&gt;=$D39,AD$4&lt;=$E39,NETWORKDAYS(AD$4,AD$4,'Sources &amp; Change Log'!$J$2:$J$5)=1,COUNTIFS('Team Calendar'!$A$5:$A$14,$F39,'Team Calendar'!$C$5:$C$14,AD$4,'Team Calendar'!$F$5:$F$14,"Personal absence")=0),1,"")</x:f>
      </x:c>
      <x:c r="AE39" s="211" t="str">
        <x:f>IF(AND(ISNUMBER($D39),ISNUMBER($E39),AE$4&gt;=$D39,AE$4&lt;=$E39,NETWORKDAYS(AE$4,AE$4,'Sources &amp; Change Log'!$J$2:$J$5)=1,COUNTIFS('Team Calendar'!$A$5:$A$14,$F39,'Team Calendar'!$C$5:$C$14,AE$4,'Team Calendar'!$F$5:$F$14,"Personal absence")=0),1,"")</x:f>
      </x:c>
      <x:c r="AF39" s="211" t="str">
        <x:f>IF(AND(ISNUMBER($D39),ISNUMBER($E39),AF$4&gt;=$D39,AF$4&lt;=$E39,NETWORKDAYS(AF$4,AF$4,'Sources &amp; Change Log'!$J$2:$J$5)=1,COUNTIFS('Team Calendar'!$A$5:$A$14,$F39,'Team Calendar'!$C$5:$C$14,AF$4,'Team Calendar'!$F$5:$F$14,"Personal absence")=0),1,"")</x:f>
      </x:c>
      <x:c r="AG39" s="211" t="str">
        <x:f>IF(AND(ISNUMBER($D39),ISNUMBER($E39),AG$4&gt;=$D39,AG$4&lt;=$E39,NETWORKDAYS(AG$4,AG$4,'Sources &amp; Change Log'!$J$2:$J$5)=1,COUNTIFS('Team Calendar'!$A$5:$A$14,$F39,'Team Calendar'!$C$5:$C$14,AG$4,'Team Calendar'!$F$5:$F$14,"Personal absence")=0),1,"")</x:f>
      </x:c>
      <x:c r="AH39" s="211" t="str">
        <x:f>IF(AND(ISNUMBER($D39),ISNUMBER($E39),AH$4&gt;=$D39,AH$4&lt;=$E39,NETWORKDAYS(AH$4,AH$4,'Sources &amp; Change Log'!$J$2:$J$5)=1,COUNTIFS('Team Calendar'!$A$5:$A$14,$F39,'Team Calendar'!$C$5:$C$14,AH$4,'Team Calendar'!$F$5:$F$14,"Personal absence")=0),1,"")</x:f>
      </x:c>
      <x:c r="AI39" s="211" t="str">
        <x:f>IF(AND(ISNUMBER($D39),ISNUMBER($E39),AI$4&gt;=$D39,AI$4&lt;=$E39,NETWORKDAYS(AI$4,AI$4,'Sources &amp; Change Log'!$J$2:$J$5)=1,COUNTIFS('Team Calendar'!$A$5:$A$14,$F39,'Team Calendar'!$C$5:$C$14,AI$4,'Team Calendar'!$F$5:$F$14,"Personal absence")=0),1,"")</x:f>
      </x:c>
      <x:c r="AJ39" s="211" t="str">
        <x:f>IF(AND(ISNUMBER($D39),ISNUMBER($E39),AJ$4&gt;=$D39,AJ$4&lt;=$E39,NETWORKDAYS(AJ$4,AJ$4,'Sources &amp; Change Log'!$J$2:$J$5)=1,COUNTIFS('Team Calendar'!$A$5:$A$14,$F39,'Team Calendar'!$C$5:$C$14,AJ$4,'Team Calendar'!$F$5:$F$14,"Personal absence")=0),1,"")</x:f>
      </x:c>
      <x:c r="AK39" s="211" t="str">
        <x:f>IF(AND(ISNUMBER($D39),ISNUMBER($E39),AK$4&gt;=$D39,AK$4&lt;=$E39,NETWORKDAYS(AK$4,AK$4,'Sources &amp; Change Log'!$J$2:$J$5)=1,COUNTIFS('Team Calendar'!$A$5:$A$14,$F39,'Team Calendar'!$C$5:$C$14,AK$4,'Team Calendar'!$F$5:$F$14,"Personal absence")=0),1,"")</x:f>
      </x:c>
      <x:c r="AL39" s="211" t="str">
        <x:f>IF(AND(ISNUMBER($D39),ISNUMBER($E39),AL$4&gt;=$D39,AL$4&lt;=$E39,NETWORKDAYS(AL$4,AL$4,'Sources &amp; Change Log'!$J$2:$J$5)=1,COUNTIFS('Team Calendar'!$A$5:$A$14,$F39,'Team Calendar'!$C$5:$C$14,AL$4,'Team Calendar'!$F$5:$F$14,"Personal absence")=0),1,"")</x:f>
      </x:c>
      <x:c r="AM39" s="211" t="str">
        <x:f>IF(AND(ISNUMBER($D39),ISNUMBER($E39),AM$4&gt;=$D39,AM$4&lt;=$E39,NETWORKDAYS(AM$4,AM$4,'Sources &amp; Change Log'!$J$2:$J$5)=1,COUNTIFS('Team Calendar'!$A$5:$A$14,$F39,'Team Calendar'!$C$5:$C$14,AM$4,'Team Calendar'!$F$5:$F$14,"Personal absence")=0),1,"")</x:f>
      </x:c>
      <x:c r="AN39" s="211" t="str">
        <x:f>IF(AND(ISNUMBER($D39),ISNUMBER($E39),AN$4&gt;=$D39,AN$4&lt;=$E39,NETWORKDAYS(AN$4,AN$4,'Sources &amp; Change Log'!$J$2:$J$5)=1,COUNTIFS('Team Calendar'!$A$5:$A$14,$F39,'Team Calendar'!$C$5:$C$14,AN$4,'Team Calendar'!$F$5:$F$14,"Personal absence")=0),1,"")</x:f>
      </x:c>
      <x:c r="AO39" s="211" t="str">
        <x:f>IF(AND(ISNUMBER($D39),ISNUMBER($E39),AO$4&gt;=$D39,AO$4&lt;=$E39,NETWORKDAYS(AO$4,AO$4,'Sources &amp; Change Log'!$J$2:$J$5)=1,COUNTIFS('Team Calendar'!$A$5:$A$14,$F39,'Team Calendar'!$C$5:$C$14,AO$4,'Team Calendar'!$F$5:$F$14,"Personal absence")=0),1,"")</x:f>
      </x:c>
      <x:c r="AP39" s="211" t="str">
        <x:f>IF(AND(ISNUMBER($D39),ISNUMBER($E39),AP$4&gt;=$D39,AP$4&lt;=$E39,NETWORKDAYS(AP$4,AP$4,'Sources &amp; Change Log'!$J$2:$J$5)=1,COUNTIFS('Team Calendar'!$A$5:$A$14,$F39,'Team Calendar'!$C$5:$C$14,AP$4,'Team Calendar'!$F$5:$F$14,"Personal absence")=0),1,"")</x:f>
      </x:c>
      <x:c r="AQ39" s="211" t="str">
        <x:f>IF(AND(ISNUMBER($D39),ISNUMBER($E39),AQ$4&gt;=$D39,AQ$4&lt;=$E39,NETWORKDAYS(AQ$4,AQ$4,'Sources &amp; Change Log'!$J$2:$J$5)=1,COUNTIFS('Team Calendar'!$A$5:$A$14,$F39,'Team Calendar'!$C$5:$C$14,AQ$4,'Team Calendar'!$F$5:$F$14,"Personal absence")=0),1,"")</x:f>
      </x:c>
      <x:c r="AR39" s="211" t="str">
        <x:f>IF(AND(ISNUMBER($D39),ISNUMBER($E39),AR$4&gt;=$D39,AR$4&lt;=$E39,NETWORKDAYS(AR$4,AR$4,'Sources &amp; Change Log'!$J$2:$J$5)=1,COUNTIFS('Team Calendar'!$A$5:$A$14,$F39,'Team Calendar'!$C$5:$C$14,AR$4,'Team Calendar'!$F$5:$F$14,"Personal absence")=0),1,"")</x:f>
      </x:c>
      <x:c r="AS39" s="211" t="str">
        <x:f>IF(AND(ISNUMBER($D39),ISNUMBER($E39),AS$4&gt;=$D39,AS$4&lt;=$E39,NETWORKDAYS(AS$4,AS$4,'Sources &amp; Change Log'!$J$2:$J$5)=1,COUNTIFS('Team Calendar'!$A$5:$A$14,$F39,'Team Calendar'!$C$5:$C$14,AS$4,'Team Calendar'!$F$5:$F$14,"Personal absence")=0),1,"")</x:f>
      </x:c>
      <x:c r="AT39" s="211" t="str">
        <x:f>IF(AND(ISNUMBER($D39),ISNUMBER($E39),AT$4&gt;=$D39,AT$4&lt;=$E39,NETWORKDAYS(AT$4,AT$4,'Sources &amp; Change Log'!$J$2:$J$5)=1,COUNTIFS('Team Calendar'!$A$5:$A$14,$F39,'Team Calendar'!$C$5:$C$14,AT$4,'Team Calendar'!$F$5:$F$14,"Personal absence")=0),1,"")</x:f>
      </x:c>
      <x:c r="AU39" s="211" t="str">
        <x:f>IF(AND(ISNUMBER($D39),ISNUMBER($E39),AU$4&gt;=$D39,AU$4&lt;=$E39,NETWORKDAYS(AU$4,AU$4,'Sources &amp; Change Log'!$J$2:$J$5)=1,COUNTIFS('Team Calendar'!$A$5:$A$14,$F39,'Team Calendar'!$C$5:$C$14,AU$4,'Team Calendar'!$F$5:$F$14,"Personal absence")=0),1,"")</x:f>
      </x:c>
      <x:c r="AV39" s="211" t="str">
        <x:f>IF(AND(ISNUMBER($D39),ISNUMBER($E39),AV$4&gt;=$D39,AV$4&lt;=$E39,NETWORKDAYS(AV$4,AV$4,'Sources &amp; Change Log'!$J$2:$J$5)=1,COUNTIFS('Team Calendar'!$A$5:$A$14,$F39,'Team Calendar'!$C$5:$C$14,AV$4,'Team Calendar'!$F$5:$F$14,"Personal absence")=0),1,"")</x:f>
      </x:c>
      <x:c r="AW39" s="211" t="str">
        <x:f>IF(AND(ISNUMBER($D39),ISNUMBER($E39),AW$4&gt;=$D39,AW$4&lt;=$E39,NETWORKDAYS(AW$4,AW$4,'Sources &amp; Change Log'!$J$2:$J$5)=1,COUNTIFS('Team Calendar'!$A$5:$A$14,$F39,'Team Calendar'!$C$5:$C$14,AW$4,'Team Calendar'!$F$5:$F$14,"Personal absence")=0),1,"")</x:f>
      </x:c>
      <x:c r="AX39" s="211" t="str">
        <x:f>IF(AND(ISNUMBER($D39),ISNUMBER($E39),AX$4&gt;=$D39,AX$4&lt;=$E39,NETWORKDAYS(AX$4,AX$4,'Sources &amp; Change Log'!$J$2:$J$5)=1,COUNTIFS('Team Calendar'!$A$5:$A$14,$F39,'Team Calendar'!$C$5:$C$14,AX$4,'Team Calendar'!$F$5:$F$14,"Personal absence")=0),1,"")</x:f>
      </x:c>
      <x:c r="AY39" s="206"/>
      <x:c r="AZ39" s="206"/>
    </x:row>
    <x:row r="40" ht="30" customHeight="1">
      <x:c r="A40" s="198" t="str">
        <x:f>WBS!A69</x:f>
        <x:v>P1-LNX-01</x:v>
      </x:c>
      <x:c r="B40" s="198" t="str">
        <x:f>WBS!B69</x:f>
        <x:v>CentOS Stream 10 Linux / Network Baseline</x:v>
      </x:c>
      <x:c r="C40" s="198" t="str">
        <x:f>WBS!G69</x:f>
        <x:v>Done</x:v>
      </x:c>
      <x:c r="D40" s="226" t="n">
        <x:f>WBS!H69</x:f>
        <x:v>46258</x:v>
      </x:c>
      <x:c r="E40" s="226" t="n">
        <x:f>WBS!I69</x:f>
        <x:v>46260</x:v>
      </x:c>
      <x:c r="F40" t="str">
        <x:f>WBS!L69</x:f>
        <x:v>이권욱</x:v>
      </x:c>
      <x:c r="G40" s="211" t="n">
        <x:f>IF(AND(ISNUMBER($D40),ISNUMBER($E40),G$4&gt;=$D40,G$4&lt;=$E40,NETWORKDAYS(G$4,G$4,'Sources &amp; Change Log'!$J$2:$J$5)=1,COUNTIFS('Team Calendar'!$A$5:$A$14,$F40,'Team Calendar'!$C$5:$C$14,G$4,'Team Calendar'!$F$5:$F$14,"Personal absence")=0),1,"")</x:f>
        <x:v>1</x:v>
      </x:c>
      <x:c r="H40" s="211" t="n">
        <x:f>IF(AND(ISNUMBER($D40),ISNUMBER($E40),H$4&gt;=$D40,H$4&lt;=$E40,NETWORKDAYS(H$4,H$4,'Sources &amp; Change Log'!$J$2:$J$5)=1,COUNTIFS('Team Calendar'!$A$5:$A$14,$F40,'Team Calendar'!$C$5:$C$14,H$4,'Team Calendar'!$F$5:$F$14,"Personal absence")=0),1,"")</x:f>
        <x:v>1</x:v>
      </x:c>
      <x:c r="I40" s="211" t="n">
        <x:f>IF(AND(ISNUMBER($D40),ISNUMBER($E40),I$4&gt;=$D40,I$4&lt;=$E40,NETWORKDAYS(I$4,I$4,'Sources &amp; Change Log'!$J$2:$J$5)=1,COUNTIFS('Team Calendar'!$A$5:$A$14,$F40,'Team Calendar'!$C$5:$C$14,I$4,'Team Calendar'!$F$5:$F$14,"Personal absence")=0),1,"")</x:f>
        <x:v>1</x:v>
      </x:c>
      <x:c r="J40" s="211" t="str">
        <x:f>IF(AND(ISNUMBER($D40),ISNUMBER($E40),J$4&gt;=$D40,J$4&lt;=$E40,NETWORKDAYS(J$4,J$4,'Sources &amp; Change Log'!$J$2:$J$5)=1,COUNTIFS('Team Calendar'!$A$5:$A$14,$F40,'Team Calendar'!$C$5:$C$14,J$4,'Team Calendar'!$F$5:$F$14,"Personal absence")=0),1,"")</x:f>
      </x:c>
      <x:c r="K40" s="211" t="str">
        <x:f>IF(AND(ISNUMBER($D40),ISNUMBER($E40),K$4&gt;=$D40,K$4&lt;=$E40,NETWORKDAYS(K$4,K$4,'Sources &amp; Change Log'!$J$2:$J$5)=1,COUNTIFS('Team Calendar'!$A$5:$A$14,$F40,'Team Calendar'!$C$5:$C$14,K$4,'Team Calendar'!$F$5:$F$14,"Personal absence")=0),1,"")</x:f>
      </x:c>
      <x:c r="L40" s="211" t="str">
        <x:f>IF(AND(ISNUMBER($D40),ISNUMBER($E40),L$4&gt;=$D40,L$4&lt;=$E40,NETWORKDAYS(L$4,L$4,'Sources &amp; Change Log'!$J$2:$J$5)=1,COUNTIFS('Team Calendar'!$A$5:$A$14,$F40,'Team Calendar'!$C$5:$C$14,L$4,'Team Calendar'!$F$5:$F$14,"Personal absence")=0),1,"")</x:f>
      </x:c>
      <x:c r="M40" s="211" t="str">
        <x:f>IF(AND(ISNUMBER($D40),ISNUMBER($E40),M$4&gt;=$D40,M$4&lt;=$E40,NETWORKDAYS(M$4,M$4,'Sources &amp; Change Log'!$J$2:$J$5)=1,COUNTIFS('Team Calendar'!$A$5:$A$14,$F40,'Team Calendar'!$C$5:$C$14,M$4,'Team Calendar'!$F$5:$F$14,"Personal absence")=0),1,"")</x:f>
      </x:c>
      <x:c r="N40" s="211" t="str">
        <x:f>IF(AND(ISNUMBER($D40),ISNUMBER($E40),N$4&gt;=$D40,N$4&lt;=$E40,NETWORKDAYS(N$4,N$4,'Sources &amp; Change Log'!$J$2:$J$5)=1,COUNTIFS('Team Calendar'!$A$5:$A$14,$F40,'Team Calendar'!$C$5:$C$14,N$4,'Team Calendar'!$F$5:$F$14,"Personal absence")=0),1,"")</x:f>
      </x:c>
      <x:c r="O40" s="211" t="str">
        <x:f>IF(AND(ISNUMBER($D40),ISNUMBER($E40),O$4&gt;=$D40,O$4&lt;=$E40,NETWORKDAYS(O$4,O$4,'Sources &amp; Change Log'!$J$2:$J$5)=1,COUNTIFS('Team Calendar'!$A$5:$A$14,$F40,'Team Calendar'!$C$5:$C$14,O$4,'Team Calendar'!$F$5:$F$14,"Personal absence")=0),1,"")</x:f>
      </x:c>
      <x:c r="P40" s="211" t="str">
        <x:f>IF(AND(ISNUMBER($D40),ISNUMBER($E40),P$4&gt;=$D40,P$4&lt;=$E40,NETWORKDAYS(P$4,P$4,'Sources &amp; Change Log'!$J$2:$J$5)=1,COUNTIFS('Team Calendar'!$A$5:$A$14,$F40,'Team Calendar'!$C$5:$C$14,P$4,'Team Calendar'!$F$5:$F$14,"Personal absence")=0),1,"")</x:f>
      </x:c>
      <x:c r="Q40" s="211" t="str">
        <x:f>IF(AND(ISNUMBER($D40),ISNUMBER($E40),Q$4&gt;=$D40,Q$4&lt;=$E40,NETWORKDAYS(Q$4,Q$4,'Sources &amp; Change Log'!$J$2:$J$5)=1,COUNTIFS('Team Calendar'!$A$5:$A$14,$F40,'Team Calendar'!$C$5:$C$14,Q$4,'Team Calendar'!$F$5:$F$14,"Personal absence")=0),1,"")</x:f>
      </x:c>
      <x:c r="R40" s="211" t="str">
        <x:f>IF(AND(ISNUMBER($D40),ISNUMBER($E40),R$4&gt;=$D40,R$4&lt;=$E40,NETWORKDAYS(R$4,R$4,'Sources &amp; Change Log'!$J$2:$J$5)=1,COUNTIFS('Team Calendar'!$A$5:$A$14,$F40,'Team Calendar'!$C$5:$C$14,R$4,'Team Calendar'!$F$5:$F$14,"Personal absence")=0),1,"")</x:f>
      </x:c>
      <x:c r="S40" s="211" t="str">
        <x:f>IF(AND(ISNUMBER($D40),ISNUMBER($E40),S$4&gt;=$D40,S$4&lt;=$E40,NETWORKDAYS(S$4,S$4,'Sources &amp; Change Log'!$J$2:$J$5)=1,COUNTIFS('Team Calendar'!$A$5:$A$14,$F40,'Team Calendar'!$C$5:$C$14,S$4,'Team Calendar'!$F$5:$F$14,"Personal absence")=0),1,"")</x:f>
      </x:c>
      <x:c r="T40" s="211" t="str">
        <x:f>IF(AND(ISNUMBER($D40),ISNUMBER($E40),T$4&gt;=$D40,T$4&lt;=$E40,NETWORKDAYS(T$4,T$4,'Sources &amp; Change Log'!$J$2:$J$5)=1,COUNTIFS('Team Calendar'!$A$5:$A$14,$F40,'Team Calendar'!$C$5:$C$14,T$4,'Team Calendar'!$F$5:$F$14,"Personal absence")=0),1,"")</x:f>
      </x:c>
      <x:c r="U40" s="211" t="str">
        <x:f>IF(AND(ISNUMBER($D40),ISNUMBER($E40),U$4&gt;=$D40,U$4&lt;=$E40,NETWORKDAYS(U$4,U$4,'Sources &amp; Change Log'!$J$2:$J$5)=1,COUNTIFS('Team Calendar'!$A$5:$A$14,$F40,'Team Calendar'!$C$5:$C$14,U$4,'Team Calendar'!$F$5:$F$14,"Personal absence")=0),1,"")</x:f>
      </x:c>
      <x:c r="V40" s="211" t="str">
        <x:f>IF(AND(ISNUMBER($D40),ISNUMBER($E40),V$4&gt;=$D40,V$4&lt;=$E40,NETWORKDAYS(V$4,V$4,'Sources &amp; Change Log'!$J$2:$J$5)=1,COUNTIFS('Team Calendar'!$A$5:$A$14,$F40,'Team Calendar'!$C$5:$C$14,V$4,'Team Calendar'!$F$5:$F$14,"Personal absence")=0),1,"")</x:f>
      </x:c>
      <x:c r="W40" s="211" t="str">
        <x:f>IF(AND(ISNUMBER($D40),ISNUMBER($E40),W$4&gt;=$D40,W$4&lt;=$E40,NETWORKDAYS(W$4,W$4,'Sources &amp; Change Log'!$J$2:$J$5)=1,COUNTIFS('Team Calendar'!$A$5:$A$14,$F40,'Team Calendar'!$C$5:$C$14,W$4,'Team Calendar'!$F$5:$F$14,"Personal absence")=0),1,"")</x:f>
      </x:c>
      <x:c r="X40" s="211" t="str">
        <x:f>IF(AND(ISNUMBER($D40),ISNUMBER($E40),X$4&gt;=$D40,X$4&lt;=$E40,NETWORKDAYS(X$4,X$4,'Sources &amp; Change Log'!$J$2:$J$5)=1,COUNTIFS('Team Calendar'!$A$5:$A$14,$F40,'Team Calendar'!$C$5:$C$14,X$4,'Team Calendar'!$F$5:$F$14,"Personal absence")=0),1,"")</x:f>
      </x:c>
      <x:c r="Y40" s="211" t="str">
        <x:f>IF(AND(ISNUMBER($D40),ISNUMBER($E40),Y$4&gt;=$D40,Y$4&lt;=$E40,NETWORKDAYS(Y$4,Y$4,'Sources &amp; Change Log'!$J$2:$J$5)=1,COUNTIFS('Team Calendar'!$A$5:$A$14,$F40,'Team Calendar'!$C$5:$C$14,Y$4,'Team Calendar'!$F$5:$F$14,"Personal absence")=0),1,"")</x:f>
      </x:c>
      <x:c r="Z40" s="211" t="str">
        <x:f>IF(AND(ISNUMBER($D40),ISNUMBER($E40),Z$4&gt;=$D40,Z$4&lt;=$E40,NETWORKDAYS(Z$4,Z$4,'Sources &amp; Change Log'!$J$2:$J$5)=1,COUNTIFS('Team Calendar'!$A$5:$A$14,$F40,'Team Calendar'!$C$5:$C$14,Z$4,'Team Calendar'!$F$5:$F$14,"Personal absence")=0),1,"")</x:f>
      </x:c>
      <x:c r="AA40" s="211" t="str">
        <x:f>IF(AND(ISNUMBER($D40),ISNUMBER($E40),AA$4&gt;=$D40,AA$4&lt;=$E40,NETWORKDAYS(AA$4,AA$4,'Sources &amp; Change Log'!$J$2:$J$5)=1,COUNTIFS('Team Calendar'!$A$5:$A$14,$F40,'Team Calendar'!$C$5:$C$14,AA$4,'Team Calendar'!$F$5:$F$14,"Personal absence")=0),1,"")</x:f>
      </x:c>
      <x:c r="AB40" s="211" t="str">
        <x:f>IF(AND(ISNUMBER($D40),ISNUMBER($E40),AB$4&gt;=$D40,AB$4&lt;=$E40,NETWORKDAYS(AB$4,AB$4,'Sources &amp; Change Log'!$J$2:$J$5)=1,COUNTIFS('Team Calendar'!$A$5:$A$14,$F40,'Team Calendar'!$C$5:$C$14,AB$4,'Team Calendar'!$F$5:$F$14,"Personal absence")=0),1,"")</x:f>
      </x:c>
      <x:c r="AC40" s="211" t="str">
        <x:f>IF(AND(ISNUMBER($D40),ISNUMBER($E40),AC$4&gt;=$D40,AC$4&lt;=$E40,NETWORKDAYS(AC$4,AC$4,'Sources &amp; Change Log'!$J$2:$J$5)=1,COUNTIFS('Team Calendar'!$A$5:$A$14,$F40,'Team Calendar'!$C$5:$C$14,AC$4,'Team Calendar'!$F$5:$F$14,"Personal absence")=0),1,"")</x:f>
      </x:c>
      <x:c r="AD40" s="211" t="str">
        <x:f>IF(AND(ISNUMBER($D40),ISNUMBER($E40),AD$4&gt;=$D40,AD$4&lt;=$E40,NETWORKDAYS(AD$4,AD$4,'Sources &amp; Change Log'!$J$2:$J$5)=1,COUNTIFS('Team Calendar'!$A$5:$A$14,$F40,'Team Calendar'!$C$5:$C$14,AD$4,'Team Calendar'!$F$5:$F$14,"Personal absence")=0),1,"")</x:f>
      </x:c>
      <x:c r="AE40" s="211" t="str">
        <x:f>IF(AND(ISNUMBER($D40),ISNUMBER($E40),AE$4&gt;=$D40,AE$4&lt;=$E40,NETWORKDAYS(AE$4,AE$4,'Sources &amp; Change Log'!$J$2:$J$5)=1,COUNTIFS('Team Calendar'!$A$5:$A$14,$F40,'Team Calendar'!$C$5:$C$14,AE$4,'Team Calendar'!$F$5:$F$14,"Personal absence")=0),1,"")</x:f>
      </x:c>
      <x:c r="AF40" s="211" t="str">
        <x:f>IF(AND(ISNUMBER($D40),ISNUMBER($E40),AF$4&gt;=$D40,AF$4&lt;=$E40,NETWORKDAYS(AF$4,AF$4,'Sources &amp; Change Log'!$J$2:$J$5)=1,COUNTIFS('Team Calendar'!$A$5:$A$14,$F40,'Team Calendar'!$C$5:$C$14,AF$4,'Team Calendar'!$F$5:$F$14,"Personal absence")=0),1,"")</x:f>
      </x:c>
      <x:c r="AG40" s="211" t="str">
        <x:f>IF(AND(ISNUMBER($D40),ISNUMBER($E40),AG$4&gt;=$D40,AG$4&lt;=$E40,NETWORKDAYS(AG$4,AG$4,'Sources &amp; Change Log'!$J$2:$J$5)=1,COUNTIFS('Team Calendar'!$A$5:$A$14,$F40,'Team Calendar'!$C$5:$C$14,AG$4,'Team Calendar'!$F$5:$F$14,"Personal absence")=0),1,"")</x:f>
      </x:c>
      <x:c r="AH40" s="211" t="str">
        <x:f>IF(AND(ISNUMBER($D40),ISNUMBER($E40),AH$4&gt;=$D40,AH$4&lt;=$E40,NETWORKDAYS(AH$4,AH$4,'Sources &amp; Change Log'!$J$2:$J$5)=1,COUNTIFS('Team Calendar'!$A$5:$A$14,$F40,'Team Calendar'!$C$5:$C$14,AH$4,'Team Calendar'!$F$5:$F$14,"Personal absence")=0),1,"")</x:f>
      </x:c>
      <x:c r="AI40" s="211" t="str">
        <x:f>IF(AND(ISNUMBER($D40),ISNUMBER($E40),AI$4&gt;=$D40,AI$4&lt;=$E40,NETWORKDAYS(AI$4,AI$4,'Sources &amp; Change Log'!$J$2:$J$5)=1,COUNTIFS('Team Calendar'!$A$5:$A$14,$F40,'Team Calendar'!$C$5:$C$14,AI$4,'Team Calendar'!$F$5:$F$14,"Personal absence")=0),1,"")</x:f>
      </x:c>
      <x:c r="AJ40" s="211" t="str">
        <x:f>IF(AND(ISNUMBER($D40),ISNUMBER($E40),AJ$4&gt;=$D40,AJ$4&lt;=$E40,NETWORKDAYS(AJ$4,AJ$4,'Sources &amp; Change Log'!$J$2:$J$5)=1,COUNTIFS('Team Calendar'!$A$5:$A$14,$F40,'Team Calendar'!$C$5:$C$14,AJ$4,'Team Calendar'!$F$5:$F$14,"Personal absence")=0),1,"")</x:f>
      </x:c>
      <x:c r="AK40" s="211" t="str">
        <x:f>IF(AND(ISNUMBER($D40),ISNUMBER($E40),AK$4&gt;=$D40,AK$4&lt;=$E40,NETWORKDAYS(AK$4,AK$4,'Sources &amp; Change Log'!$J$2:$J$5)=1,COUNTIFS('Team Calendar'!$A$5:$A$14,$F40,'Team Calendar'!$C$5:$C$14,AK$4,'Team Calendar'!$F$5:$F$14,"Personal absence")=0),1,"")</x:f>
      </x:c>
      <x:c r="AL40" s="211" t="str">
        <x:f>IF(AND(ISNUMBER($D40),ISNUMBER($E40),AL$4&gt;=$D40,AL$4&lt;=$E40,NETWORKDAYS(AL$4,AL$4,'Sources &amp; Change Log'!$J$2:$J$5)=1,COUNTIFS('Team Calendar'!$A$5:$A$14,$F40,'Team Calendar'!$C$5:$C$14,AL$4,'Team Calendar'!$F$5:$F$14,"Personal absence")=0),1,"")</x:f>
      </x:c>
      <x:c r="AM40" s="211" t="str">
        <x:f>IF(AND(ISNUMBER($D40),ISNUMBER($E40),AM$4&gt;=$D40,AM$4&lt;=$E40,NETWORKDAYS(AM$4,AM$4,'Sources &amp; Change Log'!$J$2:$J$5)=1,COUNTIFS('Team Calendar'!$A$5:$A$14,$F40,'Team Calendar'!$C$5:$C$14,AM$4,'Team Calendar'!$F$5:$F$14,"Personal absence")=0),1,"")</x:f>
      </x:c>
      <x:c r="AN40" s="211" t="str">
        <x:f>IF(AND(ISNUMBER($D40),ISNUMBER($E40),AN$4&gt;=$D40,AN$4&lt;=$E40,NETWORKDAYS(AN$4,AN$4,'Sources &amp; Change Log'!$J$2:$J$5)=1,COUNTIFS('Team Calendar'!$A$5:$A$14,$F40,'Team Calendar'!$C$5:$C$14,AN$4,'Team Calendar'!$F$5:$F$14,"Personal absence")=0),1,"")</x:f>
      </x:c>
      <x:c r="AO40" s="211" t="str">
        <x:f>IF(AND(ISNUMBER($D40),ISNUMBER($E40),AO$4&gt;=$D40,AO$4&lt;=$E40,NETWORKDAYS(AO$4,AO$4,'Sources &amp; Change Log'!$J$2:$J$5)=1,COUNTIFS('Team Calendar'!$A$5:$A$14,$F40,'Team Calendar'!$C$5:$C$14,AO$4,'Team Calendar'!$F$5:$F$14,"Personal absence")=0),1,"")</x:f>
      </x:c>
      <x:c r="AP40" s="211" t="str">
        <x:f>IF(AND(ISNUMBER($D40),ISNUMBER($E40),AP$4&gt;=$D40,AP$4&lt;=$E40,NETWORKDAYS(AP$4,AP$4,'Sources &amp; Change Log'!$J$2:$J$5)=1,COUNTIFS('Team Calendar'!$A$5:$A$14,$F40,'Team Calendar'!$C$5:$C$14,AP$4,'Team Calendar'!$F$5:$F$14,"Personal absence")=0),1,"")</x:f>
      </x:c>
      <x:c r="AQ40" s="211" t="str">
        <x:f>IF(AND(ISNUMBER($D40),ISNUMBER($E40),AQ$4&gt;=$D40,AQ$4&lt;=$E40,NETWORKDAYS(AQ$4,AQ$4,'Sources &amp; Change Log'!$J$2:$J$5)=1,COUNTIFS('Team Calendar'!$A$5:$A$14,$F40,'Team Calendar'!$C$5:$C$14,AQ$4,'Team Calendar'!$F$5:$F$14,"Personal absence")=0),1,"")</x:f>
      </x:c>
      <x:c r="AR40" s="211" t="str">
        <x:f>IF(AND(ISNUMBER($D40),ISNUMBER($E40),AR$4&gt;=$D40,AR$4&lt;=$E40,NETWORKDAYS(AR$4,AR$4,'Sources &amp; Change Log'!$J$2:$J$5)=1,COUNTIFS('Team Calendar'!$A$5:$A$14,$F40,'Team Calendar'!$C$5:$C$14,AR$4,'Team Calendar'!$F$5:$F$14,"Personal absence")=0),1,"")</x:f>
      </x:c>
      <x:c r="AS40" s="211" t="str">
        <x:f>IF(AND(ISNUMBER($D40),ISNUMBER($E40),AS$4&gt;=$D40,AS$4&lt;=$E40,NETWORKDAYS(AS$4,AS$4,'Sources &amp; Change Log'!$J$2:$J$5)=1,COUNTIFS('Team Calendar'!$A$5:$A$14,$F40,'Team Calendar'!$C$5:$C$14,AS$4,'Team Calendar'!$F$5:$F$14,"Personal absence")=0),1,"")</x:f>
      </x:c>
      <x:c r="AT40" s="211" t="str">
        <x:f>IF(AND(ISNUMBER($D40),ISNUMBER($E40),AT$4&gt;=$D40,AT$4&lt;=$E40,NETWORKDAYS(AT$4,AT$4,'Sources &amp; Change Log'!$J$2:$J$5)=1,COUNTIFS('Team Calendar'!$A$5:$A$14,$F40,'Team Calendar'!$C$5:$C$14,AT$4,'Team Calendar'!$F$5:$F$14,"Personal absence")=0),1,"")</x:f>
      </x:c>
      <x:c r="AU40" s="211" t="str">
        <x:f>IF(AND(ISNUMBER($D40),ISNUMBER($E40),AU$4&gt;=$D40,AU$4&lt;=$E40,NETWORKDAYS(AU$4,AU$4,'Sources &amp; Change Log'!$J$2:$J$5)=1,COUNTIFS('Team Calendar'!$A$5:$A$14,$F40,'Team Calendar'!$C$5:$C$14,AU$4,'Team Calendar'!$F$5:$F$14,"Personal absence")=0),1,"")</x:f>
      </x:c>
      <x:c r="AV40" s="211" t="str">
        <x:f>IF(AND(ISNUMBER($D40),ISNUMBER($E40),AV$4&gt;=$D40,AV$4&lt;=$E40,NETWORKDAYS(AV$4,AV$4,'Sources &amp; Change Log'!$J$2:$J$5)=1,COUNTIFS('Team Calendar'!$A$5:$A$14,$F40,'Team Calendar'!$C$5:$C$14,AV$4,'Team Calendar'!$F$5:$F$14,"Personal absence")=0),1,"")</x:f>
      </x:c>
      <x:c r="AW40" s="211" t="str">
        <x:f>IF(AND(ISNUMBER($D40),ISNUMBER($E40),AW$4&gt;=$D40,AW$4&lt;=$E40,NETWORKDAYS(AW$4,AW$4,'Sources &amp; Change Log'!$J$2:$J$5)=1,COUNTIFS('Team Calendar'!$A$5:$A$14,$F40,'Team Calendar'!$C$5:$C$14,AW$4,'Team Calendar'!$F$5:$F$14,"Personal absence")=0),1,"")</x:f>
      </x:c>
      <x:c r="AX40" s="211" t="str">
        <x:f>IF(AND(ISNUMBER($D40),ISNUMBER($E40),AX$4&gt;=$D40,AX$4&lt;=$E40,NETWORKDAYS(AX$4,AX$4,'Sources &amp; Change Log'!$J$2:$J$5)=1,COUNTIFS('Team Calendar'!$A$5:$A$14,$F40,'Team Calendar'!$C$5:$C$14,AX$4,'Team Calendar'!$F$5:$F$14,"Personal absence")=0),1,"")</x:f>
      </x:c>
      <x:c r="AY40" s="206"/>
      <x:c r="AZ40" s="206"/>
    </x:row>
    <x:row r="41" ht="30" customHeight="1">
      <x:c r="A41" s="198" t="str">
        <x:f>WBS!A70</x:f>
        <x:v>P1-NET-01</x:v>
      </x:c>
      <x:c r="B41" s="198" t="str">
        <x:f>WBS!B70</x:f>
        <x:v>Bridged Multi-MAC Smoke Test / Source Preservation</x:v>
      </x:c>
      <x:c r="C41" s="198" t="str">
        <x:f>WBS!G70</x:f>
        <x:v>Done</x:v>
      </x:c>
      <x:c r="D41" s="226" t="n">
        <x:f>WBS!H70</x:f>
        <x:v>46261</x:v>
      </x:c>
      <x:c r="E41" s="226" t="n">
        <x:f>WBS!I70</x:f>
        <x:v>46261</x:v>
      </x:c>
      <x:c r="F41" t="str">
        <x:f>WBS!L70</x:f>
        <x:v>이권욱</x:v>
      </x:c>
      <x:c r="G41" s="211" t="str">
        <x:f>IF(AND(ISNUMBER($D41),ISNUMBER($E41),G$4&gt;=$D41,G$4&lt;=$E41,NETWORKDAYS(G$4,G$4,'Sources &amp; Change Log'!$J$2:$J$5)=1,COUNTIFS('Team Calendar'!$A$5:$A$14,$F41,'Team Calendar'!$C$5:$C$14,G$4,'Team Calendar'!$F$5:$F$14,"Personal absence")=0),1,"")</x:f>
      </x:c>
      <x:c r="H41" s="211" t="str">
        <x:f>IF(AND(ISNUMBER($D41),ISNUMBER($E41),H$4&gt;=$D41,H$4&lt;=$E41,NETWORKDAYS(H$4,H$4,'Sources &amp; Change Log'!$J$2:$J$5)=1,COUNTIFS('Team Calendar'!$A$5:$A$14,$F41,'Team Calendar'!$C$5:$C$14,H$4,'Team Calendar'!$F$5:$F$14,"Personal absence")=0),1,"")</x:f>
      </x:c>
      <x:c r="I41" s="211" t="str">
        <x:f>IF(AND(ISNUMBER($D41),ISNUMBER($E41),I$4&gt;=$D41,I$4&lt;=$E41,NETWORKDAYS(I$4,I$4,'Sources &amp; Change Log'!$J$2:$J$5)=1,COUNTIFS('Team Calendar'!$A$5:$A$14,$F41,'Team Calendar'!$C$5:$C$14,I$4,'Team Calendar'!$F$5:$F$14,"Personal absence")=0),1,"")</x:f>
      </x:c>
      <x:c r="J41" s="211" t="n">
        <x:f>IF(AND(ISNUMBER($D41),ISNUMBER($E41),J$4&gt;=$D41,J$4&lt;=$E41,NETWORKDAYS(J$4,J$4,'Sources &amp; Change Log'!$J$2:$J$5)=1,COUNTIFS('Team Calendar'!$A$5:$A$14,$F41,'Team Calendar'!$C$5:$C$14,J$4,'Team Calendar'!$F$5:$F$14,"Personal absence")=0),1,"")</x:f>
        <x:v>1</x:v>
      </x:c>
      <x:c r="K41" s="211" t="str">
        <x:f>IF(AND(ISNUMBER($D41),ISNUMBER($E41),K$4&gt;=$D41,K$4&lt;=$E41,NETWORKDAYS(K$4,K$4,'Sources &amp; Change Log'!$J$2:$J$5)=1,COUNTIFS('Team Calendar'!$A$5:$A$14,$F41,'Team Calendar'!$C$5:$C$14,K$4,'Team Calendar'!$F$5:$F$14,"Personal absence")=0),1,"")</x:f>
      </x:c>
      <x:c r="L41" s="211" t="str">
        <x:f>IF(AND(ISNUMBER($D41),ISNUMBER($E41),L$4&gt;=$D41,L$4&lt;=$E41,NETWORKDAYS(L$4,L$4,'Sources &amp; Change Log'!$J$2:$J$5)=1,COUNTIFS('Team Calendar'!$A$5:$A$14,$F41,'Team Calendar'!$C$5:$C$14,L$4,'Team Calendar'!$F$5:$F$14,"Personal absence")=0),1,"")</x:f>
      </x:c>
      <x:c r="M41" s="211" t="str">
        <x:f>IF(AND(ISNUMBER($D41),ISNUMBER($E41),M$4&gt;=$D41,M$4&lt;=$E41,NETWORKDAYS(M$4,M$4,'Sources &amp; Change Log'!$J$2:$J$5)=1,COUNTIFS('Team Calendar'!$A$5:$A$14,$F41,'Team Calendar'!$C$5:$C$14,M$4,'Team Calendar'!$F$5:$F$14,"Personal absence")=0),1,"")</x:f>
      </x:c>
      <x:c r="N41" s="211" t="str">
        <x:f>IF(AND(ISNUMBER($D41),ISNUMBER($E41),N$4&gt;=$D41,N$4&lt;=$E41,NETWORKDAYS(N$4,N$4,'Sources &amp; Change Log'!$J$2:$J$5)=1,COUNTIFS('Team Calendar'!$A$5:$A$14,$F41,'Team Calendar'!$C$5:$C$14,N$4,'Team Calendar'!$F$5:$F$14,"Personal absence")=0),1,"")</x:f>
      </x:c>
      <x:c r="O41" s="211" t="str">
        <x:f>IF(AND(ISNUMBER($D41),ISNUMBER($E41),O$4&gt;=$D41,O$4&lt;=$E41,NETWORKDAYS(O$4,O$4,'Sources &amp; Change Log'!$J$2:$J$5)=1,COUNTIFS('Team Calendar'!$A$5:$A$14,$F41,'Team Calendar'!$C$5:$C$14,O$4,'Team Calendar'!$F$5:$F$14,"Personal absence")=0),1,"")</x:f>
      </x:c>
      <x:c r="P41" s="211" t="str">
        <x:f>IF(AND(ISNUMBER($D41),ISNUMBER($E41),P$4&gt;=$D41,P$4&lt;=$E41,NETWORKDAYS(P$4,P$4,'Sources &amp; Change Log'!$J$2:$J$5)=1,COUNTIFS('Team Calendar'!$A$5:$A$14,$F41,'Team Calendar'!$C$5:$C$14,P$4,'Team Calendar'!$F$5:$F$14,"Personal absence")=0),1,"")</x:f>
      </x:c>
      <x:c r="Q41" s="211" t="str">
        <x:f>IF(AND(ISNUMBER($D41),ISNUMBER($E41),Q$4&gt;=$D41,Q$4&lt;=$E41,NETWORKDAYS(Q$4,Q$4,'Sources &amp; Change Log'!$J$2:$J$5)=1,COUNTIFS('Team Calendar'!$A$5:$A$14,$F41,'Team Calendar'!$C$5:$C$14,Q$4,'Team Calendar'!$F$5:$F$14,"Personal absence")=0),1,"")</x:f>
      </x:c>
      <x:c r="R41" s="211" t="str">
        <x:f>IF(AND(ISNUMBER($D41),ISNUMBER($E41),R$4&gt;=$D41,R$4&lt;=$E41,NETWORKDAYS(R$4,R$4,'Sources &amp; Change Log'!$J$2:$J$5)=1,COUNTIFS('Team Calendar'!$A$5:$A$14,$F41,'Team Calendar'!$C$5:$C$14,R$4,'Team Calendar'!$F$5:$F$14,"Personal absence")=0),1,"")</x:f>
      </x:c>
      <x:c r="S41" s="211" t="str">
        <x:f>IF(AND(ISNUMBER($D41),ISNUMBER($E41),S$4&gt;=$D41,S$4&lt;=$E41,NETWORKDAYS(S$4,S$4,'Sources &amp; Change Log'!$J$2:$J$5)=1,COUNTIFS('Team Calendar'!$A$5:$A$14,$F41,'Team Calendar'!$C$5:$C$14,S$4,'Team Calendar'!$F$5:$F$14,"Personal absence")=0),1,"")</x:f>
      </x:c>
      <x:c r="T41" s="211" t="str">
        <x:f>IF(AND(ISNUMBER($D41),ISNUMBER($E41),T$4&gt;=$D41,T$4&lt;=$E41,NETWORKDAYS(T$4,T$4,'Sources &amp; Change Log'!$J$2:$J$5)=1,COUNTIFS('Team Calendar'!$A$5:$A$14,$F41,'Team Calendar'!$C$5:$C$14,T$4,'Team Calendar'!$F$5:$F$14,"Personal absence")=0),1,"")</x:f>
      </x:c>
      <x:c r="U41" s="211" t="str">
        <x:f>IF(AND(ISNUMBER($D41),ISNUMBER($E41),U$4&gt;=$D41,U$4&lt;=$E41,NETWORKDAYS(U$4,U$4,'Sources &amp; Change Log'!$J$2:$J$5)=1,COUNTIFS('Team Calendar'!$A$5:$A$14,$F41,'Team Calendar'!$C$5:$C$14,U$4,'Team Calendar'!$F$5:$F$14,"Personal absence")=0),1,"")</x:f>
      </x:c>
      <x:c r="V41" s="211" t="str">
        <x:f>IF(AND(ISNUMBER($D41),ISNUMBER($E41),V$4&gt;=$D41,V$4&lt;=$E41,NETWORKDAYS(V$4,V$4,'Sources &amp; Change Log'!$J$2:$J$5)=1,COUNTIFS('Team Calendar'!$A$5:$A$14,$F41,'Team Calendar'!$C$5:$C$14,V$4,'Team Calendar'!$F$5:$F$14,"Personal absence")=0),1,"")</x:f>
      </x:c>
      <x:c r="W41" s="211" t="str">
        <x:f>IF(AND(ISNUMBER($D41),ISNUMBER($E41),W$4&gt;=$D41,W$4&lt;=$E41,NETWORKDAYS(W$4,W$4,'Sources &amp; Change Log'!$J$2:$J$5)=1,COUNTIFS('Team Calendar'!$A$5:$A$14,$F41,'Team Calendar'!$C$5:$C$14,W$4,'Team Calendar'!$F$5:$F$14,"Personal absence")=0),1,"")</x:f>
      </x:c>
      <x:c r="X41" s="211" t="str">
        <x:f>IF(AND(ISNUMBER($D41),ISNUMBER($E41),X$4&gt;=$D41,X$4&lt;=$E41,NETWORKDAYS(X$4,X$4,'Sources &amp; Change Log'!$J$2:$J$5)=1,COUNTIFS('Team Calendar'!$A$5:$A$14,$F41,'Team Calendar'!$C$5:$C$14,X$4,'Team Calendar'!$F$5:$F$14,"Personal absence")=0),1,"")</x:f>
      </x:c>
      <x:c r="Y41" s="211" t="str">
        <x:f>IF(AND(ISNUMBER($D41),ISNUMBER($E41),Y$4&gt;=$D41,Y$4&lt;=$E41,NETWORKDAYS(Y$4,Y$4,'Sources &amp; Change Log'!$J$2:$J$5)=1,COUNTIFS('Team Calendar'!$A$5:$A$14,$F41,'Team Calendar'!$C$5:$C$14,Y$4,'Team Calendar'!$F$5:$F$14,"Personal absence")=0),1,"")</x:f>
      </x:c>
      <x:c r="Z41" s="211" t="str">
        <x:f>IF(AND(ISNUMBER($D41),ISNUMBER($E41),Z$4&gt;=$D41,Z$4&lt;=$E41,NETWORKDAYS(Z$4,Z$4,'Sources &amp; Change Log'!$J$2:$J$5)=1,COUNTIFS('Team Calendar'!$A$5:$A$14,$F41,'Team Calendar'!$C$5:$C$14,Z$4,'Team Calendar'!$F$5:$F$14,"Personal absence")=0),1,"")</x:f>
      </x:c>
      <x:c r="AA41" s="211" t="str">
        <x:f>IF(AND(ISNUMBER($D41),ISNUMBER($E41),AA$4&gt;=$D41,AA$4&lt;=$E41,NETWORKDAYS(AA$4,AA$4,'Sources &amp; Change Log'!$J$2:$J$5)=1,COUNTIFS('Team Calendar'!$A$5:$A$14,$F41,'Team Calendar'!$C$5:$C$14,AA$4,'Team Calendar'!$F$5:$F$14,"Personal absence")=0),1,"")</x:f>
      </x:c>
      <x:c r="AB41" s="211" t="str">
        <x:f>IF(AND(ISNUMBER($D41),ISNUMBER($E41),AB$4&gt;=$D41,AB$4&lt;=$E41,NETWORKDAYS(AB$4,AB$4,'Sources &amp; Change Log'!$J$2:$J$5)=1,COUNTIFS('Team Calendar'!$A$5:$A$14,$F41,'Team Calendar'!$C$5:$C$14,AB$4,'Team Calendar'!$F$5:$F$14,"Personal absence")=0),1,"")</x:f>
      </x:c>
      <x:c r="AC41" s="211" t="str">
        <x:f>IF(AND(ISNUMBER($D41),ISNUMBER($E41),AC$4&gt;=$D41,AC$4&lt;=$E41,NETWORKDAYS(AC$4,AC$4,'Sources &amp; Change Log'!$J$2:$J$5)=1,COUNTIFS('Team Calendar'!$A$5:$A$14,$F41,'Team Calendar'!$C$5:$C$14,AC$4,'Team Calendar'!$F$5:$F$14,"Personal absence")=0),1,"")</x:f>
      </x:c>
      <x:c r="AD41" s="211" t="str">
        <x:f>IF(AND(ISNUMBER($D41),ISNUMBER($E41),AD$4&gt;=$D41,AD$4&lt;=$E41,NETWORKDAYS(AD$4,AD$4,'Sources &amp; Change Log'!$J$2:$J$5)=1,COUNTIFS('Team Calendar'!$A$5:$A$14,$F41,'Team Calendar'!$C$5:$C$14,AD$4,'Team Calendar'!$F$5:$F$14,"Personal absence")=0),1,"")</x:f>
      </x:c>
      <x:c r="AE41" s="211" t="str">
        <x:f>IF(AND(ISNUMBER($D41),ISNUMBER($E41),AE$4&gt;=$D41,AE$4&lt;=$E41,NETWORKDAYS(AE$4,AE$4,'Sources &amp; Change Log'!$J$2:$J$5)=1,COUNTIFS('Team Calendar'!$A$5:$A$14,$F41,'Team Calendar'!$C$5:$C$14,AE$4,'Team Calendar'!$F$5:$F$14,"Personal absence")=0),1,"")</x:f>
      </x:c>
      <x:c r="AF41" s="211" t="str">
        <x:f>IF(AND(ISNUMBER($D41),ISNUMBER($E41),AF$4&gt;=$D41,AF$4&lt;=$E41,NETWORKDAYS(AF$4,AF$4,'Sources &amp; Change Log'!$J$2:$J$5)=1,COUNTIFS('Team Calendar'!$A$5:$A$14,$F41,'Team Calendar'!$C$5:$C$14,AF$4,'Team Calendar'!$F$5:$F$14,"Personal absence")=0),1,"")</x:f>
      </x:c>
      <x:c r="AG41" s="211" t="str">
        <x:f>IF(AND(ISNUMBER($D41),ISNUMBER($E41),AG$4&gt;=$D41,AG$4&lt;=$E41,NETWORKDAYS(AG$4,AG$4,'Sources &amp; Change Log'!$J$2:$J$5)=1,COUNTIFS('Team Calendar'!$A$5:$A$14,$F41,'Team Calendar'!$C$5:$C$14,AG$4,'Team Calendar'!$F$5:$F$14,"Personal absence")=0),1,"")</x:f>
      </x:c>
      <x:c r="AH41" s="211" t="str">
        <x:f>IF(AND(ISNUMBER($D41),ISNUMBER($E41),AH$4&gt;=$D41,AH$4&lt;=$E41,NETWORKDAYS(AH$4,AH$4,'Sources &amp; Change Log'!$J$2:$J$5)=1,COUNTIFS('Team Calendar'!$A$5:$A$14,$F41,'Team Calendar'!$C$5:$C$14,AH$4,'Team Calendar'!$F$5:$F$14,"Personal absence")=0),1,"")</x:f>
      </x:c>
      <x:c r="AI41" s="211" t="str">
        <x:f>IF(AND(ISNUMBER($D41),ISNUMBER($E41),AI$4&gt;=$D41,AI$4&lt;=$E41,NETWORKDAYS(AI$4,AI$4,'Sources &amp; Change Log'!$J$2:$J$5)=1,COUNTIFS('Team Calendar'!$A$5:$A$14,$F41,'Team Calendar'!$C$5:$C$14,AI$4,'Team Calendar'!$F$5:$F$14,"Personal absence")=0),1,"")</x:f>
      </x:c>
      <x:c r="AJ41" s="211" t="str">
        <x:f>IF(AND(ISNUMBER($D41),ISNUMBER($E41),AJ$4&gt;=$D41,AJ$4&lt;=$E41,NETWORKDAYS(AJ$4,AJ$4,'Sources &amp; Change Log'!$J$2:$J$5)=1,COUNTIFS('Team Calendar'!$A$5:$A$14,$F41,'Team Calendar'!$C$5:$C$14,AJ$4,'Team Calendar'!$F$5:$F$14,"Personal absence")=0),1,"")</x:f>
      </x:c>
      <x:c r="AK41" s="211" t="str">
        <x:f>IF(AND(ISNUMBER($D41),ISNUMBER($E41),AK$4&gt;=$D41,AK$4&lt;=$E41,NETWORKDAYS(AK$4,AK$4,'Sources &amp; Change Log'!$J$2:$J$5)=1,COUNTIFS('Team Calendar'!$A$5:$A$14,$F41,'Team Calendar'!$C$5:$C$14,AK$4,'Team Calendar'!$F$5:$F$14,"Personal absence")=0),1,"")</x:f>
      </x:c>
      <x:c r="AL41" s="211" t="str">
        <x:f>IF(AND(ISNUMBER($D41),ISNUMBER($E41),AL$4&gt;=$D41,AL$4&lt;=$E41,NETWORKDAYS(AL$4,AL$4,'Sources &amp; Change Log'!$J$2:$J$5)=1,COUNTIFS('Team Calendar'!$A$5:$A$14,$F41,'Team Calendar'!$C$5:$C$14,AL$4,'Team Calendar'!$F$5:$F$14,"Personal absence")=0),1,"")</x:f>
      </x:c>
      <x:c r="AM41" s="211" t="str">
        <x:f>IF(AND(ISNUMBER($D41),ISNUMBER($E41),AM$4&gt;=$D41,AM$4&lt;=$E41,NETWORKDAYS(AM$4,AM$4,'Sources &amp; Change Log'!$J$2:$J$5)=1,COUNTIFS('Team Calendar'!$A$5:$A$14,$F41,'Team Calendar'!$C$5:$C$14,AM$4,'Team Calendar'!$F$5:$F$14,"Personal absence")=0),1,"")</x:f>
      </x:c>
      <x:c r="AN41" s="211" t="str">
        <x:f>IF(AND(ISNUMBER($D41),ISNUMBER($E41),AN$4&gt;=$D41,AN$4&lt;=$E41,NETWORKDAYS(AN$4,AN$4,'Sources &amp; Change Log'!$J$2:$J$5)=1,COUNTIFS('Team Calendar'!$A$5:$A$14,$F41,'Team Calendar'!$C$5:$C$14,AN$4,'Team Calendar'!$F$5:$F$14,"Personal absence")=0),1,"")</x:f>
      </x:c>
      <x:c r="AO41" s="211" t="str">
        <x:f>IF(AND(ISNUMBER($D41),ISNUMBER($E41),AO$4&gt;=$D41,AO$4&lt;=$E41,NETWORKDAYS(AO$4,AO$4,'Sources &amp; Change Log'!$J$2:$J$5)=1,COUNTIFS('Team Calendar'!$A$5:$A$14,$F41,'Team Calendar'!$C$5:$C$14,AO$4,'Team Calendar'!$F$5:$F$14,"Personal absence")=0),1,"")</x:f>
      </x:c>
      <x:c r="AP41" s="211" t="str">
        <x:f>IF(AND(ISNUMBER($D41),ISNUMBER($E41),AP$4&gt;=$D41,AP$4&lt;=$E41,NETWORKDAYS(AP$4,AP$4,'Sources &amp; Change Log'!$J$2:$J$5)=1,COUNTIFS('Team Calendar'!$A$5:$A$14,$F41,'Team Calendar'!$C$5:$C$14,AP$4,'Team Calendar'!$F$5:$F$14,"Personal absence")=0),1,"")</x:f>
      </x:c>
      <x:c r="AQ41" s="211" t="str">
        <x:f>IF(AND(ISNUMBER($D41),ISNUMBER($E41),AQ$4&gt;=$D41,AQ$4&lt;=$E41,NETWORKDAYS(AQ$4,AQ$4,'Sources &amp; Change Log'!$J$2:$J$5)=1,COUNTIFS('Team Calendar'!$A$5:$A$14,$F41,'Team Calendar'!$C$5:$C$14,AQ$4,'Team Calendar'!$F$5:$F$14,"Personal absence")=0),1,"")</x:f>
      </x:c>
      <x:c r="AR41" s="211" t="str">
        <x:f>IF(AND(ISNUMBER($D41),ISNUMBER($E41),AR$4&gt;=$D41,AR$4&lt;=$E41,NETWORKDAYS(AR$4,AR$4,'Sources &amp; Change Log'!$J$2:$J$5)=1,COUNTIFS('Team Calendar'!$A$5:$A$14,$F41,'Team Calendar'!$C$5:$C$14,AR$4,'Team Calendar'!$F$5:$F$14,"Personal absence")=0),1,"")</x:f>
      </x:c>
      <x:c r="AS41" s="211" t="str">
        <x:f>IF(AND(ISNUMBER($D41),ISNUMBER($E41),AS$4&gt;=$D41,AS$4&lt;=$E41,NETWORKDAYS(AS$4,AS$4,'Sources &amp; Change Log'!$J$2:$J$5)=1,COUNTIFS('Team Calendar'!$A$5:$A$14,$F41,'Team Calendar'!$C$5:$C$14,AS$4,'Team Calendar'!$F$5:$F$14,"Personal absence")=0),1,"")</x:f>
      </x:c>
      <x:c r="AT41" s="211" t="str">
        <x:f>IF(AND(ISNUMBER($D41),ISNUMBER($E41),AT$4&gt;=$D41,AT$4&lt;=$E41,NETWORKDAYS(AT$4,AT$4,'Sources &amp; Change Log'!$J$2:$J$5)=1,COUNTIFS('Team Calendar'!$A$5:$A$14,$F41,'Team Calendar'!$C$5:$C$14,AT$4,'Team Calendar'!$F$5:$F$14,"Personal absence")=0),1,"")</x:f>
      </x:c>
      <x:c r="AU41" s="211" t="str">
        <x:f>IF(AND(ISNUMBER($D41),ISNUMBER($E41),AU$4&gt;=$D41,AU$4&lt;=$E41,NETWORKDAYS(AU$4,AU$4,'Sources &amp; Change Log'!$J$2:$J$5)=1,COUNTIFS('Team Calendar'!$A$5:$A$14,$F41,'Team Calendar'!$C$5:$C$14,AU$4,'Team Calendar'!$F$5:$F$14,"Personal absence")=0),1,"")</x:f>
      </x:c>
      <x:c r="AV41" s="211" t="str">
        <x:f>IF(AND(ISNUMBER($D41),ISNUMBER($E41),AV$4&gt;=$D41,AV$4&lt;=$E41,NETWORKDAYS(AV$4,AV$4,'Sources &amp; Change Log'!$J$2:$J$5)=1,COUNTIFS('Team Calendar'!$A$5:$A$14,$F41,'Team Calendar'!$C$5:$C$14,AV$4,'Team Calendar'!$F$5:$F$14,"Personal absence")=0),1,"")</x:f>
      </x:c>
      <x:c r="AW41" s="211" t="str">
        <x:f>IF(AND(ISNUMBER($D41),ISNUMBER($E41),AW$4&gt;=$D41,AW$4&lt;=$E41,NETWORKDAYS(AW$4,AW$4,'Sources &amp; Change Log'!$J$2:$J$5)=1,COUNTIFS('Team Calendar'!$A$5:$A$14,$F41,'Team Calendar'!$C$5:$C$14,AW$4,'Team Calendar'!$F$5:$F$14,"Personal absence")=0),1,"")</x:f>
      </x:c>
      <x:c r="AX41" s="211" t="str">
        <x:f>IF(AND(ISNUMBER($D41),ISNUMBER($E41),AX$4&gt;=$D41,AX$4&lt;=$E41,NETWORKDAYS(AX$4,AX$4,'Sources &amp; Change Log'!$J$2:$J$5)=1,COUNTIFS('Team Calendar'!$A$5:$A$14,$F41,'Team Calendar'!$C$5:$C$14,AX$4,'Team Calendar'!$F$5:$F$14,"Personal absence")=0),1,"")</x:f>
      </x:c>
      <x:c r="AY41" s="206"/>
      <x:c r="AZ41" s="206"/>
    </x:row>
    <x:row r="42" ht="30" customHeight="1">
      <x:c r="A42" s="198" t="str">
        <x:f>WBS!A72</x:f>
        <x:v>DEC-P1-MON-02</x:v>
      </x:c>
      <x:c r="B42" s="198" t="str">
        <x:f>WBS!B72</x:f>
        <x:v>Alertmanager Discord 제한 Egress·발송 범위·Secret Lifecycle 결정</x:v>
      </x:c>
      <x:c r="C42" s="198" t="str">
        <x:f>WBS!G72</x:f>
        <x:v>Done</x:v>
      </x:c>
      <x:c r="D42" s="226" t="n">
        <x:f>WBS!H72</x:f>
        <x:v>46291</x:v>
      </x:c>
      <x:c r="E42" s="226" t="n">
        <x:f>WBS!I72</x:f>
        <x:v>46291</x:v>
      </x:c>
      <x:c r="F42" t="str">
        <x:f>WBS!L72</x:f>
        <x:v>이권욱</x:v>
      </x:c>
      <x:c r="G42" s="211" t="str">
        <x:f>IF(AND(ISNUMBER($D42),ISNUMBER($E42),G$4&gt;=$D42,G$4&lt;=$E42,NETWORKDAYS(G$4,G$4,'Sources &amp; Change Log'!$J$2:$J$5)=1,COUNTIFS('Team Calendar'!$A$5:$A$14,$F42,'Team Calendar'!$C$5:$C$14,G$4,'Team Calendar'!$F$5:$F$14,"Personal absence")=0),1,"")</x:f>
      </x:c>
      <x:c r="H42" s="211" t="str">
        <x:f>IF(AND(ISNUMBER($D42),ISNUMBER($E42),H$4&gt;=$D42,H$4&lt;=$E42,NETWORKDAYS(H$4,H$4,'Sources &amp; Change Log'!$J$2:$J$5)=1,COUNTIFS('Team Calendar'!$A$5:$A$14,$F42,'Team Calendar'!$C$5:$C$14,H$4,'Team Calendar'!$F$5:$F$14,"Personal absence")=0),1,"")</x:f>
      </x:c>
      <x:c r="I42" s="211" t="str">
        <x:f>IF(AND(ISNUMBER($D42),ISNUMBER($E42),I$4&gt;=$D42,I$4&lt;=$E42,NETWORKDAYS(I$4,I$4,'Sources &amp; Change Log'!$J$2:$J$5)=1,COUNTIFS('Team Calendar'!$A$5:$A$14,$F42,'Team Calendar'!$C$5:$C$14,I$4,'Team Calendar'!$F$5:$F$14,"Personal absence")=0),1,"")</x:f>
      </x:c>
      <x:c r="J42" s="211" t="str">
        <x:f>IF(AND(ISNUMBER($D42),ISNUMBER($E42),J$4&gt;=$D42,J$4&lt;=$E42,NETWORKDAYS(J$4,J$4,'Sources &amp; Change Log'!$J$2:$J$5)=1,COUNTIFS('Team Calendar'!$A$5:$A$14,$F42,'Team Calendar'!$C$5:$C$14,J$4,'Team Calendar'!$F$5:$F$14,"Personal absence")=0),1,"")</x:f>
      </x:c>
      <x:c r="K42" s="211" t="str">
        <x:f>IF(AND(ISNUMBER($D42),ISNUMBER($E42),K$4&gt;=$D42,K$4&lt;=$E42,NETWORKDAYS(K$4,K$4,'Sources &amp; Change Log'!$J$2:$J$5)=1,COUNTIFS('Team Calendar'!$A$5:$A$14,$F42,'Team Calendar'!$C$5:$C$14,K$4,'Team Calendar'!$F$5:$F$14,"Personal absence")=0),1,"")</x:f>
      </x:c>
      <x:c r="L42" s="211" t="str">
        <x:f>IF(AND(ISNUMBER($D42),ISNUMBER($E42),L$4&gt;=$D42,L$4&lt;=$E42,NETWORKDAYS(L$4,L$4,'Sources &amp; Change Log'!$J$2:$J$5)=1,COUNTIFS('Team Calendar'!$A$5:$A$14,$F42,'Team Calendar'!$C$5:$C$14,L$4,'Team Calendar'!$F$5:$F$14,"Personal absence")=0),1,"")</x:f>
      </x:c>
      <x:c r="M42" s="211" t="str">
        <x:f>IF(AND(ISNUMBER($D42),ISNUMBER($E42),M$4&gt;=$D42,M$4&lt;=$E42,NETWORKDAYS(M$4,M$4,'Sources &amp; Change Log'!$J$2:$J$5)=1,COUNTIFS('Team Calendar'!$A$5:$A$14,$F42,'Team Calendar'!$C$5:$C$14,M$4,'Team Calendar'!$F$5:$F$14,"Personal absence")=0),1,"")</x:f>
      </x:c>
      <x:c r="N42" s="211" t="str">
        <x:f>IF(AND(ISNUMBER($D42),ISNUMBER($E42),N$4&gt;=$D42,N$4&lt;=$E42,NETWORKDAYS(N$4,N$4,'Sources &amp; Change Log'!$J$2:$J$5)=1,COUNTIFS('Team Calendar'!$A$5:$A$14,$F42,'Team Calendar'!$C$5:$C$14,N$4,'Team Calendar'!$F$5:$F$14,"Personal absence")=0),1,"")</x:f>
      </x:c>
      <x:c r="O42" s="211" t="str">
        <x:f>IF(AND(ISNUMBER($D42),ISNUMBER($E42),O$4&gt;=$D42,O$4&lt;=$E42,NETWORKDAYS(O$4,O$4,'Sources &amp; Change Log'!$J$2:$J$5)=1,COUNTIFS('Team Calendar'!$A$5:$A$14,$F42,'Team Calendar'!$C$5:$C$14,O$4,'Team Calendar'!$F$5:$F$14,"Personal absence")=0),1,"")</x:f>
      </x:c>
      <x:c r="P42" s="211" t="str">
        <x:f>IF(AND(ISNUMBER($D42),ISNUMBER($E42),P$4&gt;=$D42,P$4&lt;=$E42,NETWORKDAYS(P$4,P$4,'Sources &amp; Change Log'!$J$2:$J$5)=1,COUNTIFS('Team Calendar'!$A$5:$A$14,$F42,'Team Calendar'!$C$5:$C$14,P$4,'Team Calendar'!$F$5:$F$14,"Personal absence")=0),1,"")</x:f>
      </x:c>
      <x:c r="Q42" s="211" t="str">
        <x:f>IF(AND(ISNUMBER($D42),ISNUMBER($E42),Q$4&gt;=$D42,Q$4&lt;=$E42,NETWORKDAYS(Q$4,Q$4,'Sources &amp; Change Log'!$J$2:$J$5)=1,COUNTIFS('Team Calendar'!$A$5:$A$14,$F42,'Team Calendar'!$C$5:$C$14,Q$4,'Team Calendar'!$F$5:$F$14,"Personal absence")=0),1,"")</x:f>
      </x:c>
      <x:c r="R42" s="211" t="str">
        <x:f>IF(AND(ISNUMBER($D42),ISNUMBER($E42),R$4&gt;=$D42,R$4&lt;=$E42,NETWORKDAYS(R$4,R$4,'Sources &amp; Change Log'!$J$2:$J$5)=1,COUNTIFS('Team Calendar'!$A$5:$A$14,$F42,'Team Calendar'!$C$5:$C$14,R$4,'Team Calendar'!$F$5:$F$14,"Personal absence")=0),1,"")</x:f>
      </x:c>
      <x:c r="S42" s="211" t="str">
        <x:f>IF(AND(ISNUMBER($D42),ISNUMBER($E42),S$4&gt;=$D42,S$4&lt;=$E42,NETWORKDAYS(S$4,S$4,'Sources &amp; Change Log'!$J$2:$J$5)=1,COUNTIFS('Team Calendar'!$A$5:$A$14,$F42,'Team Calendar'!$C$5:$C$14,S$4,'Team Calendar'!$F$5:$F$14,"Personal absence")=0),1,"")</x:f>
      </x:c>
      <x:c r="T42" s="211" t="str">
        <x:f>IF(AND(ISNUMBER($D42),ISNUMBER($E42),T$4&gt;=$D42,T$4&lt;=$E42,NETWORKDAYS(T$4,T$4,'Sources &amp; Change Log'!$J$2:$J$5)=1,COUNTIFS('Team Calendar'!$A$5:$A$14,$F42,'Team Calendar'!$C$5:$C$14,T$4,'Team Calendar'!$F$5:$F$14,"Personal absence")=0),1,"")</x:f>
      </x:c>
      <x:c r="U42" s="211" t="str">
        <x:f>IF(AND(ISNUMBER($D42),ISNUMBER($E42),U$4&gt;=$D42,U$4&lt;=$E42,NETWORKDAYS(U$4,U$4,'Sources &amp; Change Log'!$J$2:$J$5)=1,COUNTIFS('Team Calendar'!$A$5:$A$14,$F42,'Team Calendar'!$C$5:$C$14,U$4,'Team Calendar'!$F$5:$F$14,"Personal absence")=0),1,"")</x:f>
      </x:c>
      <x:c r="V42" s="211" t="str">
        <x:f>IF(AND(ISNUMBER($D42),ISNUMBER($E42),V$4&gt;=$D42,V$4&lt;=$E42,NETWORKDAYS(V$4,V$4,'Sources &amp; Change Log'!$J$2:$J$5)=1,COUNTIFS('Team Calendar'!$A$5:$A$14,$F42,'Team Calendar'!$C$5:$C$14,V$4,'Team Calendar'!$F$5:$F$14,"Personal absence")=0),1,"")</x:f>
      </x:c>
      <x:c r="W42" s="211" t="str">
        <x:f>IF(AND(ISNUMBER($D42),ISNUMBER($E42),W$4&gt;=$D42,W$4&lt;=$E42,NETWORKDAYS(W$4,W$4,'Sources &amp; Change Log'!$J$2:$J$5)=1,COUNTIFS('Team Calendar'!$A$5:$A$14,$F42,'Team Calendar'!$C$5:$C$14,W$4,'Team Calendar'!$F$5:$F$14,"Personal absence")=0),1,"")</x:f>
      </x:c>
      <x:c r="X42" s="211" t="str">
        <x:f>IF(AND(ISNUMBER($D42),ISNUMBER($E42),X$4&gt;=$D42,X$4&lt;=$E42,NETWORKDAYS(X$4,X$4,'Sources &amp; Change Log'!$J$2:$J$5)=1,COUNTIFS('Team Calendar'!$A$5:$A$14,$F42,'Team Calendar'!$C$5:$C$14,X$4,'Team Calendar'!$F$5:$F$14,"Personal absence")=0),1,"")</x:f>
      </x:c>
      <x:c r="Y42" s="211" t="str">
        <x:f>IF(AND(ISNUMBER($D42),ISNUMBER($E42),Y$4&gt;=$D42,Y$4&lt;=$E42,NETWORKDAYS(Y$4,Y$4,'Sources &amp; Change Log'!$J$2:$J$5)=1,COUNTIFS('Team Calendar'!$A$5:$A$14,$F42,'Team Calendar'!$C$5:$C$14,Y$4,'Team Calendar'!$F$5:$F$14,"Personal absence")=0),1,"")</x:f>
      </x:c>
      <x:c r="Z42" s="211" t="str">
        <x:f>IF(AND(ISNUMBER($D42),ISNUMBER($E42),Z$4&gt;=$D42,Z$4&lt;=$E42,NETWORKDAYS(Z$4,Z$4,'Sources &amp; Change Log'!$J$2:$J$5)=1,COUNTIFS('Team Calendar'!$A$5:$A$14,$F42,'Team Calendar'!$C$5:$C$14,Z$4,'Team Calendar'!$F$5:$F$14,"Personal absence")=0),1,"")</x:f>
      </x:c>
      <x:c r="AA42" s="211" t="str">
        <x:f>IF(AND(ISNUMBER($D42),ISNUMBER($E42),AA$4&gt;=$D42,AA$4&lt;=$E42,NETWORKDAYS(AA$4,AA$4,'Sources &amp; Change Log'!$J$2:$J$5)=1,COUNTIFS('Team Calendar'!$A$5:$A$14,$F42,'Team Calendar'!$C$5:$C$14,AA$4,'Team Calendar'!$F$5:$F$14,"Personal absence")=0),1,"")</x:f>
      </x:c>
      <x:c r="AB42" s="211" t="str">
        <x:f>IF(AND(ISNUMBER($D42),ISNUMBER($E42),AB$4&gt;=$D42,AB$4&lt;=$E42,NETWORKDAYS(AB$4,AB$4,'Sources &amp; Change Log'!$J$2:$J$5)=1,COUNTIFS('Team Calendar'!$A$5:$A$14,$F42,'Team Calendar'!$C$5:$C$14,AB$4,'Team Calendar'!$F$5:$F$14,"Personal absence")=0),1,"")</x:f>
      </x:c>
      <x:c r="AC42" s="211" t="str">
        <x:f>IF(AND(ISNUMBER($D42),ISNUMBER($E42),AC$4&gt;=$D42,AC$4&lt;=$E42,NETWORKDAYS(AC$4,AC$4,'Sources &amp; Change Log'!$J$2:$J$5)=1,COUNTIFS('Team Calendar'!$A$5:$A$14,$F42,'Team Calendar'!$C$5:$C$14,AC$4,'Team Calendar'!$F$5:$F$14,"Personal absence")=0),1,"")</x:f>
      </x:c>
      <x:c r="AD42" s="211" t="str">
        <x:f>IF(AND(ISNUMBER($D42),ISNUMBER($E42),AD$4&gt;=$D42,AD$4&lt;=$E42,NETWORKDAYS(AD$4,AD$4,'Sources &amp; Change Log'!$J$2:$J$5)=1,COUNTIFS('Team Calendar'!$A$5:$A$14,$F42,'Team Calendar'!$C$5:$C$14,AD$4,'Team Calendar'!$F$5:$F$14,"Personal absence")=0),1,"")</x:f>
      </x:c>
      <x:c r="AE42" s="211" t="str">
        <x:f>IF(AND(ISNUMBER($D42),ISNUMBER($E42),AE$4&gt;=$D42,AE$4&lt;=$E42,NETWORKDAYS(AE$4,AE$4,'Sources &amp; Change Log'!$J$2:$J$5)=1,COUNTIFS('Team Calendar'!$A$5:$A$14,$F42,'Team Calendar'!$C$5:$C$14,AE$4,'Team Calendar'!$F$5:$F$14,"Personal absence")=0),1,"")</x:f>
      </x:c>
      <x:c r="AF42" s="211" t="str">
        <x:f>IF(AND(ISNUMBER($D42),ISNUMBER($E42),AF$4&gt;=$D42,AF$4&lt;=$E42,NETWORKDAYS(AF$4,AF$4,'Sources &amp; Change Log'!$J$2:$J$5)=1,COUNTIFS('Team Calendar'!$A$5:$A$14,$F42,'Team Calendar'!$C$5:$C$14,AF$4,'Team Calendar'!$F$5:$F$14,"Personal absence")=0),1,"")</x:f>
      </x:c>
      <x:c r="AG42" s="211" t="str">
        <x:f>IF(AND(ISNUMBER($D42),ISNUMBER($E42),AG$4&gt;=$D42,AG$4&lt;=$E42,NETWORKDAYS(AG$4,AG$4,'Sources &amp; Change Log'!$J$2:$J$5)=1,COUNTIFS('Team Calendar'!$A$5:$A$14,$F42,'Team Calendar'!$C$5:$C$14,AG$4,'Team Calendar'!$F$5:$F$14,"Personal absence")=0),1,"")</x:f>
      </x:c>
      <x:c r="AH42" s="211" t="str">
        <x:f>IF(AND(ISNUMBER($D42),ISNUMBER($E42),AH$4&gt;=$D42,AH$4&lt;=$E42,NETWORKDAYS(AH$4,AH$4,'Sources &amp; Change Log'!$J$2:$J$5)=1,COUNTIFS('Team Calendar'!$A$5:$A$14,$F42,'Team Calendar'!$C$5:$C$14,AH$4,'Team Calendar'!$F$5:$F$14,"Personal absence")=0),1,"")</x:f>
      </x:c>
      <x:c r="AI42" s="211" t="str">
        <x:f>IF(AND(ISNUMBER($D42),ISNUMBER($E42),AI$4&gt;=$D42,AI$4&lt;=$E42,NETWORKDAYS(AI$4,AI$4,'Sources &amp; Change Log'!$J$2:$J$5)=1,COUNTIFS('Team Calendar'!$A$5:$A$14,$F42,'Team Calendar'!$C$5:$C$14,AI$4,'Team Calendar'!$F$5:$F$14,"Personal absence")=0),1,"")</x:f>
      </x:c>
      <x:c r="AJ42" s="211" t="str">
        <x:f>IF(AND(ISNUMBER($D42),ISNUMBER($E42),AJ$4&gt;=$D42,AJ$4&lt;=$E42,NETWORKDAYS(AJ$4,AJ$4,'Sources &amp; Change Log'!$J$2:$J$5)=1,COUNTIFS('Team Calendar'!$A$5:$A$14,$F42,'Team Calendar'!$C$5:$C$14,AJ$4,'Team Calendar'!$F$5:$F$14,"Personal absence")=0),1,"")</x:f>
      </x:c>
      <x:c r="AK42" s="211" t="str">
        <x:f>IF(AND(ISNUMBER($D42),ISNUMBER($E42),AK$4&gt;=$D42,AK$4&lt;=$E42,NETWORKDAYS(AK$4,AK$4,'Sources &amp; Change Log'!$J$2:$J$5)=1,COUNTIFS('Team Calendar'!$A$5:$A$14,$F42,'Team Calendar'!$C$5:$C$14,AK$4,'Team Calendar'!$F$5:$F$14,"Personal absence")=0),1,"")</x:f>
      </x:c>
      <x:c r="AL42" s="211" t="str">
        <x:f>IF(AND(ISNUMBER($D42),ISNUMBER($E42),AL$4&gt;=$D42,AL$4&lt;=$E42,NETWORKDAYS(AL$4,AL$4,'Sources &amp; Change Log'!$J$2:$J$5)=1,COUNTIFS('Team Calendar'!$A$5:$A$14,$F42,'Team Calendar'!$C$5:$C$14,AL$4,'Team Calendar'!$F$5:$F$14,"Personal absence")=0),1,"")</x:f>
      </x:c>
      <x:c r="AM42" s="211" t="str">
        <x:f>IF(AND(ISNUMBER($D42),ISNUMBER($E42),AM$4&gt;=$D42,AM$4&lt;=$E42,NETWORKDAYS(AM$4,AM$4,'Sources &amp; Change Log'!$J$2:$J$5)=1,COUNTIFS('Team Calendar'!$A$5:$A$14,$F42,'Team Calendar'!$C$5:$C$14,AM$4,'Team Calendar'!$F$5:$F$14,"Personal absence")=0),1,"")</x:f>
      </x:c>
      <x:c r="AN42" s="211" t="str">
        <x:f>IF(AND(ISNUMBER($D42),ISNUMBER($E42),AN$4&gt;=$D42,AN$4&lt;=$E42,NETWORKDAYS(AN$4,AN$4,'Sources &amp; Change Log'!$J$2:$J$5)=1,COUNTIFS('Team Calendar'!$A$5:$A$14,$F42,'Team Calendar'!$C$5:$C$14,AN$4,'Team Calendar'!$F$5:$F$14,"Personal absence")=0),1,"")</x:f>
      </x:c>
      <x:c r="AO42" s="211" t="str">
        <x:f>IF(AND(ISNUMBER($D42),ISNUMBER($E42),AO$4&gt;=$D42,AO$4&lt;=$E42,NETWORKDAYS(AO$4,AO$4,'Sources &amp; Change Log'!$J$2:$J$5)=1,COUNTIFS('Team Calendar'!$A$5:$A$14,$F42,'Team Calendar'!$C$5:$C$14,AO$4,'Team Calendar'!$F$5:$F$14,"Personal absence")=0),1,"")</x:f>
      </x:c>
      <x:c r="AP42" s="211" t="str">
        <x:f>IF(AND(ISNUMBER($D42),ISNUMBER($E42),AP$4&gt;=$D42,AP$4&lt;=$E42,NETWORKDAYS(AP$4,AP$4,'Sources &amp; Change Log'!$J$2:$J$5)=1,COUNTIFS('Team Calendar'!$A$5:$A$14,$F42,'Team Calendar'!$C$5:$C$14,AP$4,'Team Calendar'!$F$5:$F$14,"Personal absence")=0),1,"")</x:f>
      </x:c>
      <x:c r="AQ42" s="211" t="str">
        <x:f>IF(AND(ISNUMBER($D42),ISNUMBER($E42),AQ$4&gt;=$D42,AQ$4&lt;=$E42,NETWORKDAYS(AQ$4,AQ$4,'Sources &amp; Change Log'!$J$2:$J$5)=1,COUNTIFS('Team Calendar'!$A$5:$A$14,$F42,'Team Calendar'!$C$5:$C$14,AQ$4,'Team Calendar'!$F$5:$F$14,"Personal absence")=0),1,"")</x:f>
      </x:c>
      <x:c r="AR42" s="211" t="str">
        <x:f>IF(AND(ISNUMBER($D42),ISNUMBER($E42),AR$4&gt;=$D42,AR$4&lt;=$E42,NETWORKDAYS(AR$4,AR$4,'Sources &amp; Change Log'!$J$2:$J$5)=1,COUNTIFS('Team Calendar'!$A$5:$A$14,$F42,'Team Calendar'!$C$5:$C$14,AR$4,'Team Calendar'!$F$5:$F$14,"Personal absence")=0),1,"")</x:f>
      </x:c>
      <x:c r="AS42" s="211" t="str">
        <x:f>IF(AND(ISNUMBER($D42),ISNUMBER($E42),AS$4&gt;=$D42,AS$4&lt;=$E42,NETWORKDAYS(AS$4,AS$4,'Sources &amp; Change Log'!$J$2:$J$5)=1,COUNTIFS('Team Calendar'!$A$5:$A$14,$F42,'Team Calendar'!$C$5:$C$14,AS$4,'Team Calendar'!$F$5:$F$14,"Personal absence")=0),1,"")</x:f>
      </x:c>
      <x:c r="AT42" s="211" t="str">
        <x:f>IF(AND(ISNUMBER($D42),ISNUMBER($E42),AT$4&gt;=$D42,AT$4&lt;=$E42,NETWORKDAYS(AT$4,AT$4,'Sources &amp; Change Log'!$J$2:$J$5)=1,COUNTIFS('Team Calendar'!$A$5:$A$14,$F42,'Team Calendar'!$C$5:$C$14,AT$4,'Team Calendar'!$F$5:$F$14,"Personal absence")=0),1,"")</x:f>
      </x:c>
      <x:c r="AU42" s="211" t="str">
        <x:f>IF(AND(ISNUMBER($D42),ISNUMBER($E42),AU$4&gt;=$D42,AU$4&lt;=$E42,NETWORKDAYS(AU$4,AU$4,'Sources &amp; Change Log'!$J$2:$J$5)=1,COUNTIFS('Team Calendar'!$A$5:$A$14,$F42,'Team Calendar'!$C$5:$C$14,AU$4,'Team Calendar'!$F$5:$F$14,"Personal absence")=0),1,"")</x:f>
      </x:c>
      <x:c r="AV42" s="211" t="str">
        <x:f>IF(AND(ISNUMBER($D42),ISNUMBER($E42),AV$4&gt;=$D42,AV$4&lt;=$E42,NETWORKDAYS(AV$4,AV$4,'Sources &amp; Change Log'!$J$2:$J$5)=1,COUNTIFS('Team Calendar'!$A$5:$A$14,$F42,'Team Calendar'!$C$5:$C$14,AV$4,'Team Calendar'!$F$5:$F$14,"Personal absence")=0),1,"")</x:f>
      </x:c>
      <x:c r="AW42" s="211" t="str">
        <x:f>IF(AND(ISNUMBER($D42),ISNUMBER($E42),AW$4&gt;=$D42,AW$4&lt;=$E42,NETWORKDAYS(AW$4,AW$4,'Sources &amp; Change Log'!$J$2:$J$5)=1,COUNTIFS('Team Calendar'!$A$5:$A$14,$F42,'Team Calendar'!$C$5:$C$14,AW$4,'Team Calendar'!$F$5:$F$14,"Personal absence")=0),1,"")</x:f>
      </x:c>
      <x:c r="AX42" s="211" t="str">
        <x:f>IF(AND(ISNUMBER($D42),ISNUMBER($E42),AX$4&gt;=$D42,AX$4&lt;=$E42,NETWORKDAYS(AX$4,AX$4,'Sources &amp; Change Log'!$J$2:$J$5)=1,COUNTIFS('Team Calendar'!$A$5:$A$14,$F42,'Team Calendar'!$C$5:$C$14,AX$4,'Team Calendar'!$F$5:$F$14,"Personal absence")=0),1,"")</x:f>
      </x:c>
      <x:c r="AY42" s="206"/>
      <x:c r="AZ42" s="206"/>
    </x:row>
    <x:row r="43" ht="30" customHeight="1">
      <x:c r="A43" s="198" t="str">
        <x:f>WBS!A73</x:f>
        <x:v>DEC-P1-IMG-01</x:v>
      </x:c>
      <x:c r="B43" s="198" t="str">
        <x:f>WBS!B73</x:f>
        <x:v>1단계 애플리케이션 런타임 이미지 공급망 변경 결정</x:v>
      </x:c>
      <x:c r="C43" s="198" t="str">
        <x:f>WBS!G73</x:f>
        <x:v>Done</x:v>
      </x:c>
      <x:c r="D43" s="226" t="n">
        <x:f>WBS!H73</x:f>
        <x:v>46292</x:v>
      </x:c>
      <x:c r="E43" s="226" t="n">
        <x:f>WBS!I73</x:f>
        <x:v>46301</x:v>
      </x:c>
      <x:c r="F43" t="str">
        <x:f>WBS!L73</x:f>
        <x:v>이재환</x:v>
      </x:c>
      <x:c r="G43" s="211" t="str">
        <x:f>IF(AND(ISNUMBER($D43),ISNUMBER($E43),G$4&gt;=$D43,G$4&lt;=$E43,NETWORKDAYS(G$4,G$4,'Sources &amp; Change Log'!$J$2:$J$5)=1,COUNTIFS('Team Calendar'!$A$5:$A$14,$F43,'Team Calendar'!$C$5:$C$14,G$4,'Team Calendar'!$F$5:$F$14,"Personal absence")=0),1,"")</x:f>
      </x:c>
      <x:c r="H43" s="211" t="str">
        <x:f>IF(AND(ISNUMBER($D43),ISNUMBER($E43),H$4&gt;=$D43,H$4&lt;=$E43,NETWORKDAYS(H$4,H$4,'Sources &amp; Change Log'!$J$2:$J$5)=1,COUNTIFS('Team Calendar'!$A$5:$A$14,$F43,'Team Calendar'!$C$5:$C$14,H$4,'Team Calendar'!$F$5:$F$14,"Personal absence")=0),1,"")</x:f>
      </x:c>
      <x:c r="I43" s="211" t="str">
        <x:f>IF(AND(ISNUMBER($D43),ISNUMBER($E43),I$4&gt;=$D43,I$4&lt;=$E43,NETWORKDAYS(I$4,I$4,'Sources &amp; Change Log'!$J$2:$J$5)=1,COUNTIFS('Team Calendar'!$A$5:$A$14,$F43,'Team Calendar'!$C$5:$C$14,I$4,'Team Calendar'!$F$5:$F$14,"Personal absence")=0),1,"")</x:f>
      </x:c>
      <x:c r="J43" s="211" t="str">
        <x:f>IF(AND(ISNUMBER($D43),ISNUMBER($E43),J$4&gt;=$D43,J$4&lt;=$E43,NETWORKDAYS(J$4,J$4,'Sources &amp; Change Log'!$J$2:$J$5)=1,COUNTIFS('Team Calendar'!$A$5:$A$14,$F43,'Team Calendar'!$C$5:$C$14,J$4,'Team Calendar'!$F$5:$F$14,"Personal absence")=0),1,"")</x:f>
      </x:c>
      <x:c r="K43" s="211" t="str">
        <x:f>IF(AND(ISNUMBER($D43),ISNUMBER($E43),K$4&gt;=$D43,K$4&lt;=$E43,NETWORKDAYS(K$4,K$4,'Sources &amp; Change Log'!$J$2:$J$5)=1,COUNTIFS('Team Calendar'!$A$5:$A$14,$F43,'Team Calendar'!$C$5:$C$14,K$4,'Team Calendar'!$F$5:$F$14,"Personal absence")=0),1,"")</x:f>
      </x:c>
      <x:c r="L43" s="211" t="str">
        <x:f>IF(AND(ISNUMBER($D43),ISNUMBER($E43),L$4&gt;=$D43,L$4&lt;=$E43,NETWORKDAYS(L$4,L$4,'Sources &amp; Change Log'!$J$2:$J$5)=1,COUNTIFS('Team Calendar'!$A$5:$A$14,$F43,'Team Calendar'!$C$5:$C$14,L$4,'Team Calendar'!$F$5:$F$14,"Personal absence")=0),1,"")</x:f>
      </x:c>
      <x:c r="M43" s="211" t="str">
        <x:f>IF(AND(ISNUMBER($D43),ISNUMBER($E43),M$4&gt;=$D43,M$4&lt;=$E43,NETWORKDAYS(M$4,M$4,'Sources &amp; Change Log'!$J$2:$J$5)=1,COUNTIFS('Team Calendar'!$A$5:$A$14,$F43,'Team Calendar'!$C$5:$C$14,M$4,'Team Calendar'!$F$5:$F$14,"Personal absence")=0),1,"")</x:f>
      </x:c>
      <x:c r="N43" s="211" t="str">
        <x:f>IF(AND(ISNUMBER($D43),ISNUMBER($E43),N$4&gt;=$D43,N$4&lt;=$E43,NETWORKDAYS(N$4,N$4,'Sources &amp; Change Log'!$J$2:$J$5)=1,COUNTIFS('Team Calendar'!$A$5:$A$14,$F43,'Team Calendar'!$C$5:$C$14,N$4,'Team Calendar'!$F$5:$F$14,"Personal absence")=0),1,"")</x:f>
      </x:c>
      <x:c r="O43" s="211" t="str">
        <x:f>IF(AND(ISNUMBER($D43),ISNUMBER($E43),O$4&gt;=$D43,O$4&lt;=$E43,NETWORKDAYS(O$4,O$4,'Sources &amp; Change Log'!$J$2:$J$5)=1,COUNTIFS('Team Calendar'!$A$5:$A$14,$F43,'Team Calendar'!$C$5:$C$14,O$4,'Team Calendar'!$F$5:$F$14,"Personal absence")=0),1,"")</x:f>
      </x:c>
      <x:c r="P43" s="211" t="str">
        <x:f>IF(AND(ISNUMBER($D43),ISNUMBER($E43),P$4&gt;=$D43,P$4&lt;=$E43,NETWORKDAYS(P$4,P$4,'Sources &amp; Change Log'!$J$2:$J$5)=1,COUNTIFS('Team Calendar'!$A$5:$A$14,$F43,'Team Calendar'!$C$5:$C$14,P$4,'Team Calendar'!$F$5:$F$14,"Personal absence")=0),1,"")</x:f>
      </x:c>
      <x:c r="Q43" s="211" t="str">
        <x:f>IF(AND(ISNUMBER($D43),ISNUMBER($E43),Q$4&gt;=$D43,Q$4&lt;=$E43,NETWORKDAYS(Q$4,Q$4,'Sources &amp; Change Log'!$J$2:$J$5)=1,COUNTIFS('Team Calendar'!$A$5:$A$14,$F43,'Team Calendar'!$C$5:$C$14,Q$4,'Team Calendar'!$F$5:$F$14,"Personal absence")=0),1,"")</x:f>
      </x:c>
      <x:c r="R43" s="211" t="str">
        <x:f>IF(AND(ISNUMBER($D43),ISNUMBER($E43),R$4&gt;=$D43,R$4&lt;=$E43,NETWORKDAYS(R$4,R$4,'Sources &amp; Change Log'!$J$2:$J$5)=1,COUNTIFS('Team Calendar'!$A$5:$A$14,$F43,'Team Calendar'!$C$5:$C$14,R$4,'Team Calendar'!$F$5:$F$14,"Personal absence")=0),1,"")</x:f>
      </x:c>
      <x:c r="S43" s="211" t="str">
        <x:f>IF(AND(ISNUMBER($D43),ISNUMBER($E43),S$4&gt;=$D43,S$4&lt;=$E43,NETWORKDAYS(S$4,S$4,'Sources &amp; Change Log'!$J$2:$J$5)=1,COUNTIFS('Team Calendar'!$A$5:$A$14,$F43,'Team Calendar'!$C$5:$C$14,S$4,'Team Calendar'!$F$5:$F$14,"Personal absence")=0),1,"")</x:f>
      </x:c>
      <x:c r="T43" s="211" t="str">
        <x:f>IF(AND(ISNUMBER($D43),ISNUMBER($E43),T$4&gt;=$D43,T$4&lt;=$E43,NETWORKDAYS(T$4,T$4,'Sources &amp; Change Log'!$J$2:$J$5)=1,COUNTIFS('Team Calendar'!$A$5:$A$14,$F43,'Team Calendar'!$C$5:$C$14,T$4,'Team Calendar'!$F$5:$F$14,"Personal absence")=0),1,"")</x:f>
      </x:c>
      <x:c r="U43" s="211" t="str">
        <x:f>IF(AND(ISNUMBER($D43),ISNUMBER($E43),U$4&gt;=$D43,U$4&lt;=$E43,NETWORKDAYS(U$4,U$4,'Sources &amp; Change Log'!$J$2:$J$5)=1,COUNTIFS('Team Calendar'!$A$5:$A$14,$F43,'Team Calendar'!$C$5:$C$14,U$4,'Team Calendar'!$F$5:$F$14,"Personal absence")=0),1,"")</x:f>
      </x:c>
      <x:c r="V43" s="211" t="str">
        <x:f>IF(AND(ISNUMBER($D43),ISNUMBER($E43),V$4&gt;=$D43,V$4&lt;=$E43,NETWORKDAYS(V$4,V$4,'Sources &amp; Change Log'!$J$2:$J$5)=1,COUNTIFS('Team Calendar'!$A$5:$A$14,$F43,'Team Calendar'!$C$5:$C$14,V$4,'Team Calendar'!$F$5:$F$14,"Personal absence")=0),1,"")</x:f>
      </x:c>
      <x:c r="W43" s="211" t="str">
        <x:f>IF(AND(ISNUMBER($D43),ISNUMBER($E43),W$4&gt;=$D43,W$4&lt;=$E43,NETWORKDAYS(W$4,W$4,'Sources &amp; Change Log'!$J$2:$J$5)=1,COUNTIFS('Team Calendar'!$A$5:$A$14,$F43,'Team Calendar'!$C$5:$C$14,W$4,'Team Calendar'!$F$5:$F$14,"Personal absence")=0),1,"")</x:f>
      </x:c>
      <x:c r="X43" s="211" t="str">
        <x:f>IF(AND(ISNUMBER($D43),ISNUMBER($E43),X$4&gt;=$D43,X$4&lt;=$E43,NETWORKDAYS(X$4,X$4,'Sources &amp; Change Log'!$J$2:$J$5)=1,COUNTIFS('Team Calendar'!$A$5:$A$14,$F43,'Team Calendar'!$C$5:$C$14,X$4,'Team Calendar'!$F$5:$F$14,"Personal absence")=0),1,"")</x:f>
      </x:c>
      <x:c r="Y43" s="211" t="str">
        <x:f>IF(AND(ISNUMBER($D43),ISNUMBER($E43),Y$4&gt;=$D43,Y$4&lt;=$E43,NETWORKDAYS(Y$4,Y$4,'Sources &amp; Change Log'!$J$2:$J$5)=1,COUNTIFS('Team Calendar'!$A$5:$A$14,$F43,'Team Calendar'!$C$5:$C$14,Y$4,'Team Calendar'!$F$5:$F$14,"Personal absence")=0),1,"")</x:f>
      </x:c>
      <x:c r="Z43" s="211" t="str">
        <x:f>IF(AND(ISNUMBER($D43),ISNUMBER($E43),Z$4&gt;=$D43,Z$4&lt;=$E43,NETWORKDAYS(Z$4,Z$4,'Sources &amp; Change Log'!$J$2:$J$5)=1,COUNTIFS('Team Calendar'!$A$5:$A$14,$F43,'Team Calendar'!$C$5:$C$14,Z$4,'Team Calendar'!$F$5:$F$14,"Personal absence")=0),1,"")</x:f>
      </x:c>
      <x:c r="AA43" s="211" t="str">
        <x:f>IF(AND(ISNUMBER($D43),ISNUMBER($E43),AA$4&gt;=$D43,AA$4&lt;=$E43,NETWORKDAYS(AA$4,AA$4,'Sources &amp; Change Log'!$J$2:$J$5)=1,COUNTIFS('Team Calendar'!$A$5:$A$14,$F43,'Team Calendar'!$C$5:$C$14,AA$4,'Team Calendar'!$F$5:$F$14,"Personal absence")=0),1,"")</x:f>
      </x:c>
      <x:c r="AB43" s="211" t="str">
        <x:f>IF(AND(ISNUMBER($D43),ISNUMBER($E43),AB$4&gt;=$D43,AB$4&lt;=$E43,NETWORKDAYS(AB$4,AB$4,'Sources &amp; Change Log'!$J$2:$J$5)=1,COUNTIFS('Team Calendar'!$A$5:$A$14,$F43,'Team Calendar'!$C$5:$C$14,AB$4,'Team Calendar'!$F$5:$F$14,"Personal absence")=0),1,"")</x:f>
      </x:c>
      <x:c r="AC43" s="211" t="str">
        <x:f>IF(AND(ISNUMBER($D43),ISNUMBER($E43),AC$4&gt;=$D43,AC$4&lt;=$E43,NETWORKDAYS(AC$4,AC$4,'Sources &amp; Change Log'!$J$2:$J$5)=1,COUNTIFS('Team Calendar'!$A$5:$A$14,$F43,'Team Calendar'!$C$5:$C$14,AC$4,'Team Calendar'!$F$5:$F$14,"Personal absence")=0),1,"")</x:f>
      </x:c>
      <x:c r="AD43" s="211" t="str">
        <x:f>IF(AND(ISNUMBER($D43),ISNUMBER($E43),AD$4&gt;=$D43,AD$4&lt;=$E43,NETWORKDAYS(AD$4,AD$4,'Sources &amp; Change Log'!$J$2:$J$5)=1,COUNTIFS('Team Calendar'!$A$5:$A$14,$F43,'Team Calendar'!$C$5:$C$14,AD$4,'Team Calendar'!$F$5:$F$14,"Personal absence")=0),1,"")</x:f>
      </x:c>
      <x:c r="AE43" s="211" t="str">
        <x:f>IF(AND(ISNUMBER($D43),ISNUMBER($E43),AE$4&gt;=$D43,AE$4&lt;=$E43,NETWORKDAYS(AE$4,AE$4,'Sources &amp; Change Log'!$J$2:$J$5)=1,COUNTIFS('Team Calendar'!$A$5:$A$14,$F43,'Team Calendar'!$C$5:$C$14,AE$4,'Team Calendar'!$F$5:$F$14,"Personal absence")=0),1,"")</x:f>
      </x:c>
      <x:c r="AF43" s="211" t="str">
        <x:f>IF(AND(ISNUMBER($D43),ISNUMBER($E43),AF$4&gt;=$D43,AF$4&lt;=$E43,NETWORKDAYS(AF$4,AF$4,'Sources &amp; Change Log'!$J$2:$J$5)=1,COUNTIFS('Team Calendar'!$A$5:$A$14,$F43,'Team Calendar'!$C$5:$C$14,AF$4,'Team Calendar'!$F$5:$F$14,"Personal absence")=0),1,"")</x:f>
      </x:c>
      <x:c r="AG43" s="211" t="str">
        <x:f>IF(AND(ISNUMBER($D43),ISNUMBER($E43),AG$4&gt;=$D43,AG$4&lt;=$E43,NETWORKDAYS(AG$4,AG$4,'Sources &amp; Change Log'!$J$2:$J$5)=1,COUNTIFS('Team Calendar'!$A$5:$A$14,$F43,'Team Calendar'!$C$5:$C$14,AG$4,'Team Calendar'!$F$5:$F$14,"Personal absence")=0),1,"")</x:f>
      </x:c>
      <x:c r="AH43" s="211" t="str">
        <x:f>IF(AND(ISNUMBER($D43),ISNUMBER($E43),AH$4&gt;=$D43,AH$4&lt;=$E43,NETWORKDAYS(AH$4,AH$4,'Sources &amp; Change Log'!$J$2:$J$5)=1,COUNTIFS('Team Calendar'!$A$5:$A$14,$F43,'Team Calendar'!$C$5:$C$14,AH$4,'Team Calendar'!$F$5:$F$14,"Personal absence")=0),1,"")</x:f>
      </x:c>
      <x:c r="AI43" s="211" t="str">
        <x:f>IF(AND(ISNUMBER($D43),ISNUMBER($E43),AI$4&gt;=$D43,AI$4&lt;=$E43,NETWORKDAYS(AI$4,AI$4,'Sources &amp; Change Log'!$J$2:$J$5)=1,COUNTIFS('Team Calendar'!$A$5:$A$14,$F43,'Team Calendar'!$C$5:$C$14,AI$4,'Team Calendar'!$F$5:$F$14,"Personal absence")=0),1,"")</x:f>
      </x:c>
      <x:c r="AJ43" s="211" t="str">
        <x:f>IF(AND(ISNUMBER($D43),ISNUMBER($E43),AJ$4&gt;=$D43,AJ$4&lt;=$E43,NETWORKDAYS(AJ$4,AJ$4,'Sources &amp; Change Log'!$J$2:$J$5)=1,COUNTIFS('Team Calendar'!$A$5:$A$14,$F43,'Team Calendar'!$C$5:$C$14,AJ$4,'Team Calendar'!$F$5:$F$14,"Personal absence")=0),1,"")</x:f>
      </x:c>
      <x:c r="AK43" s="211" t="str">
        <x:f>IF(AND(ISNUMBER($D43),ISNUMBER($E43),AK$4&gt;=$D43,AK$4&lt;=$E43,NETWORKDAYS(AK$4,AK$4,'Sources &amp; Change Log'!$J$2:$J$5)=1,COUNTIFS('Team Calendar'!$A$5:$A$14,$F43,'Team Calendar'!$C$5:$C$14,AK$4,'Team Calendar'!$F$5:$F$14,"Personal absence")=0),1,"")</x:f>
      </x:c>
      <x:c r="AL43" s="211" t="str">
        <x:f>IF(AND(ISNUMBER($D43),ISNUMBER($E43),AL$4&gt;=$D43,AL$4&lt;=$E43,NETWORKDAYS(AL$4,AL$4,'Sources &amp; Change Log'!$J$2:$J$5)=1,COUNTIFS('Team Calendar'!$A$5:$A$14,$F43,'Team Calendar'!$C$5:$C$14,AL$4,'Team Calendar'!$F$5:$F$14,"Personal absence")=0),1,"")</x:f>
      </x:c>
      <x:c r="AM43" s="211" t="str">
        <x:f>IF(AND(ISNUMBER($D43),ISNUMBER($E43),AM$4&gt;=$D43,AM$4&lt;=$E43,NETWORKDAYS(AM$4,AM$4,'Sources &amp; Change Log'!$J$2:$J$5)=1,COUNTIFS('Team Calendar'!$A$5:$A$14,$F43,'Team Calendar'!$C$5:$C$14,AM$4,'Team Calendar'!$F$5:$F$14,"Personal absence")=0),1,"")</x:f>
      </x:c>
      <x:c r="AN43" s="211" t="str">
        <x:f>IF(AND(ISNUMBER($D43),ISNUMBER($E43),AN$4&gt;=$D43,AN$4&lt;=$E43,NETWORKDAYS(AN$4,AN$4,'Sources &amp; Change Log'!$J$2:$J$5)=1,COUNTIFS('Team Calendar'!$A$5:$A$14,$F43,'Team Calendar'!$C$5:$C$14,AN$4,'Team Calendar'!$F$5:$F$14,"Personal absence")=0),1,"")</x:f>
      </x:c>
      <x:c r="AO43" s="211" t="str">
        <x:f>IF(AND(ISNUMBER($D43),ISNUMBER($E43),AO$4&gt;=$D43,AO$4&lt;=$E43,NETWORKDAYS(AO$4,AO$4,'Sources &amp; Change Log'!$J$2:$J$5)=1,COUNTIFS('Team Calendar'!$A$5:$A$14,$F43,'Team Calendar'!$C$5:$C$14,AO$4,'Team Calendar'!$F$5:$F$14,"Personal absence")=0),1,"")</x:f>
      </x:c>
      <x:c r="AP43" s="211" t="str">
        <x:f>IF(AND(ISNUMBER($D43),ISNUMBER($E43),AP$4&gt;=$D43,AP$4&lt;=$E43,NETWORKDAYS(AP$4,AP$4,'Sources &amp; Change Log'!$J$2:$J$5)=1,COUNTIFS('Team Calendar'!$A$5:$A$14,$F43,'Team Calendar'!$C$5:$C$14,AP$4,'Team Calendar'!$F$5:$F$14,"Personal absence")=0),1,"")</x:f>
      </x:c>
      <x:c r="AQ43" s="211" t="n">
        <x:f>IF(AND(ISNUMBER($D43),ISNUMBER($E43),AQ$4&gt;=$D43,AQ$4&lt;=$E43,NETWORKDAYS(AQ$4,AQ$4,'Sources &amp; Change Log'!$J$2:$J$5)=1,COUNTIFS('Team Calendar'!$A$5:$A$14,$F43,'Team Calendar'!$C$5:$C$14,AQ$4,'Team Calendar'!$F$5:$F$14,"Personal absence")=0),1,"")</x:f>
        <x:v>1</x:v>
      </x:c>
      <x:c r="AR43" s="211" t="n">
        <x:f>IF(AND(ISNUMBER($D43),ISNUMBER($E43),AR$4&gt;=$D43,AR$4&lt;=$E43,NETWORKDAYS(AR$4,AR$4,'Sources &amp; Change Log'!$J$2:$J$5)=1,COUNTIFS('Team Calendar'!$A$5:$A$14,$F43,'Team Calendar'!$C$5:$C$14,AR$4,'Team Calendar'!$F$5:$F$14,"Personal absence")=0),1,"")</x:f>
        <x:v>1</x:v>
      </x:c>
      <x:c r="AS43" s="211" t="n">
        <x:f>IF(AND(ISNUMBER($D43),ISNUMBER($E43),AS$4&gt;=$D43,AS$4&lt;=$E43,NETWORKDAYS(AS$4,AS$4,'Sources &amp; Change Log'!$J$2:$J$5)=1,COUNTIFS('Team Calendar'!$A$5:$A$14,$F43,'Team Calendar'!$C$5:$C$14,AS$4,'Team Calendar'!$F$5:$F$14,"Personal absence")=0),1,"")</x:f>
        <x:v>1</x:v>
      </x:c>
      <x:c r="AT43" s="211" t="n">
        <x:f>IF(AND(ISNUMBER($D43),ISNUMBER($E43),AT$4&gt;=$D43,AT$4&lt;=$E43,NETWORKDAYS(AT$4,AT$4,'Sources &amp; Change Log'!$J$2:$J$5)=1,COUNTIFS('Team Calendar'!$A$5:$A$14,$F43,'Team Calendar'!$C$5:$C$14,AT$4,'Team Calendar'!$F$5:$F$14,"Personal absence")=0),1,"")</x:f>
        <x:v>1</x:v>
      </x:c>
      <x:c r="AU43" s="211" t="str">
        <x:f>IF(AND(ISNUMBER($D43),ISNUMBER($E43),AU$4&gt;=$D43,AU$4&lt;=$E43,NETWORKDAYS(AU$4,AU$4,'Sources &amp; Change Log'!$J$2:$J$5)=1,COUNTIFS('Team Calendar'!$A$5:$A$14,$F43,'Team Calendar'!$C$5:$C$14,AU$4,'Team Calendar'!$F$5:$F$14,"Personal absence")=0),1,"")</x:f>
      </x:c>
      <x:c r="AV43" s="211" t="str">
        <x:f>IF(AND(ISNUMBER($D43),ISNUMBER($E43),AV$4&gt;=$D43,AV$4&lt;=$E43,NETWORKDAYS(AV$4,AV$4,'Sources &amp; Change Log'!$J$2:$J$5)=1,COUNTIFS('Team Calendar'!$A$5:$A$14,$F43,'Team Calendar'!$C$5:$C$14,AV$4,'Team Calendar'!$F$5:$F$14,"Personal absence")=0),1,"")</x:f>
      </x:c>
      <x:c r="AW43" s="211" t="str">
        <x:f>IF(AND(ISNUMBER($D43),ISNUMBER($E43),AW$4&gt;=$D43,AW$4&lt;=$E43,NETWORKDAYS(AW$4,AW$4,'Sources &amp; Change Log'!$J$2:$J$5)=1,COUNTIFS('Team Calendar'!$A$5:$A$14,$F43,'Team Calendar'!$C$5:$C$14,AW$4,'Team Calendar'!$F$5:$F$14,"Personal absence")=0),1,"")</x:f>
      </x:c>
      <x:c r="AX43" s="211" t="n">
        <x:f>IF(AND(ISNUMBER($D43),ISNUMBER($E43),AX$4&gt;=$D43,AX$4&lt;=$E43,NETWORKDAYS(AX$4,AX$4,'Sources &amp; Change Log'!$J$2:$J$5)=1,COUNTIFS('Team Calendar'!$A$5:$A$14,$F43,'Team Calendar'!$C$5:$C$14,AX$4,'Team Calendar'!$F$5:$F$14,"Personal absence")=0),1,"")</x:f>
        <x:v>1</x:v>
      </x:c>
      <x:c r="AY43" s="206"/>
      <x:c r="AZ43" s="206"/>
    </x:row>
    <x:row r="44" ht="30" customHeight="1">
      <x:c r="A44" s="198" t="str">
        <x:f>WBS!A74</x:f>
        <x:v>CR-P1-APP-01-01</x:v>
      </x:c>
      <x:c r="B44" s="198" t="str">
        <x:f>WBS!B74</x:f>
        <x:v>P1-APP-01 AC "DB/FDS 장애 시 /readyz 503" 문구 정정 — fds-engine fail-open 정합</x:v>
      </x:c>
      <x:c r="C44" s="198" t="str">
        <x:f>WBS!G74</x:f>
        <x:v>Done</x:v>
      </x:c>
      <x:c r="D44" s="226" t="n">
        <x:f>WBS!H74</x:f>
        <x:v>46294</x:v>
      </x:c>
      <x:c r="E44" s="226" t="n">
        <x:f>WBS!I74</x:f>
        <x:v>46297</x:v>
      </x:c>
      <x:c r="F44" t="str">
        <x:f>WBS!L74</x:f>
        <x:v>이재환</x:v>
      </x:c>
      <x:c r="G44" s="211" t="str">
        <x:f>IF(AND(ISNUMBER($D44),ISNUMBER($E44),G$4&gt;=$D44,G$4&lt;=$E44,NETWORKDAYS(G$4,G$4,'Sources &amp; Change Log'!$J$2:$J$5)=1,COUNTIFS('Team Calendar'!$A$5:$A$14,$F44,'Team Calendar'!$C$5:$C$14,G$4,'Team Calendar'!$F$5:$F$14,"Personal absence")=0),1,"")</x:f>
      </x:c>
      <x:c r="H44" s="211" t="str">
        <x:f>IF(AND(ISNUMBER($D44),ISNUMBER($E44),H$4&gt;=$D44,H$4&lt;=$E44,NETWORKDAYS(H$4,H$4,'Sources &amp; Change Log'!$J$2:$J$5)=1,COUNTIFS('Team Calendar'!$A$5:$A$14,$F44,'Team Calendar'!$C$5:$C$14,H$4,'Team Calendar'!$F$5:$F$14,"Personal absence")=0),1,"")</x:f>
      </x:c>
      <x:c r="I44" s="211" t="str">
        <x:f>IF(AND(ISNUMBER($D44),ISNUMBER($E44),I$4&gt;=$D44,I$4&lt;=$E44,NETWORKDAYS(I$4,I$4,'Sources &amp; Change Log'!$J$2:$J$5)=1,COUNTIFS('Team Calendar'!$A$5:$A$14,$F44,'Team Calendar'!$C$5:$C$14,I$4,'Team Calendar'!$F$5:$F$14,"Personal absence")=0),1,"")</x:f>
      </x:c>
      <x:c r="J44" s="211" t="str">
        <x:f>IF(AND(ISNUMBER($D44),ISNUMBER($E44),J$4&gt;=$D44,J$4&lt;=$E44,NETWORKDAYS(J$4,J$4,'Sources &amp; Change Log'!$J$2:$J$5)=1,COUNTIFS('Team Calendar'!$A$5:$A$14,$F44,'Team Calendar'!$C$5:$C$14,J$4,'Team Calendar'!$F$5:$F$14,"Personal absence")=0),1,"")</x:f>
      </x:c>
      <x:c r="K44" s="211" t="str">
        <x:f>IF(AND(ISNUMBER($D44),ISNUMBER($E44),K$4&gt;=$D44,K$4&lt;=$E44,NETWORKDAYS(K$4,K$4,'Sources &amp; Change Log'!$J$2:$J$5)=1,COUNTIFS('Team Calendar'!$A$5:$A$14,$F44,'Team Calendar'!$C$5:$C$14,K$4,'Team Calendar'!$F$5:$F$14,"Personal absence")=0),1,"")</x:f>
      </x:c>
      <x:c r="L44" s="211" t="str">
        <x:f>IF(AND(ISNUMBER($D44),ISNUMBER($E44),L$4&gt;=$D44,L$4&lt;=$E44,NETWORKDAYS(L$4,L$4,'Sources &amp; Change Log'!$J$2:$J$5)=1,COUNTIFS('Team Calendar'!$A$5:$A$14,$F44,'Team Calendar'!$C$5:$C$14,L$4,'Team Calendar'!$F$5:$F$14,"Personal absence")=0),1,"")</x:f>
      </x:c>
      <x:c r="M44" s="211" t="str">
        <x:f>IF(AND(ISNUMBER($D44),ISNUMBER($E44),M$4&gt;=$D44,M$4&lt;=$E44,NETWORKDAYS(M$4,M$4,'Sources &amp; Change Log'!$J$2:$J$5)=1,COUNTIFS('Team Calendar'!$A$5:$A$14,$F44,'Team Calendar'!$C$5:$C$14,M$4,'Team Calendar'!$F$5:$F$14,"Personal absence")=0),1,"")</x:f>
      </x:c>
      <x:c r="N44" s="211" t="str">
        <x:f>IF(AND(ISNUMBER($D44),ISNUMBER($E44),N$4&gt;=$D44,N$4&lt;=$E44,NETWORKDAYS(N$4,N$4,'Sources &amp; Change Log'!$J$2:$J$5)=1,COUNTIFS('Team Calendar'!$A$5:$A$14,$F44,'Team Calendar'!$C$5:$C$14,N$4,'Team Calendar'!$F$5:$F$14,"Personal absence")=0),1,"")</x:f>
      </x:c>
      <x:c r="O44" s="211" t="str">
        <x:f>IF(AND(ISNUMBER($D44),ISNUMBER($E44),O$4&gt;=$D44,O$4&lt;=$E44,NETWORKDAYS(O$4,O$4,'Sources &amp; Change Log'!$J$2:$J$5)=1,COUNTIFS('Team Calendar'!$A$5:$A$14,$F44,'Team Calendar'!$C$5:$C$14,O$4,'Team Calendar'!$F$5:$F$14,"Personal absence")=0),1,"")</x:f>
      </x:c>
      <x:c r="P44" s="211" t="str">
        <x:f>IF(AND(ISNUMBER($D44),ISNUMBER($E44),P$4&gt;=$D44,P$4&lt;=$E44,NETWORKDAYS(P$4,P$4,'Sources &amp; Change Log'!$J$2:$J$5)=1,COUNTIFS('Team Calendar'!$A$5:$A$14,$F44,'Team Calendar'!$C$5:$C$14,P$4,'Team Calendar'!$F$5:$F$14,"Personal absence")=0),1,"")</x:f>
      </x:c>
      <x:c r="Q44" s="211" t="str">
        <x:f>IF(AND(ISNUMBER($D44),ISNUMBER($E44),Q$4&gt;=$D44,Q$4&lt;=$E44,NETWORKDAYS(Q$4,Q$4,'Sources &amp; Change Log'!$J$2:$J$5)=1,COUNTIFS('Team Calendar'!$A$5:$A$14,$F44,'Team Calendar'!$C$5:$C$14,Q$4,'Team Calendar'!$F$5:$F$14,"Personal absence")=0),1,"")</x:f>
      </x:c>
      <x:c r="R44" s="211" t="str">
        <x:f>IF(AND(ISNUMBER($D44),ISNUMBER($E44),R$4&gt;=$D44,R$4&lt;=$E44,NETWORKDAYS(R$4,R$4,'Sources &amp; Change Log'!$J$2:$J$5)=1,COUNTIFS('Team Calendar'!$A$5:$A$14,$F44,'Team Calendar'!$C$5:$C$14,R$4,'Team Calendar'!$F$5:$F$14,"Personal absence")=0),1,"")</x:f>
      </x:c>
      <x:c r="S44" s="211" t="str">
        <x:f>IF(AND(ISNUMBER($D44),ISNUMBER($E44),S$4&gt;=$D44,S$4&lt;=$E44,NETWORKDAYS(S$4,S$4,'Sources &amp; Change Log'!$J$2:$J$5)=1,COUNTIFS('Team Calendar'!$A$5:$A$14,$F44,'Team Calendar'!$C$5:$C$14,S$4,'Team Calendar'!$F$5:$F$14,"Personal absence")=0),1,"")</x:f>
      </x:c>
      <x:c r="T44" s="211" t="str">
        <x:f>IF(AND(ISNUMBER($D44),ISNUMBER($E44),T$4&gt;=$D44,T$4&lt;=$E44,NETWORKDAYS(T$4,T$4,'Sources &amp; Change Log'!$J$2:$J$5)=1,COUNTIFS('Team Calendar'!$A$5:$A$14,$F44,'Team Calendar'!$C$5:$C$14,T$4,'Team Calendar'!$F$5:$F$14,"Personal absence")=0),1,"")</x:f>
      </x:c>
      <x:c r="U44" s="211" t="str">
        <x:f>IF(AND(ISNUMBER($D44),ISNUMBER($E44),U$4&gt;=$D44,U$4&lt;=$E44,NETWORKDAYS(U$4,U$4,'Sources &amp; Change Log'!$J$2:$J$5)=1,COUNTIFS('Team Calendar'!$A$5:$A$14,$F44,'Team Calendar'!$C$5:$C$14,U$4,'Team Calendar'!$F$5:$F$14,"Personal absence")=0),1,"")</x:f>
      </x:c>
      <x:c r="V44" s="211" t="str">
        <x:f>IF(AND(ISNUMBER($D44),ISNUMBER($E44),V$4&gt;=$D44,V$4&lt;=$E44,NETWORKDAYS(V$4,V$4,'Sources &amp; Change Log'!$J$2:$J$5)=1,COUNTIFS('Team Calendar'!$A$5:$A$14,$F44,'Team Calendar'!$C$5:$C$14,V$4,'Team Calendar'!$F$5:$F$14,"Personal absence")=0),1,"")</x:f>
      </x:c>
      <x:c r="W44" s="211" t="str">
        <x:f>IF(AND(ISNUMBER($D44),ISNUMBER($E44),W$4&gt;=$D44,W$4&lt;=$E44,NETWORKDAYS(W$4,W$4,'Sources &amp; Change Log'!$J$2:$J$5)=1,COUNTIFS('Team Calendar'!$A$5:$A$14,$F44,'Team Calendar'!$C$5:$C$14,W$4,'Team Calendar'!$F$5:$F$14,"Personal absence")=0),1,"")</x:f>
      </x:c>
      <x:c r="X44" s="211" t="str">
        <x:f>IF(AND(ISNUMBER($D44),ISNUMBER($E44),X$4&gt;=$D44,X$4&lt;=$E44,NETWORKDAYS(X$4,X$4,'Sources &amp; Change Log'!$J$2:$J$5)=1,COUNTIFS('Team Calendar'!$A$5:$A$14,$F44,'Team Calendar'!$C$5:$C$14,X$4,'Team Calendar'!$F$5:$F$14,"Personal absence")=0),1,"")</x:f>
      </x:c>
      <x:c r="Y44" s="211" t="str">
        <x:f>IF(AND(ISNUMBER($D44),ISNUMBER($E44),Y$4&gt;=$D44,Y$4&lt;=$E44,NETWORKDAYS(Y$4,Y$4,'Sources &amp; Change Log'!$J$2:$J$5)=1,COUNTIFS('Team Calendar'!$A$5:$A$14,$F44,'Team Calendar'!$C$5:$C$14,Y$4,'Team Calendar'!$F$5:$F$14,"Personal absence")=0),1,"")</x:f>
      </x:c>
      <x:c r="Z44" s="211" t="str">
        <x:f>IF(AND(ISNUMBER($D44),ISNUMBER($E44),Z$4&gt;=$D44,Z$4&lt;=$E44,NETWORKDAYS(Z$4,Z$4,'Sources &amp; Change Log'!$J$2:$J$5)=1,COUNTIFS('Team Calendar'!$A$5:$A$14,$F44,'Team Calendar'!$C$5:$C$14,Z$4,'Team Calendar'!$F$5:$F$14,"Personal absence")=0),1,"")</x:f>
      </x:c>
      <x:c r="AA44" s="211" t="str">
        <x:f>IF(AND(ISNUMBER($D44),ISNUMBER($E44),AA$4&gt;=$D44,AA$4&lt;=$E44,NETWORKDAYS(AA$4,AA$4,'Sources &amp; Change Log'!$J$2:$J$5)=1,COUNTIFS('Team Calendar'!$A$5:$A$14,$F44,'Team Calendar'!$C$5:$C$14,AA$4,'Team Calendar'!$F$5:$F$14,"Personal absence")=0),1,"")</x:f>
      </x:c>
      <x:c r="AB44" s="211" t="str">
        <x:f>IF(AND(ISNUMBER($D44),ISNUMBER($E44),AB$4&gt;=$D44,AB$4&lt;=$E44,NETWORKDAYS(AB$4,AB$4,'Sources &amp; Change Log'!$J$2:$J$5)=1,COUNTIFS('Team Calendar'!$A$5:$A$14,$F44,'Team Calendar'!$C$5:$C$14,AB$4,'Team Calendar'!$F$5:$F$14,"Personal absence")=0),1,"")</x:f>
      </x:c>
      <x:c r="AC44" s="211" t="str">
        <x:f>IF(AND(ISNUMBER($D44),ISNUMBER($E44),AC$4&gt;=$D44,AC$4&lt;=$E44,NETWORKDAYS(AC$4,AC$4,'Sources &amp; Change Log'!$J$2:$J$5)=1,COUNTIFS('Team Calendar'!$A$5:$A$14,$F44,'Team Calendar'!$C$5:$C$14,AC$4,'Team Calendar'!$F$5:$F$14,"Personal absence")=0),1,"")</x:f>
      </x:c>
      <x:c r="AD44" s="211" t="str">
        <x:f>IF(AND(ISNUMBER($D44),ISNUMBER($E44),AD$4&gt;=$D44,AD$4&lt;=$E44,NETWORKDAYS(AD$4,AD$4,'Sources &amp; Change Log'!$J$2:$J$5)=1,COUNTIFS('Team Calendar'!$A$5:$A$14,$F44,'Team Calendar'!$C$5:$C$14,AD$4,'Team Calendar'!$F$5:$F$14,"Personal absence")=0),1,"")</x:f>
      </x:c>
      <x:c r="AE44" s="211" t="str">
        <x:f>IF(AND(ISNUMBER($D44),ISNUMBER($E44),AE$4&gt;=$D44,AE$4&lt;=$E44,NETWORKDAYS(AE$4,AE$4,'Sources &amp; Change Log'!$J$2:$J$5)=1,COUNTIFS('Team Calendar'!$A$5:$A$14,$F44,'Team Calendar'!$C$5:$C$14,AE$4,'Team Calendar'!$F$5:$F$14,"Personal absence")=0),1,"")</x:f>
      </x:c>
      <x:c r="AF44" s="211" t="str">
        <x:f>IF(AND(ISNUMBER($D44),ISNUMBER($E44),AF$4&gt;=$D44,AF$4&lt;=$E44,NETWORKDAYS(AF$4,AF$4,'Sources &amp; Change Log'!$J$2:$J$5)=1,COUNTIFS('Team Calendar'!$A$5:$A$14,$F44,'Team Calendar'!$C$5:$C$14,AF$4,'Team Calendar'!$F$5:$F$14,"Personal absence")=0),1,"")</x:f>
      </x:c>
      <x:c r="AG44" s="211" t="str">
        <x:f>IF(AND(ISNUMBER($D44),ISNUMBER($E44),AG$4&gt;=$D44,AG$4&lt;=$E44,NETWORKDAYS(AG$4,AG$4,'Sources &amp; Change Log'!$J$2:$J$5)=1,COUNTIFS('Team Calendar'!$A$5:$A$14,$F44,'Team Calendar'!$C$5:$C$14,AG$4,'Team Calendar'!$F$5:$F$14,"Personal absence")=0),1,"")</x:f>
      </x:c>
      <x:c r="AH44" s="211" t="str">
        <x:f>IF(AND(ISNUMBER($D44),ISNUMBER($E44),AH$4&gt;=$D44,AH$4&lt;=$E44,NETWORKDAYS(AH$4,AH$4,'Sources &amp; Change Log'!$J$2:$J$5)=1,COUNTIFS('Team Calendar'!$A$5:$A$14,$F44,'Team Calendar'!$C$5:$C$14,AH$4,'Team Calendar'!$F$5:$F$14,"Personal absence")=0),1,"")</x:f>
      </x:c>
      <x:c r="AI44" s="211" t="str">
        <x:f>IF(AND(ISNUMBER($D44),ISNUMBER($E44),AI$4&gt;=$D44,AI$4&lt;=$E44,NETWORKDAYS(AI$4,AI$4,'Sources &amp; Change Log'!$J$2:$J$5)=1,COUNTIFS('Team Calendar'!$A$5:$A$14,$F44,'Team Calendar'!$C$5:$C$14,AI$4,'Team Calendar'!$F$5:$F$14,"Personal absence")=0),1,"")</x:f>
      </x:c>
      <x:c r="AJ44" s="211" t="str">
        <x:f>IF(AND(ISNUMBER($D44),ISNUMBER($E44),AJ$4&gt;=$D44,AJ$4&lt;=$E44,NETWORKDAYS(AJ$4,AJ$4,'Sources &amp; Change Log'!$J$2:$J$5)=1,COUNTIFS('Team Calendar'!$A$5:$A$14,$F44,'Team Calendar'!$C$5:$C$14,AJ$4,'Team Calendar'!$F$5:$F$14,"Personal absence")=0),1,"")</x:f>
      </x:c>
      <x:c r="AK44" s="211" t="str">
        <x:f>IF(AND(ISNUMBER($D44),ISNUMBER($E44),AK$4&gt;=$D44,AK$4&lt;=$E44,NETWORKDAYS(AK$4,AK$4,'Sources &amp; Change Log'!$J$2:$J$5)=1,COUNTIFS('Team Calendar'!$A$5:$A$14,$F44,'Team Calendar'!$C$5:$C$14,AK$4,'Team Calendar'!$F$5:$F$14,"Personal absence")=0),1,"")</x:f>
      </x:c>
      <x:c r="AL44" s="211" t="str">
        <x:f>IF(AND(ISNUMBER($D44),ISNUMBER($E44),AL$4&gt;=$D44,AL$4&lt;=$E44,NETWORKDAYS(AL$4,AL$4,'Sources &amp; Change Log'!$J$2:$J$5)=1,COUNTIFS('Team Calendar'!$A$5:$A$14,$F44,'Team Calendar'!$C$5:$C$14,AL$4,'Team Calendar'!$F$5:$F$14,"Personal absence")=0),1,"")</x:f>
      </x:c>
      <x:c r="AM44" s="211" t="str">
        <x:f>IF(AND(ISNUMBER($D44),ISNUMBER($E44),AM$4&gt;=$D44,AM$4&lt;=$E44,NETWORKDAYS(AM$4,AM$4,'Sources &amp; Change Log'!$J$2:$J$5)=1,COUNTIFS('Team Calendar'!$A$5:$A$14,$F44,'Team Calendar'!$C$5:$C$14,AM$4,'Team Calendar'!$F$5:$F$14,"Personal absence")=0),1,"")</x:f>
      </x:c>
      <x:c r="AN44" s="211" t="str">
        <x:f>IF(AND(ISNUMBER($D44),ISNUMBER($E44),AN$4&gt;=$D44,AN$4&lt;=$E44,NETWORKDAYS(AN$4,AN$4,'Sources &amp; Change Log'!$J$2:$J$5)=1,COUNTIFS('Team Calendar'!$A$5:$A$14,$F44,'Team Calendar'!$C$5:$C$14,AN$4,'Team Calendar'!$F$5:$F$14,"Personal absence")=0),1,"")</x:f>
      </x:c>
      <x:c r="AO44" s="211" t="str">
        <x:f>IF(AND(ISNUMBER($D44),ISNUMBER($E44),AO$4&gt;=$D44,AO$4&lt;=$E44,NETWORKDAYS(AO$4,AO$4,'Sources &amp; Change Log'!$J$2:$J$5)=1,COUNTIFS('Team Calendar'!$A$5:$A$14,$F44,'Team Calendar'!$C$5:$C$14,AO$4,'Team Calendar'!$F$5:$F$14,"Personal absence")=0),1,"")</x:f>
      </x:c>
      <x:c r="AP44" s="211" t="str">
        <x:f>IF(AND(ISNUMBER($D44),ISNUMBER($E44),AP$4&gt;=$D44,AP$4&lt;=$E44,NETWORKDAYS(AP$4,AP$4,'Sources &amp; Change Log'!$J$2:$J$5)=1,COUNTIFS('Team Calendar'!$A$5:$A$14,$F44,'Team Calendar'!$C$5:$C$14,AP$4,'Team Calendar'!$F$5:$F$14,"Personal absence")=0),1,"")</x:f>
      </x:c>
      <x:c r="AQ44" s="211" t="n">
        <x:f>IF(AND(ISNUMBER($D44),ISNUMBER($E44),AQ$4&gt;=$D44,AQ$4&lt;=$E44,NETWORKDAYS(AQ$4,AQ$4,'Sources &amp; Change Log'!$J$2:$J$5)=1,COUNTIFS('Team Calendar'!$A$5:$A$14,$F44,'Team Calendar'!$C$5:$C$14,AQ$4,'Team Calendar'!$F$5:$F$14,"Personal absence")=0),1,"")</x:f>
        <x:v>1</x:v>
      </x:c>
      <x:c r="AR44" s="211" t="n">
        <x:f>IF(AND(ISNUMBER($D44),ISNUMBER($E44),AR$4&gt;=$D44,AR$4&lt;=$E44,NETWORKDAYS(AR$4,AR$4,'Sources &amp; Change Log'!$J$2:$J$5)=1,COUNTIFS('Team Calendar'!$A$5:$A$14,$F44,'Team Calendar'!$C$5:$C$14,AR$4,'Team Calendar'!$F$5:$F$14,"Personal absence")=0),1,"")</x:f>
        <x:v>1</x:v>
      </x:c>
      <x:c r="AS44" s="211" t="n">
        <x:f>IF(AND(ISNUMBER($D44),ISNUMBER($E44),AS$4&gt;=$D44,AS$4&lt;=$E44,NETWORKDAYS(AS$4,AS$4,'Sources &amp; Change Log'!$J$2:$J$5)=1,COUNTIFS('Team Calendar'!$A$5:$A$14,$F44,'Team Calendar'!$C$5:$C$14,AS$4,'Team Calendar'!$F$5:$F$14,"Personal absence")=0),1,"")</x:f>
        <x:v>1</x:v>
      </x:c>
      <x:c r="AT44" s="211" t="n">
        <x:f>IF(AND(ISNUMBER($D44),ISNUMBER($E44),AT$4&gt;=$D44,AT$4&lt;=$E44,NETWORKDAYS(AT$4,AT$4,'Sources &amp; Change Log'!$J$2:$J$5)=1,COUNTIFS('Team Calendar'!$A$5:$A$14,$F44,'Team Calendar'!$C$5:$C$14,AT$4,'Team Calendar'!$F$5:$F$14,"Personal absence")=0),1,"")</x:f>
        <x:v>1</x:v>
      </x:c>
      <x:c r="AU44" s="211" t="str">
        <x:f>IF(AND(ISNUMBER($D44),ISNUMBER($E44),AU$4&gt;=$D44,AU$4&lt;=$E44,NETWORKDAYS(AU$4,AU$4,'Sources &amp; Change Log'!$J$2:$J$5)=1,COUNTIFS('Team Calendar'!$A$5:$A$14,$F44,'Team Calendar'!$C$5:$C$14,AU$4,'Team Calendar'!$F$5:$F$14,"Personal absence")=0),1,"")</x:f>
      </x:c>
      <x:c r="AV44" s="211" t="str">
        <x:f>IF(AND(ISNUMBER($D44),ISNUMBER($E44),AV$4&gt;=$D44,AV$4&lt;=$E44,NETWORKDAYS(AV$4,AV$4,'Sources &amp; Change Log'!$J$2:$J$5)=1,COUNTIFS('Team Calendar'!$A$5:$A$14,$F44,'Team Calendar'!$C$5:$C$14,AV$4,'Team Calendar'!$F$5:$F$14,"Personal absence")=0),1,"")</x:f>
      </x:c>
      <x:c r="AW44" s="211" t="str">
        <x:f>IF(AND(ISNUMBER($D44),ISNUMBER($E44),AW$4&gt;=$D44,AW$4&lt;=$E44,NETWORKDAYS(AW$4,AW$4,'Sources &amp; Change Log'!$J$2:$J$5)=1,COUNTIFS('Team Calendar'!$A$5:$A$14,$F44,'Team Calendar'!$C$5:$C$14,AW$4,'Team Calendar'!$F$5:$F$14,"Personal absence")=0),1,"")</x:f>
      </x:c>
      <x:c r="AX44" s="211" t="str">
        <x:f>IF(AND(ISNUMBER($D44),ISNUMBER($E44),AX$4&gt;=$D44,AX$4&lt;=$E44,NETWORKDAYS(AX$4,AX$4,'Sources &amp; Change Log'!$J$2:$J$5)=1,COUNTIFS('Team Calendar'!$A$5:$A$14,$F44,'Team Calendar'!$C$5:$C$14,AX$4,'Team Calendar'!$F$5:$F$14,"Personal absence")=0),1,"")</x:f>
      </x:c>
      <x:c r="AY44" s="206"/>
      <x:c r="AZ44" s="206"/>
    </x:row>
    <x:row r="45" ht="30" customHeight="1">
      <x:c r="A45" s="198" t="str">
        <x:f>WBS!A77</x:f>
        <x:v>CR-P1-SEC-01-01</x:v>
      </x:c>
      <x:c r="B45" s="198" t="str">
        <x:f>WBS!B77</x:f>
        <x:v>SEC-AC-05 예방 rotation을 P1 NOT MET/RISK ACCEPTED로 기록 (backup·rollback은 P1 유지)</x:v>
      </x:c>
      <x:c r="C45" s="198" t="str">
        <x:f>WBS!G77</x:f>
        <x:v>Done</x:v>
      </x:c>
      <x:c r="D45" s="226" t="n">
        <x:f>WBS!H77</x:f>
        <x:v>46295</x:v>
      </x:c>
      <x:c r="E45" s="226" t="n">
        <x:f>WBS!I77</x:f>
        <x:v>46297</x:v>
      </x:c>
      <x:c r="F45" t="str">
        <x:f>WBS!L77</x:f>
        <x:v>이하영</x:v>
      </x:c>
      <x:c r="G45" s="211" t="str">
        <x:f>IF(AND(ISNUMBER($D45),ISNUMBER($E45),G$4&gt;=$D45,G$4&lt;=$E45,NETWORKDAYS(G$4,G$4,'Sources &amp; Change Log'!$J$2:$J$5)=1,COUNTIFS('Team Calendar'!$A$5:$A$14,$F45,'Team Calendar'!$C$5:$C$14,G$4,'Team Calendar'!$F$5:$F$14,"Personal absence")=0),1,"")</x:f>
      </x:c>
      <x:c r="H45" s="211" t="str">
        <x:f>IF(AND(ISNUMBER($D45),ISNUMBER($E45),H$4&gt;=$D45,H$4&lt;=$E45,NETWORKDAYS(H$4,H$4,'Sources &amp; Change Log'!$J$2:$J$5)=1,COUNTIFS('Team Calendar'!$A$5:$A$14,$F45,'Team Calendar'!$C$5:$C$14,H$4,'Team Calendar'!$F$5:$F$14,"Personal absence")=0),1,"")</x:f>
      </x:c>
      <x:c r="I45" s="211" t="str">
        <x:f>IF(AND(ISNUMBER($D45),ISNUMBER($E45),I$4&gt;=$D45,I$4&lt;=$E45,NETWORKDAYS(I$4,I$4,'Sources &amp; Change Log'!$J$2:$J$5)=1,COUNTIFS('Team Calendar'!$A$5:$A$14,$F45,'Team Calendar'!$C$5:$C$14,I$4,'Team Calendar'!$F$5:$F$14,"Personal absence")=0),1,"")</x:f>
      </x:c>
      <x:c r="J45" s="211" t="str">
        <x:f>IF(AND(ISNUMBER($D45),ISNUMBER($E45),J$4&gt;=$D45,J$4&lt;=$E45,NETWORKDAYS(J$4,J$4,'Sources &amp; Change Log'!$J$2:$J$5)=1,COUNTIFS('Team Calendar'!$A$5:$A$14,$F45,'Team Calendar'!$C$5:$C$14,J$4,'Team Calendar'!$F$5:$F$14,"Personal absence")=0),1,"")</x:f>
      </x:c>
      <x:c r="K45" s="211" t="str">
        <x:f>IF(AND(ISNUMBER($D45),ISNUMBER($E45),K$4&gt;=$D45,K$4&lt;=$E45,NETWORKDAYS(K$4,K$4,'Sources &amp; Change Log'!$J$2:$J$5)=1,COUNTIFS('Team Calendar'!$A$5:$A$14,$F45,'Team Calendar'!$C$5:$C$14,K$4,'Team Calendar'!$F$5:$F$14,"Personal absence")=0),1,"")</x:f>
      </x:c>
      <x:c r="L45" s="211" t="str">
        <x:f>IF(AND(ISNUMBER($D45),ISNUMBER($E45),L$4&gt;=$D45,L$4&lt;=$E45,NETWORKDAYS(L$4,L$4,'Sources &amp; Change Log'!$J$2:$J$5)=1,COUNTIFS('Team Calendar'!$A$5:$A$14,$F45,'Team Calendar'!$C$5:$C$14,L$4,'Team Calendar'!$F$5:$F$14,"Personal absence")=0),1,"")</x:f>
      </x:c>
      <x:c r="M45" s="211" t="str">
        <x:f>IF(AND(ISNUMBER($D45),ISNUMBER($E45),M$4&gt;=$D45,M$4&lt;=$E45,NETWORKDAYS(M$4,M$4,'Sources &amp; Change Log'!$J$2:$J$5)=1,COUNTIFS('Team Calendar'!$A$5:$A$14,$F45,'Team Calendar'!$C$5:$C$14,M$4,'Team Calendar'!$F$5:$F$14,"Personal absence")=0),1,"")</x:f>
      </x:c>
      <x:c r="N45" s="211" t="str">
        <x:f>IF(AND(ISNUMBER($D45),ISNUMBER($E45),N$4&gt;=$D45,N$4&lt;=$E45,NETWORKDAYS(N$4,N$4,'Sources &amp; Change Log'!$J$2:$J$5)=1,COUNTIFS('Team Calendar'!$A$5:$A$14,$F45,'Team Calendar'!$C$5:$C$14,N$4,'Team Calendar'!$F$5:$F$14,"Personal absence")=0),1,"")</x:f>
      </x:c>
      <x:c r="O45" s="211" t="str">
        <x:f>IF(AND(ISNUMBER($D45),ISNUMBER($E45),O$4&gt;=$D45,O$4&lt;=$E45,NETWORKDAYS(O$4,O$4,'Sources &amp; Change Log'!$J$2:$J$5)=1,COUNTIFS('Team Calendar'!$A$5:$A$14,$F45,'Team Calendar'!$C$5:$C$14,O$4,'Team Calendar'!$F$5:$F$14,"Personal absence")=0),1,"")</x:f>
      </x:c>
      <x:c r="P45" s="211" t="str">
        <x:f>IF(AND(ISNUMBER($D45),ISNUMBER($E45),P$4&gt;=$D45,P$4&lt;=$E45,NETWORKDAYS(P$4,P$4,'Sources &amp; Change Log'!$J$2:$J$5)=1,COUNTIFS('Team Calendar'!$A$5:$A$14,$F45,'Team Calendar'!$C$5:$C$14,P$4,'Team Calendar'!$F$5:$F$14,"Personal absence")=0),1,"")</x:f>
      </x:c>
      <x:c r="Q45" s="211" t="str">
        <x:f>IF(AND(ISNUMBER($D45),ISNUMBER($E45),Q$4&gt;=$D45,Q$4&lt;=$E45,NETWORKDAYS(Q$4,Q$4,'Sources &amp; Change Log'!$J$2:$J$5)=1,COUNTIFS('Team Calendar'!$A$5:$A$14,$F45,'Team Calendar'!$C$5:$C$14,Q$4,'Team Calendar'!$F$5:$F$14,"Personal absence")=0),1,"")</x:f>
      </x:c>
      <x:c r="R45" s="211" t="str">
        <x:f>IF(AND(ISNUMBER($D45),ISNUMBER($E45),R$4&gt;=$D45,R$4&lt;=$E45,NETWORKDAYS(R$4,R$4,'Sources &amp; Change Log'!$J$2:$J$5)=1,COUNTIFS('Team Calendar'!$A$5:$A$14,$F45,'Team Calendar'!$C$5:$C$14,R$4,'Team Calendar'!$F$5:$F$14,"Personal absence")=0),1,"")</x:f>
      </x:c>
      <x:c r="S45" s="211" t="str">
        <x:f>IF(AND(ISNUMBER($D45),ISNUMBER($E45),S$4&gt;=$D45,S$4&lt;=$E45,NETWORKDAYS(S$4,S$4,'Sources &amp; Change Log'!$J$2:$J$5)=1,COUNTIFS('Team Calendar'!$A$5:$A$14,$F45,'Team Calendar'!$C$5:$C$14,S$4,'Team Calendar'!$F$5:$F$14,"Personal absence")=0),1,"")</x:f>
      </x:c>
      <x:c r="T45" s="211" t="str">
        <x:f>IF(AND(ISNUMBER($D45),ISNUMBER($E45),T$4&gt;=$D45,T$4&lt;=$E45,NETWORKDAYS(T$4,T$4,'Sources &amp; Change Log'!$J$2:$J$5)=1,COUNTIFS('Team Calendar'!$A$5:$A$14,$F45,'Team Calendar'!$C$5:$C$14,T$4,'Team Calendar'!$F$5:$F$14,"Personal absence")=0),1,"")</x:f>
      </x:c>
      <x:c r="U45" s="211" t="str">
        <x:f>IF(AND(ISNUMBER($D45),ISNUMBER($E45),U$4&gt;=$D45,U$4&lt;=$E45,NETWORKDAYS(U$4,U$4,'Sources &amp; Change Log'!$J$2:$J$5)=1,COUNTIFS('Team Calendar'!$A$5:$A$14,$F45,'Team Calendar'!$C$5:$C$14,U$4,'Team Calendar'!$F$5:$F$14,"Personal absence")=0),1,"")</x:f>
      </x:c>
      <x:c r="V45" s="211" t="str">
        <x:f>IF(AND(ISNUMBER($D45),ISNUMBER($E45),V$4&gt;=$D45,V$4&lt;=$E45,NETWORKDAYS(V$4,V$4,'Sources &amp; Change Log'!$J$2:$J$5)=1,COUNTIFS('Team Calendar'!$A$5:$A$14,$F45,'Team Calendar'!$C$5:$C$14,V$4,'Team Calendar'!$F$5:$F$14,"Personal absence")=0),1,"")</x:f>
      </x:c>
      <x:c r="W45" s="211" t="str">
        <x:f>IF(AND(ISNUMBER($D45),ISNUMBER($E45),W$4&gt;=$D45,W$4&lt;=$E45,NETWORKDAYS(W$4,W$4,'Sources &amp; Change Log'!$J$2:$J$5)=1,COUNTIFS('Team Calendar'!$A$5:$A$14,$F45,'Team Calendar'!$C$5:$C$14,W$4,'Team Calendar'!$F$5:$F$14,"Personal absence")=0),1,"")</x:f>
      </x:c>
      <x:c r="X45" s="211" t="str">
        <x:f>IF(AND(ISNUMBER($D45),ISNUMBER($E45),X$4&gt;=$D45,X$4&lt;=$E45,NETWORKDAYS(X$4,X$4,'Sources &amp; Change Log'!$J$2:$J$5)=1,COUNTIFS('Team Calendar'!$A$5:$A$14,$F45,'Team Calendar'!$C$5:$C$14,X$4,'Team Calendar'!$F$5:$F$14,"Personal absence")=0),1,"")</x:f>
      </x:c>
      <x:c r="Y45" s="211" t="str">
        <x:f>IF(AND(ISNUMBER($D45),ISNUMBER($E45),Y$4&gt;=$D45,Y$4&lt;=$E45,NETWORKDAYS(Y$4,Y$4,'Sources &amp; Change Log'!$J$2:$J$5)=1,COUNTIFS('Team Calendar'!$A$5:$A$14,$F45,'Team Calendar'!$C$5:$C$14,Y$4,'Team Calendar'!$F$5:$F$14,"Personal absence")=0),1,"")</x:f>
      </x:c>
      <x:c r="Z45" s="211" t="str">
        <x:f>IF(AND(ISNUMBER($D45),ISNUMBER($E45),Z$4&gt;=$D45,Z$4&lt;=$E45,NETWORKDAYS(Z$4,Z$4,'Sources &amp; Change Log'!$J$2:$J$5)=1,COUNTIFS('Team Calendar'!$A$5:$A$14,$F45,'Team Calendar'!$C$5:$C$14,Z$4,'Team Calendar'!$F$5:$F$14,"Personal absence")=0),1,"")</x:f>
      </x:c>
      <x:c r="AA45" s="211" t="str">
        <x:f>IF(AND(ISNUMBER($D45),ISNUMBER($E45),AA$4&gt;=$D45,AA$4&lt;=$E45,NETWORKDAYS(AA$4,AA$4,'Sources &amp; Change Log'!$J$2:$J$5)=1,COUNTIFS('Team Calendar'!$A$5:$A$14,$F45,'Team Calendar'!$C$5:$C$14,AA$4,'Team Calendar'!$F$5:$F$14,"Personal absence")=0),1,"")</x:f>
      </x:c>
      <x:c r="AB45" s="211" t="str">
        <x:f>IF(AND(ISNUMBER($D45),ISNUMBER($E45),AB$4&gt;=$D45,AB$4&lt;=$E45,NETWORKDAYS(AB$4,AB$4,'Sources &amp; Change Log'!$J$2:$J$5)=1,COUNTIFS('Team Calendar'!$A$5:$A$14,$F45,'Team Calendar'!$C$5:$C$14,AB$4,'Team Calendar'!$F$5:$F$14,"Personal absence")=0),1,"")</x:f>
      </x:c>
      <x:c r="AC45" s="211" t="str">
        <x:f>IF(AND(ISNUMBER($D45),ISNUMBER($E45),AC$4&gt;=$D45,AC$4&lt;=$E45,NETWORKDAYS(AC$4,AC$4,'Sources &amp; Change Log'!$J$2:$J$5)=1,COUNTIFS('Team Calendar'!$A$5:$A$14,$F45,'Team Calendar'!$C$5:$C$14,AC$4,'Team Calendar'!$F$5:$F$14,"Personal absence")=0),1,"")</x:f>
      </x:c>
      <x:c r="AD45" s="211" t="str">
        <x:f>IF(AND(ISNUMBER($D45),ISNUMBER($E45),AD$4&gt;=$D45,AD$4&lt;=$E45,NETWORKDAYS(AD$4,AD$4,'Sources &amp; Change Log'!$J$2:$J$5)=1,COUNTIFS('Team Calendar'!$A$5:$A$14,$F45,'Team Calendar'!$C$5:$C$14,AD$4,'Team Calendar'!$F$5:$F$14,"Personal absence")=0),1,"")</x:f>
      </x:c>
      <x:c r="AE45" s="211" t="str">
        <x:f>IF(AND(ISNUMBER($D45),ISNUMBER($E45),AE$4&gt;=$D45,AE$4&lt;=$E45,NETWORKDAYS(AE$4,AE$4,'Sources &amp; Change Log'!$J$2:$J$5)=1,COUNTIFS('Team Calendar'!$A$5:$A$14,$F45,'Team Calendar'!$C$5:$C$14,AE$4,'Team Calendar'!$F$5:$F$14,"Personal absence")=0),1,"")</x:f>
      </x:c>
      <x:c r="AF45" s="211" t="str">
        <x:f>IF(AND(ISNUMBER($D45),ISNUMBER($E45),AF$4&gt;=$D45,AF$4&lt;=$E45,NETWORKDAYS(AF$4,AF$4,'Sources &amp; Change Log'!$J$2:$J$5)=1,COUNTIFS('Team Calendar'!$A$5:$A$14,$F45,'Team Calendar'!$C$5:$C$14,AF$4,'Team Calendar'!$F$5:$F$14,"Personal absence")=0),1,"")</x:f>
      </x:c>
      <x:c r="AG45" s="211" t="str">
        <x:f>IF(AND(ISNUMBER($D45),ISNUMBER($E45),AG$4&gt;=$D45,AG$4&lt;=$E45,NETWORKDAYS(AG$4,AG$4,'Sources &amp; Change Log'!$J$2:$J$5)=1,COUNTIFS('Team Calendar'!$A$5:$A$14,$F45,'Team Calendar'!$C$5:$C$14,AG$4,'Team Calendar'!$F$5:$F$14,"Personal absence")=0),1,"")</x:f>
      </x:c>
      <x:c r="AH45" s="211" t="str">
        <x:f>IF(AND(ISNUMBER($D45),ISNUMBER($E45),AH$4&gt;=$D45,AH$4&lt;=$E45,NETWORKDAYS(AH$4,AH$4,'Sources &amp; Change Log'!$J$2:$J$5)=1,COUNTIFS('Team Calendar'!$A$5:$A$14,$F45,'Team Calendar'!$C$5:$C$14,AH$4,'Team Calendar'!$F$5:$F$14,"Personal absence")=0),1,"")</x:f>
      </x:c>
      <x:c r="AI45" s="211" t="str">
        <x:f>IF(AND(ISNUMBER($D45),ISNUMBER($E45),AI$4&gt;=$D45,AI$4&lt;=$E45,NETWORKDAYS(AI$4,AI$4,'Sources &amp; Change Log'!$J$2:$J$5)=1,COUNTIFS('Team Calendar'!$A$5:$A$14,$F45,'Team Calendar'!$C$5:$C$14,AI$4,'Team Calendar'!$F$5:$F$14,"Personal absence")=0),1,"")</x:f>
      </x:c>
      <x:c r="AJ45" s="211" t="str">
        <x:f>IF(AND(ISNUMBER($D45),ISNUMBER($E45),AJ$4&gt;=$D45,AJ$4&lt;=$E45,NETWORKDAYS(AJ$4,AJ$4,'Sources &amp; Change Log'!$J$2:$J$5)=1,COUNTIFS('Team Calendar'!$A$5:$A$14,$F45,'Team Calendar'!$C$5:$C$14,AJ$4,'Team Calendar'!$F$5:$F$14,"Personal absence")=0),1,"")</x:f>
      </x:c>
      <x:c r="AK45" s="211" t="str">
        <x:f>IF(AND(ISNUMBER($D45),ISNUMBER($E45),AK$4&gt;=$D45,AK$4&lt;=$E45,NETWORKDAYS(AK$4,AK$4,'Sources &amp; Change Log'!$J$2:$J$5)=1,COUNTIFS('Team Calendar'!$A$5:$A$14,$F45,'Team Calendar'!$C$5:$C$14,AK$4,'Team Calendar'!$F$5:$F$14,"Personal absence")=0),1,"")</x:f>
      </x:c>
      <x:c r="AL45" s="211" t="str">
        <x:f>IF(AND(ISNUMBER($D45),ISNUMBER($E45),AL$4&gt;=$D45,AL$4&lt;=$E45,NETWORKDAYS(AL$4,AL$4,'Sources &amp; Change Log'!$J$2:$J$5)=1,COUNTIFS('Team Calendar'!$A$5:$A$14,$F45,'Team Calendar'!$C$5:$C$14,AL$4,'Team Calendar'!$F$5:$F$14,"Personal absence")=0),1,"")</x:f>
      </x:c>
      <x:c r="AM45" s="211" t="str">
        <x:f>IF(AND(ISNUMBER($D45),ISNUMBER($E45),AM$4&gt;=$D45,AM$4&lt;=$E45,NETWORKDAYS(AM$4,AM$4,'Sources &amp; Change Log'!$J$2:$J$5)=1,COUNTIFS('Team Calendar'!$A$5:$A$14,$F45,'Team Calendar'!$C$5:$C$14,AM$4,'Team Calendar'!$F$5:$F$14,"Personal absence")=0),1,"")</x:f>
      </x:c>
      <x:c r="AN45" s="211" t="str">
        <x:f>IF(AND(ISNUMBER($D45),ISNUMBER($E45),AN$4&gt;=$D45,AN$4&lt;=$E45,NETWORKDAYS(AN$4,AN$4,'Sources &amp; Change Log'!$J$2:$J$5)=1,COUNTIFS('Team Calendar'!$A$5:$A$14,$F45,'Team Calendar'!$C$5:$C$14,AN$4,'Team Calendar'!$F$5:$F$14,"Personal absence")=0),1,"")</x:f>
      </x:c>
      <x:c r="AO45" s="211" t="str">
        <x:f>IF(AND(ISNUMBER($D45),ISNUMBER($E45),AO$4&gt;=$D45,AO$4&lt;=$E45,NETWORKDAYS(AO$4,AO$4,'Sources &amp; Change Log'!$J$2:$J$5)=1,COUNTIFS('Team Calendar'!$A$5:$A$14,$F45,'Team Calendar'!$C$5:$C$14,AO$4,'Team Calendar'!$F$5:$F$14,"Personal absence")=0),1,"")</x:f>
      </x:c>
      <x:c r="AP45" s="211" t="str">
        <x:f>IF(AND(ISNUMBER($D45),ISNUMBER($E45),AP$4&gt;=$D45,AP$4&lt;=$E45,NETWORKDAYS(AP$4,AP$4,'Sources &amp; Change Log'!$J$2:$J$5)=1,COUNTIFS('Team Calendar'!$A$5:$A$14,$F45,'Team Calendar'!$C$5:$C$14,AP$4,'Team Calendar'!$F$5:$F$14,"Personal absence")=0),1,"")</x:f>
      </x:c>
      <x:c r="AQ45" s="211" t="str">
        <x:f>IF(AND(ISNUMBER($D45),ISNUMBER($E45),AQ$4&gt;=$D45,AQ$4&lt;=$E45,NETWORKDAYS(AQ$4,AQ$4,'Sources &amp; Change Log'!$J$2:$J$5)=1,COUNTIFS('Team Calendar'!$A$5:$A$14,$F45,'Team Calendar'!$C$5:$C$14,AQ$4,'Team Calendar'!$F$5:$F$14,"Personal absence")=0),1,"")</x:f>
      </x:c>
      <x:c r="AR45" s="211" t="n">
        <x:f>IF(AND(ISNUMBER($D45),ISNUMBER($E45),AR$4&gt;=$D45,AR$4&lt;=$E45,NETWORKDAYS(AR$4,AR$4,'Sources &amp; Change Log'!$J$2:$J$5)=1,COUNTIFS('Team Calendar'!$A$5:$A$14,$F45,'Team Calendar'!$C$5:$C$14,AR$4,'Team Calendar'!$F$5:$F$14,"Personal absence")=0),1,"")</x:f>
        <x:v>1</x:v>
      </x:c>
      <x:c r="AS45" s="211" t="n">
        <x:f>IF(AND(ISNUMBER($D45),ISNUMBER($E45),AS$4&gt;=$D45,AS$4&lt;=$E45,NETWORKDAYS(AS$4,AS$4,'Sources &amp; Change Log'!$J$2:$J$5)=1,COUNTIFS('Team Calendar'!$A$5:$A$14,$F45,'Team Calendar'!$C$5:$C$14,AS$4,'Team Calendar'!$F$5:$F$14,"Personal absence")=0),1,"")</x:f>
        <x:v>1</x:v>
      </x:c>
      <x:c r="AT45" s="211" t="n">
        <x:f>IF(AND(ISNUMBER($D45),ISNUMBER($E45),AT$4&gt;=$D45,AT$4&lt;=$E45,NETWORKDAYS(AT$4,AT$4,'Sources &amp; Change Log'!$J$2:$J$5)=1,COUNTIFS('Team Calendar'!$A$5:$A$14,$F45,'Team Calendar'!$C$5:$C$14,AT$4,'Team Calendar'!$F$5:$F$14,"Personal absence")=0),1,"")</x:f>
        <x:v>1</x:v>
      </x:c>
      <x:c r="AU45" s="211" t="str">
        <x:f>IF(AND(ISNUMBER($D45),ISNUMBER($E45),AU$4&gt;=$D45,AU$4&lt;=$E45,NETWORKDAYS(AU$4,AU$4,'Sources &amp; Change Log'!$J$2:$J$5)=1,COUNTIFS('Team Calendar'!$A$5:$A$14,$F45,'Team Calendar'!$C$5:$C$14,AU$4,'Team Calendar'!$F$5:$F$14,"Personal absence")=0),1,"")</x:f>
      </x:c>
      <x:c r="AV45" s="211" t="str">
        <x:f>IF(AND(ISNUMBER($D45),ISNUMBER($E45),AV$4&gt;=$D45,AV$4&lt;=$E45,NETWORKDAYS(AV$4,AV$4,'Sources &amp; Change Log'!$J$2:$J$5)=1,COUNTIFS('Team Calendar'!$A$5:$A$14,$F45,'Team Calendar'!$C$5:$C$14,AV$4,'Team Calendar'!$F$5:$F$14,"Personal absence")=0),1,"")</x:f>
      </x:c>
      <x:c r="AW45" s="211" t="str">
        <x:f>IF(AND(ISNUMBER($D45),ISNUMBER($E45),AW$4&gt;=$D45,AW$4&lt;=$E45,NETWORKDAYS(AW$4,AW$4,'Sources &amp; Change Log'!$J$2:$J$5)=1,COUNTIFS('Team Calendar'!$A$5:$A$14,$F45,'Team Calendar'!$C$5:$C$14,AW$4,'Team Calendar'!$F$5:$F$14,"Personal absence")=0),1,"")</x:f>
      </x:c>
      <x:c r="AX45" s="211" t="str">
        <x:f>IF(AND(ISNUMBER($D45),ISNUMBER($E45),AX$4&gt;=$D45,AX$4&lt;=$E45,NETWORKDAYS(AX$4,AX$4,'Sources &amp; Change Log'!$J$2:$J$5)=1,COUNTIFS('Team Calendar'!$A$5:$A$14,$F45,'Team Calendar'!$C$5:$C$14,AX$4,'Team Calendar'!$F$5:$F$14,"Personal absence")=0),1,"")</x:f>
      </x:c>
      <x:c r="AY45" s="206"/>
      <x:c r="AZ45" s="206"/>
    </x:row>
    <x:row r="46" ht="30" customHeight="1">
      <x:c r="A46" s="198" t="str">
        <x:f>WBS!A78</x:f>
        <x:v>CR-P1-SEC-01-02</x:v>
      </x:c>
      <x:c r="B46" s="198" t="str">
        <x:f>WBS!B78</x:f>
        <x:v>SEC-AC-02 Allow/Deny Matrix 범위를 소관 티켓 기준으로 정리</x:v>
      </x:c>
      <x:c r="C46" s="198" t="str">
        <x:f>WBS!G78</x:f>
        <x:v>Done</x:v>
      </x:c>
      <x:c r="D46" s="226" t="n">
        <x:f>WBS!H78</x:f>
        <x:v>46295</x:v>
      </x:c>
      <x:c r="E46" s="226" t="n">
        <x:f>WBS!I78</x:f>
        <x:v>46297</x:v>
      </x:c>
      <x:c r="F46" t="str">
        <x:f>WBS!L78</x:f>
        <x:v>이하영</x:v>
      </x:c>
      <x:c r="G46" s="211" t="str">
        <x:f>IF(AND(ISNUMBER($D46),ISNUMBER($E46),G$4&gt;=$D46,G$4&lt;=$E46,NETWORKDAYS(G$4,G$4,'Sources &amp; Change Log'!$J$2:$J$5)=1,COUNTIFS('Team Calendar'!$A$5:$A$14,$F46,'Team Calendar'!$C$5:$C$14,G$4,'Team Calendar'!$F$5:$F$14,"Personal absence")=0),1,"")</x:f>
      </x:c>
      <x:c r="H46" s="211" t="str">
        <x:f>IF(AND(ISNUMBER($D46),ISNUMBER($E46),H$4&gt;=$D46,H$4&lt;=$E46,NETWORKDAYS(H$4,H$4,'Sources &amp; Change Log'!$J$2:$J$5)=1,COUNTIFS('Team Calendar'!$A$5:$A$14,$F46,'Team Calendar'!$C$5:$C$14,H$4,'Team Calendar'!$F$5:$F$14,"Personal absence")=0),1,"")</x:f>
      </x:c>
      <x:c r="I46" s="211" t="str">
        <x:f>IF(AND(ISNUMBER($D46),ISNUMBER($E46),I$4&gt;=$D46,I$4&lt;=$E46,NETWORKDAYS(I$4,I$4,'Sources &amp; Change Log'!$J$2:$J$5)=1,COUNTIFS('Team Calendar'!$A$5:$A$14,$F46,'Team Calendar'!$C$5:$C$14,I$4,'Team Calendar'!$F$5:$F$14,"Personal absence")=0),1,"")</x:f>
      </x:c>
      <x:c r="J46" s="211" t="str">
        <x:f>IF(AND(ISNUMBER($D46),ISNUMBER($E46),J$4&gt;=$D46,J$4&lt;=$E46,NETWORKDAYS(J$4,J$4,'Sources &amp; Change Log'!$J$2:$J$5)=1,COUNTIFS('Team Calendar'!$A$5:$A$14,$F46,'Team Calendar'!$C$5:$C$14,J$4,'Team Calendar'!$F$5:$F$14,"Personal absence")=0),1,"")</x:f>
      </x:c>
      <x:c r="K46" s="211" t="str">
        <x:f>IF(AND(ISNUMBER($D46),ISNUMBER($E46),K$4&gt;=$D46,K$4&lt;=$E46,NETWORKDAYS(K$4,K$4,'Sources &amp; Change Log'!$J$2:$J$5)=1,COUNTIFS('Team Calendar'!$A$5:$A$14,$F46,'Team Calendar'!$C$5:$C$14,K$4,'Team Calendar'!$F$5:$F$14,"Personal absence")=0),1,"")</x:f>
      </x:c>
      <x:c r="L46" s="211" t="str">
        <x:f>IF(AND(ISNUMBER($D46),ISNUMBER($E46),L$4&gt;=$D46,L$4&lt;=$E46,NETWORKDAYS(L$4,L$4,'Sources &amp; Change Log'!$J$2:$J$5)=1,COUNTIFS('Team Calendar'!$A$5:$A$14,$F46,'Team Calendar'!$C$5:$C$14,L$4,'Team Calendar'!$F$5:$F$14,"Personal absence")=0),1,"")</x:f>
      </x:c>
      <x:c r="M46" s="211" t="str">
        <x:f>IF(AND(ISNUMBER($D46),ISNUMBER($E46),M$4&gt;=$D46,M$4&lt;=$E46,NETWORKDAYS(M$4,M$4,'Sources &amp; Change Log'!$J$2:$J$5)=1,COUNTIFS('Team Calendar'!$A$5:$A$14,$F46,'Team Calendar'!$C$5:$C$14,M$4,'Team Calendar'!$F$5:$F$14,"Personal absence")=0),1,"")</x:f>
      </x:c>
      <x:c r="N46" s="211" t="str">
        <x:f>IF(AND(ISNUMBER($D46),ISNUMBER($E46),N$4&gt;=$D46,N$4&lt;=$E46,NETWORKDAYS(N$4,N$4,'Sources &amp; Change Log'!$J$2:$J$5)=1,COUNTIFS('Team Calendar'!$A$5:$A$14,$F46,'Team Calendar'!$C$5:$C$14,N$4,'Team Calendar'!$F$5:$F$14,"Personal absence")=0),1,"")</x:f>
      </x:c>
      <x:c r="O46" s="211" t="str">
        <x:f>IF(AND(ISNUMBER($D46),ISNUMBER($E46),O$4&gt;=$D46,O$4&lt;=$E46,NETWORKDAYS(O$4,O$4,'Sources &amp; Change Log'!$J$2:$J$5)=1,COUNTIFS('Team Calendar'!$A$5:$A$14,$F46,'Team Calendar'!$C$5:$C$14,O$4,'Team Calendar'!$F$5:$F$14,"Personal absence")=0),1,"")</x:f>
      </x:c>
      <x:c r="P46" s="211" t="str">
        <x:f>IF(AND(ISNUMBER($D46),ISNUMBER($E46),P$4&gt;=$D46,P$4&lt;=$E46,NETWORKDAYS(P$4,P$4,'Sources &amp; Change Log'!$J$2:$J$5)=1,COUNTIFS('Team Calendar'!$A$5:$A$14,$F46,'Team Calendar'!$C$5:$C$14,P$4,'Team Calendar'!$F$5:$F$14,"Personal absence")=0),1,"")</x:f>
      </x:c>
      <x:c r="Q46" s="211" t="str">
        <x:f>IF(AND(ISNUMBER($D46),ISNUMBER($E46),Q$4&gt;=$D46,Q$4&lt;=$E46,NETWORKDAYS(Q$4,Q$4,'Sources &amp; Change Log'!$J$2:$J$5)=1,COUNTIFS('Team Calendar'!$A$5:$A$14,$F46,'Team Calendar'!$C$5:$C$14,Q$4,'Team Calendar'!$F$5:$F$14,"Personal absence")=0),1,"")</x:f>
      </x:c>
      <x:c r="R46" s="211" t="str">
        <x:f>IF(AND(ISNUMBER($D46),ISNUMBER($E46),R$4&gt;=$D46,R$4&lt;=$E46,NETWORKDAYS(R$4,R$4,'Sources &amp; Change Log'!$J$2:$J$5)=1,COUNTIFS('Team Calendar'!$A$5:$A$14,$F46,'Team Calendar'!$C$5:$C$14,R$4,'Team Calendar'!$F$5:$F$14,"Personal absence")=0),1,"")</x:f>
      </x:c>
      <x:c r="S46" s="211" t="str">
        <x:f>IF(AND(ISNUMBER($D46),ISNUMBER($E46),S$4&gt;=$D46,S$4&lt;=$E46,NETWORKDAYS(S$4,S$4,'Sources &amp; Change Log'!$J$2:$J$5)=1,COUNTIFS('Team Calendar'!$A$5:$A$14,$F46,'Team Calendar'!$C$5:$C$14,S$4,'Team Calendar'!$F$5:$F$14,"Personal absence")=0),1,"")</x:f>
      </x:c>
      <x:c r="T46" s="211" t="str">
        <x:f>IF(AND(ISNUMBER($D46),ISNUMBER($E46),T$4&gt;=$D46,T$4&lt;=$E46,NETWORKDAYS(T$4,T$4,'Sources &amp; Change Log'!$J$2:$J$5)=1,COUNTIFS('Team Calendar'!$A$5:$A$14,$F46,'Team Calendar'!$C$5:$C$14,T$4,'Team Calendar'!$F$5:$F$14,"Personal absence")=0),1,"")</x:f>
      </x:c>
      <x:c r="U46" s="211" t="str">
        <x:f>IF(AND(ISNUMBER($D46),ISNUMBER($E46),U$4&gt;=$D46,U$4&lt;=$E46,NETWORKDAYS(U$4,U$4,'Sources &amp; Change Log'!$J$2:$J$5)=1,COUNTIFS('Team Calendar'!$A$5:$A$14,$F46,'Team Calendar'!$C$5:$C$14,U$4,'Team Calendar'!$F$5:$F$14,"Personal absence")=0),1,"")</x:f>
      </x:c>
      <x:c r="V46" s="211" t="str">
        <x:f>IF(AND(ISNUMBER($D46),ISNUMBER($E46),V$4&gt;=$D46,V$4&lt;=$E46,NETWORKDAYS(V$4,V$4,'Sources &amp; Change Log'!$J$2:$J$5)=1,COUNTIFS('Team Calendar'!$A$5:$A$14,$F46,'Team Calendar'!$C$5:$C$14,V$4,'Team Calendar'!$F$5:$F$14,"Personal absence")=0),1,"")</x:f>
      </x:c>
      <x:c r="W46" s="211" t="str">
        <x:f>IF(AND(ISNUMBER($D46),ISNUMBER($E46),W$4&gt;=$D46,W$4&lt;=$E46,NETWORKDAYS(W$4,W$4,'Sources &amp; Change Log'!$J$2:$J$5)=1,COUNTIFS('Team Calendar'!$A$5:$A$14,$F46,'Team Calendar'!$C$5:$C$14,W$4,'Team Calendar'!$F$5:$F$14,"Personal absence")=0),1,"")</x:f>
      </x:c>
      <x:c r="X46" s="211" t="str">
        <x:f>IF(AND(ISNUMBER($D46),ISNUMBER($E46),X$4&gt;=$D46,X$4&lt;=$E46,NETWORKDAYS(X$4,X$4,'Sources &amp; Change Log'!$J$2:$J$5)=1,COUNTIFS('Team Calendar'!$A$5:$A$14,$F46,'Team Calendar'!$C$5:$C$14,X$4,'Team Calendar'!$F$5:$F$14,"Personal absence")=0),1,"")</x:f>
      </x:c>
      <x:c r="Y46" s="211" t="str">
        <x:f>IF(AND(ISNUMBER($D46),ISNUMBER($E46),Y$4&gt;=$D46,Y$4&lt;=$E46,NETWORKDAYS(Y$4,Y$4,'Sources &amp; Change Log'!$J$2:$J$5)=1,COUNTIFS('Team Calendar'!$A$5:$A$14,$F46,'Team Calendar'!$C$5:$C$14,Y$4,'Team Calendar'!$F$5:$F$14,"Personal absence")=0),1,"")</x:f>
      </x:c>
      <x:c r="Z46" s="211" t="str">
        <x:f>IF(AND(ISNUMBER($D46),ISNUMBER($E46),Z$4&gt;=$D46,Z$4&lt;=$E46,NETWORKDAYS(Z$4,Z$4,'Sources &amp; Change Log'!$J$2:$J$5)=1,COUNTIFS('Team Calendar'!$A$5:$A$14,$F46,'Team Calendar'!$C$5:$C$14,Z$4,'Team Calendar'!$F$5:$F$14,"Personal absence")=0),1,"")</x:f>
      </x:c>
      <x:c r="AA46" s="211" t="str">
        <x:f>IF(AND(ISNUMBER($D46),ISNUMBER($E46),AA$4&gt;=$D46,AA$4&lt;=$E46,NETWORKDAYS(AA$4,AA$4,'Sources &amp; Change Log'!$J$2:$J$5)=1,COUNTIFS('Team Calendar'!$A$5:$A$14,$F46,'Team Calendar'!$C$5:$C$14,AA$4,'Team Calendar'!$F$5:$F$14,"Personal absence")=0),1,"")</x:f>
      </x:c>
      <x:c r="AB46" s="211" t="str">
        <x:f>IF(AND(ISNUMBER($D46),ISNUMBER($E46),AB$4&gt;=$D46,AB$4&lt;=$E46,NETWORKDAYS(AB$4,AB$4,'Sources &amp; Change Log'!$J$2:$J$5)=1,COUNTIFS('Team Calendar'!$A$5:$A$14,$F46,'Team Calendar'!$C$5:$C$14,AB$4,'Team Calendar'!$F$5:$F$14,"Personal absence")=0),1,"")</x:f>
      </x:c>
      <x:c r="AC46" s="211" t="str">
        <x:f>IF(AND(ISNUMBER($D46),ISNUMBER($E46),AC$4&gt;=$D46,AC$4&lt;=$E46,NETWORKDAYS(AC$4,AC$4,'Sources &amp; Change Log'!$J$2:$J$5)=1,COUNTIFS('Team Calendar'!$A$5:$A$14,$F46,'Team Calendar'!$C$5:$C$14,AC$4,'Team Calendar'!$F$5:$F$14,"Personal absence")=0),1,"")</x:f>
      </x:c>
      <x:c r="AD46" s="211" t="str">
        <x:f>IF(AND(ISNUMBER($D46),ISNUMBER($E46),AD$4&gt;=$D46,AD$4&lt;=$E46,NETWORKDAYS(AD$4,AD$4,'Sources &amp; Change Log'!$J$2:$J$5)=1,COUNTIFS('Team Calendar'!$A$5:$A$14,$F46,'Team Calendar'!$C$5:$C$14,AD$4,'Team Calendar'!$F$5:$F$14,"Personal absence")=0),1,"")</x:f>
      </x:c>
      <x:c r="AE46" s="211" t="str">
        <x:f>IF(AND(ISNUMBER($D46),ISNUMBER($E46),AE$4&gt;=$D46,AE$4&lt;=$E46,NETWORKDAYS(AE$4,AE$4,'Sources &amp; Change Log'!$J$2:$J$5)=1,COUNTIFS('Team Calendar'!$A$5:$A$14,$F46,'Team Calendar'!$C$5:$C$14,AE$4,'Team Calendar'!$F$5:$F$14,"Personal absence")=0),1,"")</x:f>
      </x:c>
      <x:c r="AF46" s="211" t="str">
        <x:f>IF(AND(ISNUMBER($D46),ISNUMBER($E46),AF$4&gt;=$D46,AF$4&lt;=$E46,NETWORKDAYS(AF$4,AF$4,'Sources &amp; Change Log'!$J$2:$J$5)=1,COUNTIFS('Team Calendar'!$A$5:$A$14,$F46,'Team Calendar'!$C$5:$C$14,AF$4,'Team Calendar'!$F$5:$F$14,"Personal absence")=0),1,"")</x:f>
      </x:c>
      <x:c r="AG46" s="211" t="str">
        <x:f>IF(AND(ISNUMBER($D46),ISNUMBER($E46),AG$4&gt;=$D46,AG$4&lt;=$E46,NETWORKDAYS(AG$4,AG$4,'Sources &amp; Change Log'!$J$2:$J$5)=1,COUNTIFS('Team Calendar'!$A$5:$A$14,$F46,'Team Calendar'!$C$5:$C$14,AG$4,'Team Calendar'!$F$5:$F$14,"Personal absence")=0),1,"")</x:f>
      </x:c>
      <x:c r="AH46" s="211" t="str">
        <x:f>IF(AND(ISNUMBER($D46),ISNUMBER($E46),AH$4&gt;=$D46,AH$4&lt;=$E46,NETWORKDAYS(AH$4,AH$4,'Sources &amp; Change Log'!$J$2:$J$5)=1,COUNTIFS('Team Calendar'!$A$5:$A$14,$F46,'Team Calendar'!$C$5:$C$14,AH$4,'Team Calendar'!$F$5:$F$14,"Personal absence")=0),1,"")</x:f>
      </x:c>
      <x:c r="AI46" s="211" t="str">
        <x:f>IF(AND(ISNUMBER($D46),ISNUMBER($E46),AI$4&gt;=$D46,AI$4&lt;=$E46,NETWORKDAYS(AI$4,AI$4,'Sources &amp; Change Log'!$J$2:$J$5)=1,COUNTIFS('Team Calendar'!$A$5:$A$14,$F46,'Team Calendar'!$C$5:$C$14,AI$4,'Team Calendar'!$F$5:$F$14,"Personal absence")=0),1,"")</x:f>
      </x:c>
      <x:c r="AJ46" s="211" t="str">
        <x:f>IF(AND(ISNUMBER($D46),ISNUMBER($E46),AJ$4&gt;=$D46,AJ$4&lt;=$E46,NETWORKDAYS(AJ$4,AJ$4,'Sources &amp; Change Log'!$J$2:$J$5)=1,COUNTIFS('Team Calendar'!$A$5:$A$14,$F46,'Team Calendar'!$C$5:$C$14,AJ$4,'Team Calendar'!$F$5:$F$14,"Personal absence")=0),1,"")</x:f>
      </x:c>
      <x:c r="AK46" s="211" t="str">
        <x:f>IF(AND(ISNUMBER($D46),ISNUMBER($E46),AK$4&gt;=$D46,AK$4&lt;=$E46,NETWORKDAYS(AK$4,AK$4,'Sources &amp; Change Log'!$J$2:$J$5)=1,COUNTIFS('Team Calendar'!$A$5:$A$14,$F46,'Team Calendar'!$C$5:$C$14,AK$4,'Team Calendar'!$F$5:$F$14,"Personal absence")=0),1,"")</x:f>
      </x:c>
      <x:c r="AL46" s="211" t="str">
        <x:f>IF(AND(ISNUMBER($D46),ISNUMBER($E46),AL$4&gt;=$D46,AL$4&lt;=$E46,NETWORKDAYS(AL$4,AL$4,'Sources &amp; Change Log'!$J$2:$J$5)=1,COUNTIFS('Team Calendar'!$A$5:$A$14,$F46,'Team Calendar'!$C$5:$C$14,AL$4,'Team Calendar'!$F$5:$F$14,"Personal absence")=0),1,"")</x:f>
      </x:c>
      <x:c r="AM46" s="211" t="str">
        <x:f>IF(AND(ISNUMBER($D46),ISNUMBER($E46),AM$4&gt;=$D46,AM$4&lt;=$E46,NETWORKDAYS(AM$4,AM$4,'Sources &amp; Change Log'!$J$2:$J$5)=1,COUNTIFS('Team Calendar'!$A$5:$A$14,$F46,'Team Calendar'!$C$5:$C$14,AM$4,'Team Calendar'!$F$5:$F$14,"Personal absence")=0),1,"")</x:f>
      </x:c>
      <x:c r="AN46" s="211" t="str">
        <x:f>IF(AND(ISNUMBER($D46),ISNUMBER($E46),AN$4&gt;=$D46,AN$4&lt;=$E46,NETWORKDAYS(AN$4,AN$4,'Sources &amp; Change Log'!$J$2:$J$5)=1,COUNTIFS('Team Calendar'!$A$5:$A$14,$F46,'Team Calendar'!$C$5:$C$14,AN$4,'Team Calendar'!$F$5:$F$14,"Personal absence")=0),1,"")</x:f>
      </x:c>
      <x:c r="AO46" s="211" t="str">
        <x:f>IF(AND(ISNUMBER($D46),ISNUMBER($E46),AO$4&gt;=$D46,AO$4&lt;=$E46,NETWORKDAYS(AO$4,AO$4,'Sources &amp; Change Log'!$J$2:$J$5)=1,COUNTIFS('Team Calendar'!$A$5:$A$14,$F46,'Team Calendar'!$C$5:$C$14,AO$4,'Team Calendar'!$F$5:$F$14,"Personal absence")=0),1,"")</x:f>
      </x:c>
      <x:c r="AP46" s="211" t="str">
        <x:f>IF(AND(ISNUMBER($D46),ISNUMBER($E46),AP$4&gt;=$D46,AP$4&lt;=$E46,NETWORKDAYS(AP$4,AP$4,'Sources &amp; Change Log'!$J$2:$J$5)=1,COUNTIFS('Team Calendar'!$A$5:$A$14,$F46,'Team Calendar'!$C$5:$C$14,AP$4,'Team Calendar'!$F$5:$F$14,"Personal absence")=0),1,"")</x:f>
      </x:c>
      <x:c r="AQ46" s="211" t="str">
        <x:f>IF(AND(ISNUMBER($D46),ISNUMBER($E46),AQ$4&gt;=$D46,AQ$4&lt;=$E46,NETWORKDAYS(AQ$4,AQ$4,'Sources &amp; Change Log'!$J$2:$J$5)=1,COUNTIFS('Team Calendar'!$A$5:$A$14,$F46,'Team Calendar'!$C$5:$C$14,AQ$4,'Team Calendar'!$F$5:$F$14,"Personal absence")=0),1,"")</x:f>
      </x:c>
      <x:c r="AR46" s="211" t="n">
        <x:f>IF(AND(ISNUMBER($D46),ISNUMBER($E46),AR$4&gt;=$D46,AR$4&lt;=$E46,NETWORKDAYS(AR$4,AR$4,'Sources &amp; Change Log'!$J$2:$J$5)=1,COUNTIFS('Team Calendar'!$A$5:$A$14,$F46,'Team Calendar'!$C$5:$C$14,AR$4,'Team Calendar'!$F$5:$F$14,"Personal absence")=0),1,"")</x:f>
        <x:v>1</x:v>
      </x:c>
      <x:c r="AS46" s="211" t="n">
        <x:f>IF(AND(ISNUMBER($D46),ISNUMBER($E46),AS$4&gt;=$D46,AS$4&lt;=$E46,NETWORKDAYS(AS$4,AS$4,'Sources &amp; Change Log'!$J$2:$J$5)=1,COUNTIFS('Team Calendar'!$A$5:$A$14,$F46,'Team Calendar'!$C$5:$C$14,AS$4,'Team Calendar'!$F$5:$F$14,"Personal absence")=0),1,"")</x:f>
        <x:v>1</x:v>
      </x:c>
      <x:c r="AT46" s="211" t="n">
        <x:f>IF(AND(ISNUMBER($D46),ISNUMBER($E46),AT$4&gt;=$D46,AT$4&lt;=$E46,NETWORKDAYS(AT$4,AT$4,'Sources &amp; Change Log'!$J$2:$J$5)=1,COUNTIFS('Team Calendar'!$A$5:$A$14,$F46,'Team Calendar'!$C$5:$C$14,AT$4,'Team Calendar'!$F$5:$F$14,"Personal absence")=0),1,"")</x:f>
        <x:v>1</x:v>
      </x:c>
      <x:c r="AU46" s="211" t="str">
        <x:f>IF(AND(ISNUMBER($D46),ISNUMBER($E46),AU$4&gt;=$D46,AU$4&lt;=$E46,NETWORKDAYS(AU$4,AU$4,'Sources &amp; Change Log'!$J$2:$J$5)=1,COUNTIFS('Team Calendar'!$A$5:$A$14,$F46,'Team Calendar'!$C$5:$C$14,AU$4,'Team Calendar'!$F$5:$F$14,"Personal absence")=0),1,"")</x:f>
      </x:c>
      <x:c r="AV46" s="211" t="str">
        <x:f>IF(AND(ISNUMBER($D46),ISNUMBER($E46),AV$4&gt;=$D46,AV$4&lt;=$E46,NETWORKDAYS(AV$4,AV$4,'Sources &amp; Change Log'!$J$2:$J$5)=1,COUNTIFS('Team Calendar'!$A$5:$A$14,$F46,'Team Calendar'!$C$5:$C$14,AV$4,'Team Calendar'!$F$5:$F$14,"Personal absence")=0),1,"")</x:f>
      </x:c>
      <x:c r="AW46" s="211" t="str">
        <x:f>IF(AND(ISNUMBER($D46),ISNUMBER($E46),AW$4&gt;=$D46,AW$4&lt;=$E46,NETWORKDAYS(AW$4,AW$4,'Sources &amp; Change Log'!$J$2:$J$5)=1,COUNTIFS('Team Calendar'!$A$5:$A$14,$F46,'Team Calendar'!$C$5:$C$14,AW$4,'Team Calendar'!$F$5:$F$14,"Personal absence")=0),1,"")</x:f>
      </x:c>
      <x:c r="AX46" s="211" t="str">
        <x:f>IF(AND(ISNUMBER($D46),ISNUMBER($E46),AX$4&gt;=$D46,AX$4&lt;=$E46,NETWORKDAYS(AX$4,AX$4,'Sources &amp; Change Log'!$J$2:$J$5)=1,COUNTIFS('Team Calendar'!$A$5:$A$14,$F46,'Team Calendar'!$C$5:$C$14,AX$4,'Team Calendar'!$F$5:$F$14,"Personal absence")=0),1,"")</x:f>
      </x:c>
      <x:c r="AY46" s="206"/>
      <x:c r="AZ46" s="206"/>
    </x:row>
    <x:row r="47" ht="30" customHeight="1">
      <x:c r="A47" s="198" t="str">
        <x:f>WBS!A79</x:f>
        <x:v>CR-P1-SEC-01-03</x:v>
      </x:c>
      <x:c r="B47" s="198" t="str">
        <x:f>WBS!B79</x:f>
        <x:v>B2 source-preservation(#63)의 AC-04 필수 여부 결정 요청</x:v>
      </x:c>
      <x:c r="C47" s="198" t="str">
        <x:f>WBS!G79</x:f>
        <x:v>Done</x:v>
      </x:c>
      <x:c r="D47" s="226" t="n">
        <x:f>WBS!H79</x:f>
        <x:v>46295</x:v>
      </x:c>
      <x:c r="E47" s="226" t="n">
        <x:f>WBS!I79</x:f>
        <x:v>46297</x:v>
      </x:c>
      <x:c r="F47" t="str">
        <x:f>WBS!L79</x:f>
        <x:v>이하영</x:v>
      </x:c>
      <x:c r="G47" s="211" t="str">
        <x:f>IF(AND(ISNUMBER($D47),ISNUMBER($E47),G$4&gt;=$D47,G$4&lt;=$E47,NETWORKDAYS(G$4,G$4,'Sources &amp; Change Log'!$J$2:$J$5)=1,COUNTIFS('Team Calendar'!$A$5:$A$14,$F47,'Team Calendar'!$C$5:$C$14,G$4,'Team Calendar'!$F$5:$F$14,"Personal absence")=0),1,"")</x:f>
      </x:c>
      <x:c r="H47" s="211" t="str">
        <x:f>IF(AND(ISNUMBER($D47),ISNUMBER($E47),H$4&gt;=$D47,H$4&lt;=$E47,NETWORKDAYS(H$4,H$4,'Sources &amp; Change Log'!$J$2:$J$5)=1,COUNTIFS('Team Calendar'!$A$5:$A$14,$F47,'Team Calendar'!$C$5:$C$14,H$4,'Team Calendar'!$F$5:$F$14,"Personal absence")=0),1,"")</x:f>
      </x:c>
      <x:c r="I47" s="211" t="str">
        <x:f>IF(AND(ISNUMBER($D47),ISNUMBER($E47),I$4&gt;=$D47,I$4&lt;=$E47,NETWORKDAYS(I$4,I$4,'Sources &amp; Change Log'!$J$2:$J$5)=1,COUNTIFS('Team Calendar'!$A$5:$A$14,$F47,'Team Calendar'!$C$5:$C$14,I$4,'Team Calendar'!$F$5:$F$14,"Personal absence")=0),1,"")</x:f>
      </x:c>
      <x:c r="J47" s="211" t="str">
        <x:f>IF(AND(ISNUMBER($D47),ISNUMBER($E47),J$4&gt;=$D47,J$4&lt;=$E47,NETWORKDAYS(J$4,J$4,'Sources &amp; Change Log'!$J$2:$J$5)=1,COUNTIFS('Team Calendar'!$A$5:$A$14,$F47,'Team Calendar'!$C$5:$C$14,J$4,'Team Calendar'!$F$5:$F$14,"Personal absence")=0),1,"")</x:f>
      </x:c>
      <x:c r="K47" s="211" t="str">
        <x:f>IF(AND(ISNUMBER($D47),ISNUMBER($E47),K$4&gt;=$D47,K$4&lt;=$E47,NETWORKDAYS(K$4,K$4,'Sources &amp; Change Log'!$J$2:$J$5)=1,COUNTIFS('Team Calendar'!$A$5:$A$14,$F47,'Team Calendar'!$C$5:$C$14,K$4,'Team Calendar'!$F$5:$F$14,"Personal absence")=0),1,"")</x:f>
      </x:c>
      <x:c r="L47" s="211" t="str">
        <x:f>IF(AND(ISNUMBER($D47),ISNUMBER($E47),L$4&gt;=$D47,L$4&lt;=$E47,NETWORKDAYS(L$4,L$4,'Sources &amp; Change Log'!$J$2:$J$5)=1,COUNTIFS('Team Calendar'!$A$5:$A$14,$F47,'Team Calendar'!$C$5:$C$14,L$4,'Team Calendar'!$F$5:$F$14,"Personal absence")=0),1,"")</x:f>
      </x:c>
      <x:c r="M47" s="211" t="str">
        <x:f>IF(AND(ISNUMBER($D47),ISNUMBER($E47),M$4&gt;=$D47,M$4&lt;=$E47,NETWORKDAYS(M$4,M$4,'Sources &amp; Change Log'!$J$2:$J$5)=1,COUNTIFS('Team Calendar'!$A$5:$A$14,$F47,'Team Calendar'!$C$5:$C$14,M$4,'Team Calendar'!$F$5:$F$14,"Personal absence")=0),1,"")</x:f>
      </x:c>
      <x:c r="N47" s="211" t="str">
        <x:f>IF(AND(ISNUMBER($D47),ISNUMBER($E47),N$4&gt;=$D47,N$4&lt;=$E47,NETWORKDAYS(N$4,N$4,'Sources &amp; Change Log'!$J$2:$J$5)=1,COUNTIFS('Team Calendar'!$A$5:$A$14,$F47,'Team Calendar'!$C$5:$C$14,N$4,'Team Calendar'!$F$5:$F$14,"Personal absence")=0),1,"")</x:f>
      </x:c>
      <x:c r="O47" s="211" t="str">
        <x:f>IF(AND(ISNUMBER($D47),ISNUMBER($E47),O$4&gt;=$D47,O$4&lt;=$E47,NETWORKDAYS(O$4,O$4,'Sources &amp; Change Log'!$J$2:$J$5)=1,COUNTIFS('Team Calendar'!$A$5:$A$14,$F47,'Team Calendar'!$C$5:$C$14,O$4,'Team Calendar'!$F$5:$F$14,"Personal absence")=0),1,"")</x:f>
      </x:c>
      <x:c r="P47" s="211" t="str">
        <x:f>IF(AND(ISNUMBER($D47),ISNUMBER($E47),P$4&gt;=$D47,P$4&lt;=$E47,NETWORKDAYS(P$4,P$4,'Sources &amp; Change Log'!$J$2:$J$5)=1,COUNTIFS('Team Calendar'!$A$5:$A$14,$F47,'Team Calendar'!$C$5:$C$14,P$4,'Team Calendar'!$F$5:$F$14,"Personal absence")=0),1,"")</x:f>
      </x:c>
      <x:c r="Q47" s="211" t="str">
        <x:f>IF(AND(ISNUMBER($D47),ISNUMBER($E47),Q$4&gt;=$D47,Q$4&lt;=$E47,NETWORKDAYS(Q$4,Q$4,'Sources &amp; Change Log'!$J$2:$J$5)=1,COUNTIFS('Team Calendar'!$A$5:$A$14,$F47,'Team Calendar'!$C$5:$C$14,Q$4,'Team Calendar'!$F$5:$F$14,"Personal absence")=0),1,"")</x:f>
      </x:c>
      <x:c r="R47" s="211" t="str">
        <x:f>IF(AND(ISNUMBER($D47),ISNUMBER($E47),R$4&gt;=$D47,R$4&lt;=$E47,NETWORKDAYS(R$4,R$4,'Sources &amp; Change Log'!$J$2:$J$5)=1,COUNTIFS('Team Calendar'!$A$5:$A$14,$F47,'Team Calendar'!$C$5:$C$14,R$4,'Team Calendar'!$F$5:$F$14,"Personal absence")=0),1,"")</x:f>
      </x:c>
      <x:c r="S47" s="211" t="str">
        <x:f>IF(AND(ISNUMBER($D47),ISNUMBER($E47),S$4&gt;=$D47,S$4&lt;=$E47,NETWORKDAYS(S$4,S$4,'Sources &amp; Change Log'!$J$2:$J$5)=1,COUNTIFS('Team Calendar'!$A$5:$A$14,$F47,'Team Calendar'!$C$5:$C$14,S$4,'Team Calendar'!$F$5:$F$14,"Personal absence")=0),1,"")</x:f>
      </x:c>
      <x:c r="T47" s="211" t="str">
        <x:f>IF(AND(ISNUMBER($D47),ISNUMBER($E47),T$4&gt;=$D47,T$4&lt;=$E47,NETWORKDAYS(T$4,T$4,'Sources &amp; Change Log'!$J$2:$J$5)=1,COUNTIFS('Team Calendar'!$A$5:$A$14,$F47,'Team Calendar'!$C$5:$C$14,T$4,'Team Calendar'!$F$5:$F$14,"Personal absence")=0),1,"")</x:f>
      </x:c>
      <x:c r="U47" s="211" t="str">
        <x:f>IF(AND(ISNUMBER($D47),ISNUMBER($E47),U$4&gt;=$D47,U$4&lt;=$E47,NETWORKDAYS(U$4,U$4,'Sources &amp; Change Log'!$J$2:$J$5)=1,COUNTIFS('Team Calendar'!$A$5:$A$14,$F47,'Team Calendar'!$C$5:$C$14,U$4,'Team Calendar'!$F$5:$F$14,"Personal absence")=0),1,"")</x:f>
      </x:c>
      <x:c r="V47" s="211" t="str">
        <x:f>IF(AND(ISNUMBER($D47),ISNUMBER($E47),V$4&gt;=$D47,V$4&lt;=$E47,NETWORKDAYS(V$4,V$4,'Sources &amp; Change Log'!$J$2:$J$5)=1,COUNTIFS('Team Calendar'!$A$5:$A$14,$F47,'Team Calendar'!$C$5:$C$14,V$4,'Team Calendar'!$F$5:$F$14,"Personal absence")=0),1,"")</x:f>
      </x:c>
      <x:c r="W47" s="211" t="str">
        <x:f>IF(AND(ISNUMBER($D47),ISNUMBER($E47),W$4&gt;=$D47,W$4&lt;=$E47,NETWORKDAYS(W$4,W$4,'Sources &amp; Change Log'!$J$2:$J$5)=1,COUNTIFS('Team Calendar'!$A$5:$A$14,$F47,'Team Calendar'!$C$5:$C$14,W$4,'Team Calendar'!$F$5:$F$14,"Personal absence")=0),1,"")</x:f>
      </x:c>
      <x:c r="X47" s="211" t="str">
        <x:f>IF(AND(ISNUMBER($D47),ISNUMBER($E47),X$4&gt;=$D47,X$4&lt;=$E47,NETWORKDAYS(X$4,X$4,'Sources &amp; Change Log'!$J$2:$J$5)=1,COUNTIFS('Team Calendar'!$A$5:$A$14,$F47,'Team Calendar'!$C$5:$C$14,X$4,'Team Calendar'!$F$5:$F$14,"Personal absence")=0),1,"")</x:f>
      </x:c>
      <x:c r="Y47" s="211" t="str">
        <x:f>IF(AND(ISNUMBER($D47),ISNUMBER($E47),Y$4&gt;=$D47,Y$4&lt;=$E47,NETWORKDAYS(Y$4,Y$4,'Sources &amp; Change Log'!$J$2:$J$5)=1,COUNTIFS('Team Calendar'!$A$5:$A$14,$F47,'Team Calendar'!$C$5:$C$14,Y$4,'Team Calendar'!$F$5:$F$14,"Personal absence")=0),1,"")</x:f>
      </x:c>
      <x:c r="Z47" s="211" t="str">
        <x:f>IF(AND(ISNUMBER($D47),ISNUMBER($E47),Z$4&gt;=$D47,Z$4&lt;=$E47,NETWORKDAYS(Z$4,Z$4,'Sources &amp; Change Log'!$J$2:$J$5)=1,COUNTIFS('Team Calendar'!$A$5:$A$14,$F47,'Team Calendar'!$C$5:$C$14,Z$4,'Team Calendar'!$F$5:$F$14,"Personal absence")=0),1,"")</x:f>
      </x:c>
      <x:c r="AA47" s="211" t="str">
        <x:f>IF(AND(ISNUMBER($D47),ISNUMBER($E47),AA$4&gt;=$D47,AA$4&lt;=$E47,NETWORKDAYS(AA$4,AA$4,'Sources &amp; Change Log'!$J$2:$J$5)=1,COUNTIFS('Team Calendar'!$A$5:$A$14,$F47,'Team Calendar'!$C$5:$C$14,AA$4,'Team Calendar'!$F$5:$F$14,"Personal absence")=0),1,"")</x:f>
      </x:c>
      <x:c r="AB47" s="211" t="str">
        <x:f>IF(AND(ISNUMBER($D47),ISNUMBER($E47),AB$4&gt;=$D47,AB$4&lt;=$E47,NETWORKDAYS(AB$4,AB$4,'Sources &amp; Change Log'!$J$2:$J$5)=1,COUNTIFS('Team Calendar'!$A$5:$A$14,$F47,'Team Calendar'!$C$5:$C$14,AB$4,'Team Calendar'!$F$5:$F$14,"Personal absence")=0),1,"")</x:f>
      </x:c>
      <x:c r="AC47" s="211" t="str">
        <x:f>IF(AND(ISNUMBER($D47),ISNUMBER($E47),AC$4&gt;=$D47,AC$4&lt;=$E47,NETWORKDAYS(AC$4,AC$4,'Sources &amp; Change Log'!$J$2:$J$5)=1,COUNTIFS('Team Calendar'!$A$5:$A$14,$F47,'Team Calendar'!$C$5:$C$14,AC$4,'Team Calendar'!$F$5:$F$14,"Personal absence")=0),1,"")</x:f>
      </x:c>
      <x:c r="AD47" s="211" t="str">
        <x:f>IF(AND(ISNUMBER($D47),ISNUMBER($E47),AD$4&gt;=$D47,AD$4&lt;=$E47,NETWORKDAYS(AD$4,AD$4,'Sources &amp; Change Log'!$J$2:$J$5)=1,COUNTIFS('Team Calendar'!$A$5:$A$14,$F47,'Team Calendar'!$C$5:$C$14,AD$4,'Team Calendar'!$F$5:$F$14,"Personal absence")=0),1,"")</x:f>
      </x:c>
      <x:c r="AE47" s="211" t="str">
        <x:f>IF(AND(ISNUMBER($D47),ISNUMBER($E47),AE$4&gt;=$D47,AE$4&lt;=$E47,NETWORKDAYS(AE$4,AE$4,'Sources &amp; Change Log'!$J$2:$J$5)=1,COUNTIFS('Team Calendar'!$A$5:$A$14,$F47,'Team Calendar'!$C$5:$C$14,AE$4,'Team Calendar'!$F$5:$F$14,"Personal absence")=0),1,"")</x:f>
      </x:c>
      <x:c r="AF47" s="211" t="str">
        <x:f>IF(AND(ISNUMBER($D47),ISNUMBER($E47),AF$4&gt;=$D47,AF$4&lt;=$E47,NETWORKDAYS(AF$4,AF$4,'Sources &amp; Change Log'!$J$2:$J$5)=1,COUNTIFS('Team Calendar'!$A$5:$A$14,$F47,'Team Calendar'!$C$5:$C$14,AF$4,'Team Calendar'!$F$5:$F$14,"Personal absence")=0),1,"")</x:f>
      </x:c>
      <x:c r="AG47" s="211" t="str">
        <x:f>IF(AND(ISNUMBER($D47),ISNUMBER($E47),AG$4&gt;=$D47,AG$4&lt;=$E47,NETWORKDAYS(AG$4,AG$4,'Sources &amp; Change Log'!$J$2:$J$5)=1,COUNTIFS('Team Calendar'!$A$5:$A$14,$F47,'Team Calendar'!$C$5:$C$14,AG$4,'Team Calendar'!$F$5:$F$14,"Personal absence")=0),1,"")</x:f>
      </x:c>
      <x:c r="AH47" s="211" t="str">
        <x:f>IF(AND(ISNUMBER($D47),ISNUMBER($E47),AH$4&gt;=$D47,AH$4&lt;=$E47,NETWORKDAYS(AH$4,AH$4,'Sources &amp; Change Log'!$J$2:$J$5)=1,COUNTIFS('Team Calendar'!$A$5:$A$14,$F47,'Team Calendar'!$C$5:$C$14,AH$4,'Team Calendar'!$F$5:$F$14,"Personal absence")=0),1,"")</x:f>
      </x:c>
      <x:c r="AI47" s="211" t="str">
        <x:f>IF(AND(ISNUMBER($D47),ISNUMBER($E47),AI$4&gt;=$D47,AI$4&lt;=$E47,NETWORKDAYS(AI$4,AI$4,'Sources &amp; Change Log'!$J$2:$J$5)=1,COUNTIFS('Team Calendar'!$A$5:$A$14,$F47,'Team Calendar'!$C$5:$C$14,AI$4,'Team Calendar'!$F$5:$F$14,"Personal absence")=0),1,"")</x:f>
      </x:c>
      <x:c r="AJ47" s="211" t="str">
        <x:f>IF(AND(ISNUMBER($D47),ISNUMBER($E47),AJ$4&gt;=$D47,AJ$4&lt;=$E47,NETWORKDAYS(AJ$4,AJ$4,'Sources &amp; Change Log'!$J$2:$J$5)=1,COUNTIFS('Team Calendar'!$A$5:$A$14,$F47,'Team Calendar'!$C$5:$C$14,AJ$4,'Team Calendar'!$F$5:$F$14,"Personal absence")=0),1,"")</x:f>
      </x:c>
      <x:c r="AK47" s="211" t="str">
        <x:f>IF(AND(ISNUMBER($D47),ISNUMBER($E47),AK$4&gt;=$D47,AK$4&lt;=$E47,NETWORKDAYS(AK$4,AK$4,'Sources &amp; Change Log'!$J$2:$J$5)=1,COUNTIFS('Team Calendar'!$A$5:$A$14,$F47,'Team Calendar'!$C$5:$C$14,AK$4,'Team Calendar'!$F$5:$F$14,"Personal absence")=0),1,"")</x:f>
      </x:c>
      <x:c r="AL47" s="211" t="str">
        <x:f>IF(AND(ISNUMBER($D47),ISNUMBER($E47),AL$4&gt;=$D47,AL$4&lt;=$E47,NETWORKDAYS(AL$4,AL$4,'Sources &amp; Change Log'!$J$2:$J$5)=1,COUNTIFS('Team Calendar'!$A$5:$A$14,$F47,'Team Calendar'!$C$5:$C$14,AL$4,'Team Calendar'!$F$5:$F$14,"Personal absence")=0),1,"")</x:f>
      </x:c>
      <x:c r="AM47" s="211" t="str">
        <x:f>IF(AND(ISNUMBER($D47),ISNUMBER($E47),AM$4&gt;=$D47,AM$4&lt;=$E47,NETWORKDAYS(AM$4,AM$4,'Sources &amp; Change Log'!$J$2:$J$5)=1,COUNTIFS('Team Calendar'!$A$5:$A$14,$F47,'Team Calendar'!$C$5:$C$14,AM$4,'Team Calendar'!$F$5:$F$14,"Personal absence")=0),1,"")</x:f>
      </x:c>
      <x:c r="AN47" s="211" t="str">
        <x:f>IF(AND(ISNUMBER($D47),ISNUMBER($E47),AN$4&gt;=$D47,AN$4&lt;=$E47,NETWORKDAYS(AN$4,AN$4,'Sources &amp; Change Log'!$J$2:$J$5)=1,COUNTIFS('Team Calendar'!$A$5:$A$14,$F47,'Team Calendar'!$C$5:$C$14,AN$4,'Team Calendar'!$F$5:$F$14,"Personal absence")=0),1,"")</x:f>
      </x:c>
      <x:c r="AO47" s="211" t="str">
        <x:f>IF(AND(ISNUMBER($D47),ISNUMBER($E47),AO$4&gt;=$D47,AO$4&lt;=$E47,NETWORKDAYS(AO$4,AO$4,'Sources &amp; Change Log'!$J$2:$J$5)=1,COUNTIFS('Team Calendar'!$A$5:$A$14,$F47,'Team Calendar'!$C$5:$C$14,AO$4,'Team Calendar'!$F$5:$F$14,"Personal absence")=0),1,"")</x:f>
      </x:c>
      <x:c r="AP47" s="211" t="str">
        <x:f>IF(AND(ISNUMBER($D47),ISNUMBER($E47),AP$4&gt;=$D47,AP$4&lt;=$E47,NETWORKDAYS(AP$4,AP$4,'Sources &amp; Change Log'!$J$2:$J$5)=1,COUNTIFS('Team Calendar'!$A$5:$A$14,$F47,'Team Calendar'!$C$5:$C$14,AP$4,'Team Calendar'!$F$5:$F$14,"Personal absence")=0),1,"")</x:f>
      </x:c>
      <x:c r="AQ47" s="211" t="str">
        <x:f>IF(AND(ISNUMBER($D47),ISNUMBER($E47),AQ$4&gt;=$D47,AQ$4&lt;=$E47,NETWORKDAYS(AQ$4,AQ$4,'Sources &amp; Change Log'!$J$2:$J$5)=1,COUNTIFS('Team Calendar'!$A$5:$A$14,$F47,'Team Calendar'!$C$5:$C$14,AQ$4,'Team Calendar'!$F$5:$F$14,"Personal absence")=0),1,"")</x:f>
      </x:c>
      <x:c r="AR47" s="211" t="n">
        <x:f>IF(AND(ISNUMBER($D47),ISNUMBER($E47),AR$4&gt;=$D47,AR$4&lt;=$E47,NETWORKDAYS(AR$4,AR$4,'Sources &amp; Change Log'!$J$2:$J$5)=1,COUNTIFS('Team Calendar'!$A$5:$A$14,$F47,'Team Calendar'!$C$5:$C$14,AR$4,'Team Calendar'!$F$5:$F$14,"Personal absence")=0),1,"")</x:f>
        <x:v>1</x:v>
      </x:c>
      <x:c r="AS47" s="211" t="n">
        <x:f>IF(AND(ISNUMBER($D47),ISNUMBER($E47),AS$4&gt;=$D47,AS$4&lt;=$E47,NETWORKDAYS(AS$4,AS$4,'Sources &amp; Change Log'!$J$2:$J$5)=1,COUNTIFS('Team Calendar'!$A$5:$A$14,$F47,'Team Calendar'!$C$5:$C$14,AS$4,'Team Calendar'!$F$5:$F$14,"Personal absence")=0),1,"")</x:f>
        <x:v>1</x:v>
      </x:c>
      <x:c r="AT47" s="211" t="n">
        <x:f>IF(AND(ISNUMBER($D47),ISNUMBER($E47),AT$4&gt;=$D47,AT$4&lt;=$E47,NETWORKDAYS(AT$4,AT$4,'Sources &amp; Change Log'!$J$2:$J$5)=1,COUNTIFS('Team Calendar'!$A$5:$A$14,$F47,'Team Calendar'!$C$5:$C$14,AT$4,'Team Calendar'!$F$5:$F$14,"Personal absence")=0),1,"")</x:f>
        <x:v>1</x:v>
      </x:c>
      <x:c r="AU47" s="211" t="str">
        <x:f>IF(AND(ISNUMBER($D47),ISNUMBER($E47),AU$4&gt;=$D47,AU$4&lt;=$E47,NETWORKDAYS(AU$4,AU$4,'Sources &amp; Change Log'!$J$2:$J$5)=1,COUNTIFS('Team Calendar'!$A$5:$A$14,$F47,'Team Calendar'!$C$5:$C$14,AU$4,'Team Calendar'!$F$5:$F$14,"Personal absence")=0),1,"")</x:f>
      </x:c>
      <x:c r="AV47" s="211" t="str">
        <x:f>IF(AND(ISNUMBER($D47),ISNUMBER($E47),AV$4&gt;=$D47,AV$4&lt;=$E47,NETWORKDAYS(AV$4,AV$4,'Sources &amp; Change Log'!$J$2:$J$5)=1,COUNTIFS('Team Calendar'!$A$5:$A$14,$F47,'Team Calendar'!$C$5:$C$14,AV$4,'Team Calendar'!$F$5:$F$14,"Personal absence")=0),1,"")</x:f>
      </x:c>
      <x:c r="AW47" s="211" t="str">
        <x:f>IF(AND(ISNUMBER($D47),ISNUMBER($E47),AW$4&gt;=$D47,AW$4&lt;=$E47,NETWORKDAYS(AW$4,AW$4,'Sources &amp; Change Log'!$J$2:$J$5)=1,COUNTIFS('Team Calendar'!$A$5:$A$14,$F47,'Team Calendar'!$C$5:$C$14,AW$4,'Team Calendar'!$F$5:$F$14,"Personal absence")=0),1,"")</x:f>
      </x:c>
      <x:c r="AX47" s="211" t="str">
        <x:f>IF(AND(ISNUMBER($D47),ISNUMBER($E47),AX$4&gt;=$D47,AX$4&lt;=$E47,NETWORKDAYS(AX$4,AX$4,'Sources &amp; Change Log'!$J$2:$J$5)=1,COUNTIFS('Team Calendar'!$A$5:$A$14,$F47,'Team Calendar'!$C$5:$C$14,AX$4,'Team Calendar'!$F$5:$F$14,"Personal absence")=0),1,"")</x:f>
      </x:c>
      <x:c r="AY47" s="206"/>
      <x:c r="AZ47" s="206"/>
    </x:row>
    <x:row r="48" ht="30" customHeight="1">
      <x:c r="A48" s="198" t="str">
        <x:f>WBS!A80</x:f>
        <x:v>CR-P1-K8S-01-01</x:v>
      </x:c>
      <x:c r="B48" s="198" t="str">
        <x:f>WBS!B80</x:f>
        <x:v>P1-K8S-01 복구(T19) 실행 범위 구체화(worker01 대표 1대)·Secret 책임 #19 정리 (MTU는 비ICMP 시험으로 수용)</x:v>
      </x:c>
      <x:c r="C48" s="198" t="str">
        <x:f>WBS!G80</x:f>
        <x:v>Todo</x:v>
      </x:c>
      <x:c r="D48" s="226" t="n">
        <x:f>WBS!H80</x:f>
        <x:v>46295</x:v>
      </x:c>
      <x:c r="E48" s="226" t="n">
        <x:f>WBS!I80</x:f>
        <x:v>46297</x:v>
      </x:c>
      <x:c r="F48" t="str">
        <x:f>WBS!L80</x:f>
        <x:v>이하영</x:v>
      </x:c>
      <x:c r="G48" s="211" t="str">
        <x:f>IF(AND(ISNUMBER($D48),ISNUMBER($E48),G$4&gt;=$D48,G$4&lt;=$E48,NETWORKDAYS(G$4,G$4,'Sources &amp; Change Log'!$J$2:$J$5)=1,COUNTIFS('Team Calendar'!$A$5:$A$14,$F48,'Team Calendar'!$C$5:$C$14,G$4,'Team Calendar'!$F$5:$F$14,"Personal absence")=0),1,"")</x:f>
      </x:c>
      <x:c r="H48" s="211" t="str">
        <x:f>IF(AND(ISNUMBER($D48),ISNUMBER($E48),H$4&gt;=$D48,H$4&lt;=$E48,NETWORKDAYS(H$4,H$4,'Sources &amp; Change Log'!$J$2:$J$5)=1,COUNTIFS('Team Calendar'!$A$5:$A$14,$F48,'Team Calendar'!$C$5:$C$14,H$4,'Team Calendar'!$F$5:$F$14,"Personal absence")=0),1,"")</x:f>
      </x:c>
      <x:c r="I48" s="211" t="str">
        <x:f>IF(AND(ISNUMBER($D48),ISNUMBER($E48),I$4&gt;=$D48,I$4&lt;=$E48,NETWORKDAYS(I$4,I$4,'Sources &amp; Change Log'!$J$2:$J$5)=1,COUNTIFS('Team Calendar'!$A$5:$A$14,$F48,'Team Calendar'!$C$5:$C$14,I$4,'Team Calendar'!$F$5:$F$14,"Personal absence")=0),1,"")</x:f>
      </x:c>
      <x:c r="J48" s="211" t="str">
        <x:f>IF(AND(ISNUMBER($D48),ISNUMBER($E48),J$4&gt;=$D48,J$4&lt;=$E48,NETWORKDAYS(J$4,J$4,'Sources &amp; Change Log'!$J$2:$J$5)=1,COUNTIFS('Team Calendar'!$A$5:$A$14,$F48,'Team Calendar'!$C$5:$C$14,J$4,'Team Calendar'!$F$5:$F$14,"Personal absence")=0),1,"")</x:f>
      </x:c>
      <x:c r="K48" s="211" t="str">
        <x:f>IF(AND(ISNUMBER($D48),ISNUMBER($E48),K$4&gt;=$D48,K$4&lt;=$E48,NETWORKDAYS(K$4,K$4,'Sources &amp; Change Log'!$J$2:$J$5)=1,COUNTIFS('Team Calendar'!$A$5:$A$14,$F48,'Team Calendar'!$C$5:$C$14,K$4,'Team Calendar'!$F$5:$F$14,"Personal absence")=0),1,"")</x:f>
      </x:c>
      <x:c r="L48" s="211" t="str">
        <x:f>IF(AND(ISNUMBER($D48),ISNUMBER($E48),L$4&gt;=$D48,L$4&lt;=$E48,NETWORKDAYS(L$4,L$4,'Sources &amp; Change Log'!$J$2:$J$5)=1,COUNTIFS('Team Calendar'!$A$5:$A$14,$F48,'Team Calendar'!$C$5:$C$14,L$4,'Team Calendar'!$F$5:$F$14,"Personal absence")=0),1,"")</x:f>
      </x:c>
      <x:c r="M48" s="211" t="str">
        <x:f>IF(AND(ISNUMBER($D48),ISNUMBER($E48),M$4&gt;=$D48,M$4&lt;=$E48,NETWORKDAYS(M$4,M$4,'Sources &amp; Change Log'!$J$2:$J$5)=1,COUNTIFS('Team Calendar'!$A$5:$A$14,$F48,'Team Calendar'!$C$5:$C$14,M$4,'Team Calendar'!$F$5:$F$14,"Personal absence")=0),1,"")</x:f>
      </x:c>
      <x:c r="N48" s="211" t="str">
        <x:f>IF(AND(ISNUMBER($D48),ISNUMBER($E48),N$4&gt;=$D48,N$4&lt;=$E48,NETWORKDAYS(N$4,N$4,'Sources &amp; Change Log'!$J$2:$J$5)=1,COUNTIFS('Team Calendar'!$A$5:$A$14,$F48,'Team Calendar'!$C$5:$C$14,N$4,'Team Calendar'!$F$5:$F$14,"Personal absence")=0),1,"")</x:f>
      </x:c>
      <x:c r="O48" s="211" t="str">
        <x:f>IF(AND(ISNUMBER($D48),ISNUMBER($E48),O$4&gt;=$D48,O$4&lt;=$E48,NETWORKDAYS(O$4,O$4,'Sources &amp; Change Log'!$J$2:$J$5)=1,COUNTIFS('Team Calendar'!$A$5:$A$14,$F48,'Team Calendar'!$C$5:$C$14,O$4,'Team Calendar'!$F$5:$F$14,"Personal absence")=0),1,"")</x:f>
      </x:c>
      <x:c r="P48" s="211" t="str">
        <x:f>IF(AND(ISNUMBER($D48),ISNUMBER($E48),P$4&gt;=$D48,P$4&lt;=$E48,NETWORKDAYS(P$4,P$4,'Sources &amp; Change Log'!$J$2:$J$5)=1,COUNTIFS('Team Calendar'!$A$5:$A$14,$F48,'Team Calendar'!$C$5:$C$14,P$4,'Team Calendar'!$F$5:$F$14,"Personal absence")=0),1,"")</x:f>
      </x:c>
      <x:c r="Q48" s="211" t="str">
        <x:f>IF(AND(ISNUMBER($D48),ISNUMBER($E48),Q$4&gt;=$D48,Q$4&lt;=$E48,NETWORKDAYS(Q$4,Q$4,'Sources &amp; Change Log'!$J$2:$J$5)=1,COUNTIFS('Team Calendar'!$A$5:$A$14,$F48,'Team Calendar'!$C$5:$C$14,Q$4,'Team Calendar'!$F$5:$F$14,"Personal absence")=0),1,"")</x:f>
      </x:c>
      <x:c r="R48" s="211" t="str">
        <x:f>IF(AND(ISNUMBER($D48),ISNUMBER($E48),R$4&gt;=$D48,R$4&lt;=$E48,NETWORKDAYS(R$4,R$4,'Sources &amp; Change Log'!$J$2:$J$5)=1,COUNTIFS('Team Calendar'!$A$5:$A$14,$F48,'Team Calendar'!$C$5:$C$14,R$4,'Team Calendar'!$F$5:$F$14,"Personal absence")=0),1,"")</x:f>
      </x:c>
      <x:c r="S48" s="211" t="str">
        <x:f>IF(AND(ISNUMBER($D48),ISNUMBER($E48),S$4&gt;=$D48,S$4&lt;=$E48,NETWORKDAYS(S$4,S$4,'Sources &amp; Change Log'!$J$2:$J$5)=1,COUNTIFS('Team Calendar'!$A$5:$A$14,$F48,'Team Calendar'!$C$5:$C$14,S$4,'Team Calendar'!$F$5:$F$14,"Personal absence")=0),1,"")</x:f>
      </x:c>
      <x:c r="T48" s="211" t="str">
        <x:f>IF(AND(ISNUMBER($D48),ISNUMBER($E48),T$4&gt;=$D48,T$4&lt;=$E48,NETWORKDAYS(T$4,T$4,'Sources &amp; Change Log'!$J$2:$J$5)=1,COUNTIFS('Team Calendar'!$A$5:$A$14,$F48,'Team Calendar'!$C$5:$C$14,T$4,'Team Calendar'!$F$5:$F$14,"Personal absence")=0),1,"")</x:f>
      </x:c>
      <x:c r="U48" s="211" t="str">
        <x:f>IF(AND(ISNUMBER($D48),ISNUMBER($E48),U$4&gt;=$D48,U$4&lt;=$E48,NETWORKDAYS(U$4,U$4,'Sources &amp; Change Log'!$J$2:$J$5)=1,COUNTIFS('Team Calendar'!$A$5:$A$14,$F48,'Team Calendar'!$C$5:$C$14,U$4,'Team Calendar'!$F$5:$F$14,"Personal absence")=0),1,"")</x:f>
      </x:c>
      <x:c r="V48" s="211" t="str">
        <x:f>IF(AND(ISNUMBER($D48),ISNUMBER($E48),V$4&gt;=$D48,V$4&lt;=$E48,NETWORKDAYS(V$4,V$4,'Sources &amp; Change Log'!$J$2:$J$5)=1,COUNTIFS('Team Calendar'!$A$5:$A$14,$F48,'Team Calendar'!$C$5:$C$14,V$4,'Team Calendar'!$F$5:$F$14,"Personal absence")=0),1,"")</x:f>
      </x:c>
      <x:c r="W48" s="211" t="str">
        <x:f>IF(AND(ISNUMBER($D48),ISNUMBER($E48),W$4&gt;=$D48,W$4&lt;=$E48,NETWORKDAYS(W$4,W$4,'Sources &amp; Change Log'!$J$2:$J$5)=1,COUNTIFS('Team Calendar'!$A$5:$A$14,$F48,'Team Calendar'!$C$5:$C$14,W$4,'Team Calendar'!$F$5:$F$14,"Personal absence")=0),1,"")</x:f>
      </x:c>
      <x:c r="X48" s="211" t="str">
        <x:f>IF(AND(ISNUMBER($D48),ISNUMBER($E48),X$4&gt;=$D48,X$4&lt;=$E48,NETWORKDAYS(X$4,X$4,'Sources &amp; Change Log'!$J$2:$J$5)=1,COUNTIFS('Team Calendar'!$A$5:$A$14,$F48,'Team Calendar'!$C$5:$C$14,X$4,'Team Calendar'!$F$5:$F$14,"Personal absence")=0),1,"")</x:f>
      </x:c>
      <x:c r="Y48" s="211" t="str">
        <x:f>IF(AND(ISNUMBER($D48),ISNUMBER($E48),Y$4&gt;=$D48,Y$4&lt;=$E48,NETWORKDAYS(Y$4,Y$4,'Sources &amp; Change Log'!$J$2:$J$5)=1,COUNTIFS('Team Calendar'!$A$5:$A$14,$F48,'Team Calendar'!$C$5:$C$14,Y$4,'Team Calendar'!$F$5:$F$14,"Personal absence")=0),1,"")</x:f>
      </x:c>
      <x:c r="Z48" s="211" t="str">
        <x:f>IF(AND(ISNUMBER($D48),ISNUMBER($E48),Z$4&gt;=$D48,Z$4&lt;=$E48,NETWORKDAYS(Z$4,Z$4,'Sources &amp; Change Log'!$J$2:$J$5)=1,COUNTIFS('Team Calendar'!$A$5:$A$14,$F48,'Team Calendar'!$C$5:$C$14,Z$4,'Team Calendar'!$F$5:$F$14,"Personal absence")=0),1,"")</x:f>
      </x:c>
      <x:c r="AA48" s="211" t="str">
        <x:f>IF(AND(ISNUMBER($D48),ISNUMBER($E48),AA$4&gt;=$D48,AA$4&lt;=$E48,NETWORKDAYS(AA$4,AA$4,'Sources &amp; Change Log'!$J$2:$J$5)=1,COUNTIFS('Team Calendar'!$A$5:$A$14,$F48,'Team Calendar'!$C$5:$C$14,AA$4,'Team Calendar'!$F$5:$F$14,"Personal absence")=0),1,"")</x:f>
      </x:c>
      <x:c r="AB48" s="211" t="str">
        <x:f>IF(AND(ISNUMBER($D48),ISNUMBER($E48),AB$4&gt;=$D48,AB$4&lt;=$E48,NETWORKDAYS(AB$4,AB$4,'Sources &amp; Change Log'!$J$2:$J$5)=1,COUNTIFS('Team Calendar'!$A$5:$A$14,$F48,'Team Calendar'!$C$5:$C$14,AB$4,'Team Calendar'!$F$5:$F$14,"Personal absence")=0),1,"")</x:f>
      </x:c>
      <x:c r="AC48" s="211" t="str">
        <x:f>IF(AND(ISNUMBER($D48),ISNUMBER($E48),AC$4&gt;=$D48,AC$4&lt;=$E48,NETWORKDAYS(AC$4,AC$4,'Sources &amp; Change Log'!$J$2:$J$5)=1,COUNTIFS('Team Calendar'!$A$5:$A$14,$F48,'Team Calendar'!$C$5:$C$14,AC$4,'Team Calendar'!$F$5:$F$14,"Personal absence")=0),1,"")</x:f>
      </x:c>
      <x:c r="AD48" s="211" t="str">
        <x:f>IF(AND(ISNUMBER($D48),ISNUMBER($E48),AD$4&gt;=$D48,AD$4&lt;=$E48,NETWORKDAYS(AD$4,AD$4,'Sources &amp; Change Log'!$J$2:$J$5)=1,COUNTIFS('Team Calendar'!$A$5:$A$14,$F48,'Team Calendar'!$C$5:$C$14,AD$4,'Team Calendar'!$F$5:$F$14,"Personal absence")=0),1,"")</x:f>
      </x:c>
      <x:c r="AE48" s="211" t="str">
        <x:f>IF(AND(ISNUMBER($D48),ISNUMBER($E48),AE$4&gt;=$D48,AE$4&lt;=$E48,NETWORKDAYS(AE$4,AE$4,'Sources &amp; Change Log'!$J$2:$J$5)=1,COUNTIFS('Team Calendar'!$A$5:$A$14,$F48,'Team Calendar'!$C$5:$C$14,AE$4,'Team Calendar'!$F$5:$F$14,"Personal absence")=0),1,"")</x:f>
      </x:c>
      <x:c r="AF48" s="211" t="str">
        <x:f>IF(AND(ISNUMBER($D48),ISNUMBER($E48),AF$4&gt;=$D48,AF$4&lt;=$E48,NETWORKDAYS(AF$4,AF$4,'Sources &amp; Change Log'!$J$2:$J$5)=1,COUNTIFS('Team Calendar'!$A$5:$A$14,$F48,'Team Calendar'!$C$5:$C$14,AF$4,'Team Calendar'!$F$5:$F$14,"Personal absence")=0),1,"")</x:f>
      </x:c>
      <x:c r="AG48" s="211" t="str">
        <x:f>IF(AND(ISNUMBER($D48),ISNUMBER($E48),AG$4&gt;=$D48,AG$4&lt;=$E48,NETWORKDAYS(AG$4,AG$4,'Sources &amp; Change Log'!$J$2:$J$5)=1,COUNTIFS('Team Calendar'!$A$5:$A$14,$F48,'Team Calendar'!$C$5:$C$14,AG$4,'Team Calendar'!$F$5:$F$14,"Personal absence")=0),1,"")</x:f>
      </x:c>
      <x:c r="AH48" s="211" t="str">
        <x:f>IF(AND(ISNUMBER($D48),ISNUMBER($E48),AH$4&gt;=$D48,AH$4&lt;=$E48,NETWORKDAYS(AH$4,AH$4,'Sources &amp; Change Log'!$J$2:$J$5)=1,COUNTIFS('Team Calendar'!$A$5:$A$14,$F48,'Team Calendar'!$C$5:$C$14,AH$4,'Team Calendar'!$F$5:$F$14,"Personal absence")=0),1,"")</x:f>
      </x:c>
      <x:c r="AI48" s="211" t="str">
        <x:f>IF(AND(ISNUMBER($D48),ISNUMBER($E48),AI$4&gt;=$D48,AI$4&lt;=$E48,NETWORKDAYS(AI$4,AI$4,'Sources &amp; Change Log'!$J$2:$J$5)=1,COUNTIFS('Team Calendar'!$A$5:$A$14,$F48,'Team Calendar'!$C$5:$C$14,AI$4,'Team Calendar'!$F$5:$F$14,"Personal absence")=0),1,"")</x:f>
      </x:c>
      <x:c r="AJ48" s="211" t="str">
        <x:f>IF(AND(ISNUMBER($D48),ISNUMBER($E48),AJ$4&gt;=$D48,AJ$4&lt;=$E48,NETWORKDAYS(AJ$4,AJ$4,'Sources &amp; Change Log'!$J$2:$J$5)=1,COUNTIFS('Team Calendar'!$A$5:$A$14,$F48,'Team Calendar'!$C$5:$C$14,AJ$4,'Team Calendar'!$F$5:$F$14,"Personal absence")=0),1,"")</x:f>
      </x:c>
      <x:c r="AK48" s="211" t="str">
        <x:f>IF(AND(ISNUMBER($D48),ISNUMBER($E48),AK$4&gt;=$D48,AK$4&lt;=$E48,NETWORKDAYS(AK$4,AK$4,'Sources &amp; Change Log'!$J$2:$J$5)=1,COUNTIFS('Team Calendar'!$A$5:$A$14,$F48,'Team Calendar'!$C$5:$C$14,AK$4,'Team Calendar'!$F$5:$F$14,"Personal absence")=0),1,"")</x:f>
      </x:c>
      <x:c r="AL48" s="211" t="str">
        <x:f>IF(AND(ISNUMBER($D48),ISNUMBER($E48),AL$4&gt;=$D48,AL$4&lt;=$E48,NETWORKDAYS(AL$4,AL$4,'Sources &amp; Change Log'!$J$2:$J$5)=1,COUNTIFS('Team Calendar'!$A$5:$A$14,$F48,'Team Calendar'!$C$5:$C$14,AL$4,'Team Calendar'!$F$5:$F$14,"Personal absence")=0),1,"")</x:f>
      </x:c>
      <x:c r="AM48" s="211" t="str">
        <x:f>IF(AND(ISNUMBER($D48),ISNUMBER($E48),AM$4&gt;=$D48,AM$4&lt;=$E48,NETWORKDAYS(AM$4,AM$4,'Sources &amp; Change Log'!$J$2:$J$5)=1,COUNTIFS('Team Calendar'!$A$5:$A$14,$F48,'Team Calendar'!$C$5:$C$14,AM$4,'Team Calendar'!$F$5:$F$14,"Personal absence")=0),1,"")</x:f>
      </x:c>
      <x:c r="AN48" s="211" t="str">
        <x:f>IF(AND(ISNUMBER($D48),ISNUMBER($E48),AN$4&gt;=$D48,AN$4&lt;=$E48,NETWORKDAYS(AN$4,AN$4,'Sources &amp; Change Log'!$J$2:$J$5)=1,COUNTIFS('Team Calendar'!$A$5:$A$14,$F48,'Team Calendar'!$C$5:$C$14,AN$4,'Team Calendar'!$F$5:$F$14,"Personal absence")=0),1,"")</x:f>
      </x:c>
      <x:c r="AO48" s="211" t="str">
        <x:f>IF(AND(ISNUMBER($D48),ISNUMBER($E48),AO$4&gt;=$D48,AO$4&lt;=$E48,NETWORKDAYS(AO$4,AO$4,'Sources &amp; Change Log'!$J$2:$J$5)=1,COUNTIFS('Team Calendar'!$A$5:$A$14,$F48,'Team Calendar'!$C$5:$C$14,AO$4,'Team Calendar'!$F$5:$F$14,"Personal absence")=0),1,"")</x:f>
      </x:c>
      <x:c r="AP48" s="211" t="str">
        <x:f>IF(AND(ISNUMBER($D48),ISNUMBER($E48),AP$4&gt;=$D48,AP$4&lt;=$E48,NETWORKDAYS(AP$4,AP$4,'Sources &amp; Change Log'!$J$2:$J$5)=1,COUNTIFS('Team Calendar'!$A$5:$A$14,$F48,'Team Calendar'!$C$5:$C$14,AP$4,'Team Calendar'!$F$5:$F$14,"Personal absence")=0),1,"")</x:f>
      </x:c>
      <x:c r="AQ48" s="211" t="str">
        <x:f>IF(AND(ISNUMBER($D48),ISNUMBER($E48),AQ$4&gt;=$D48,AQ$4&lt;=$E48,NETWORKDAYS(AQ$4,AQ$4,'Sources &amp; Change Log'!$J$2:$J$5)=1,COUNTIFS('Team Calendar'!$A$5:$A$14,$F48,'Team Calendar'!$C$5:$C$14,AQ$4,'Team Calendar'!$F$5:$F$14,"Personal absence")=0),1,"")</x:f>
      </x:c>
      <x:c r="AR48" s="211" t="n">
        <x:f>IF(AND(ISNUMBER($D48),ISNUMBER($E48),AR$4&gt;=$D48,AR$4&lt;=$E48,NETWORKDAYS(AR$4,AR$4,'Sources &amp; Change Log'!$J$2:$J$5)=1,COUNTIFS('Team Calendar'!$A$5:$A$14,$F48,'Team Calendar'!$C$5:$C$14,AR$4,'Team Calendar'!$F$5:$F$14,"Personal absence")=0),1,"")</x:f>
        <x:v>1</x:v>
      </x:c>
      <x:c r="AS48" s="211" t="n">
        <x:f>IF(AND(ISNUMBER($D48),ISNUMBER($E48),AS$4&gt;=$D48,AS$4&lt;=$E48,NETWORKDAYS(AS$4,AS$4,'Sources &amp; Change Log'!$J$2:$J$5)=1,COUNTIFS('Team Calendar'!$A$5:$A$14,$F48,'Team Calendar'!$C$5:$C$14,AS$4,'Team Calendar'!$F$5:$F$14,"Personal absence")=0),1,"")</x:f>
        <x:v>1</x:v>
      </x:c>
      <x:c r="AT48" s="211" t="n">
        <x:f>IF(AND(ISNUMBER($D48),ISNUMBER($E48),AT$4&gt;=$D48,AT$4&lt;=$E48,NETWORKDAYS(AT$4,AT$4,'Sources &amp; Change Log'!$J$2:$J$5)=1,COUNTIFS('Team Calendar'!$A$5:$A$14,$F48,'Team Calendar'!$C$5:$C$14,AT$4,'Team Calendar'!$F$5:$F$14,"Personal absence")=0),1,"")</x:f>
        <x:v>1</x:v>
      </x:c>
      <x:c r="AU48" s="211" t="str">
        <x:f>IF(AND(ISNUMBER($D48),ISNUMBER($E48),AU$4&gt;=$D48,AU$4&lt;=$E48,NETWORKDAYS(AU$4,AU$4,'Sources &amp; Change Log'!$J$2:$J$5)=1,COUNTIFS('Team Calendar'!$A$5:$A$14,$F48,'Team Calendar'!$C$5:$C$14,AU$4,'Team Calendar'!$F$5:$F$14,"Personal absence")=0),1,"")</x:f>
      </x:c>
      <x:c r="AV48" s="211" t="str">
        <x:f>IF(AND(ISNUMBER($D48),ISNUMBER($E48),AV$4&gt;=$D48,AV$4&lt;=$E48,NETWORKDAYS(AV$4,AV$4,'Sources &amp; Change Log'!$J$2:$J$5)=1,COUNTIFS('Team Calendar'!$A$5:$A$14,$F48,'Team Calendar'!$C$5:$C$14,AV$4,'Team Calendar'!$F$5:$F$14,"Personal absence")=0),1,"")</x:f>
      </x:c>
      <x:c r="AW48" s="211" t="str">
        <x:f>IF(AND(ISNUMBER($D48),ISNUMBER($E48),AW$4&gt;=$D48,AW$4&lt;=$E48,NETWORKDAYS(AW$4,AW$4,'Sources &amp; Change Log'!$J$2:$J$5)=1,COUNTIFS('Team Calendar'!$A$5:$A$14,$F48,'Team Calendar'!$C$5:$C$14,AW$4,'Team Calendar'!$F$5:$F$14,"Personal absence")=0),1,"")</x:f>
      </x:c>
      <x:c r="AX48" s="211" t="str">
        <x:f>IF(AND(ISNUMBER($D48),ISNUMBER($E48),AX$4&gt;=$D48,AX$4&lt;=$E48,NETWORKDAYS(AX$4,AX$4,'Sources &amp; Change Log'!$J$2:$J$5)=1,COUNTIFS('Team Calendar'!$A$5:$A$14,$F48,'Team Calendar'!$C$5:$C$14,AX$4,'Team Calendar'!$F$5:$F$14,"Personal absence")=0),1,"")</x:f>
      </x:c>
      <x:c r="AY48" s="206"/>
      <x:c r="AZ48" s="206"/>
    </x:row>
    <x:row r="49" ht="30" customHeight="1">
      <x:c r="A49" s="198" t="str">
        <x:f>WBS!A81</x:f>
        <x:v>CR-P1-HBR-01-01</x:v>
      </x:c>
      <x:c r="B49" s="198" t="str">
        <x:f>WBS!B81</x:f>
        <x:v>P1-HBR-01 종결 범위 조정 (OID-02 결정 이관·AC-05 05A/05B 분리)</x:v>
      </x:c>
      <x:c r="C49" s="198" t="str">
        <x:f>WBS!G81</x:f>
        <x:v>Done</x:v>
      </x:c>
      <x:c r="D49" s="226" t="n">
        <x:f>WBS!H81</x:f>
        <x:v>46295</x:v>
      </x:c>
      <x:c r="E49" s="226" t="n">
        <x:f>WBS!I81</x:f>
        <x:v>46297</x:v>
      </x:c>
      <x:c r="F49" t="str">
        <x:f>WBS!L81</x:f>
        <x:v>이하영</x:v>
      </x:c>
      <x:c r="G49" s="211" t="str">
        <x:f>IF(AND(ISNUMBER($D49),ISNUMBER($E49),G$4&gt;=$D49,G$4&lt;=$E49,NETWORKDAYS(G$4,G$4,'Sources &amp; Change Log'!$J$2:$J$5)=1,COUNTIFS('Team Calendar'!$A$5:$A$14,$F49,'Team Calendar'!$C$5:$C$14,G$4,'Team Calendar'!$F$5:$F$14,"Personal absence")=0),1,"")</x:f>
      </x:c>
      <x:c r="H49" s="211" t="str">
        <x:f>IF(AND(ISNUMBER($D49),ISNUMBER($E49),H$4&gt;=$D49,H$4&lt;=$E49,NETWORKDAYS(H$4,H$4,'Sources &amp; Change Log'!$J$2:$J$5)=1,COUNTIFS('Team Calendar'!$A$5:$A$14,$F49,'Team Calendar'!$C$5:$C$14,H$4,'Team Calendar'!$F$5:$F$14,"Personal absence")=0),1,"")</x:f>
      </x:c>
      <x:c r="I49" s="211" t="str">
        <x:f>IF(AND(ISNUMBER($D49),ISNUMBER($E49),I$4&gt;=$D49,I$4&lt;=$E49,NETWORKDAYS(I$4,I$4,'Sources &amp; Change Log'!$J$2:$J$5)=1,COUNTIFS('Team Calendar'!$A$5:$A$14,$F49,'Team Calendar'!$C$5:$C$14,I$4,'Team Calendar'!$F$5:$F$14,"Personal absence")=0),1,"")</x:f>
      </x:c>
      <x:c r="J49" s="211" t="str">
        <x:f>IF(AND(ISNUMBER($D49),ISNUMBER($E49),J$4&gt;=$D49,J$4&lt;=$E49,NETWORKDAYS(J$4,J$4,'Sources &amp; Change Log'!$J$2:$J$5)=1,COUNTIFS('Team Calendar'!$A$5:$A$14,$F49,'Team Calendar'!$C$5:$C$14,J$4,'Team Calendar'!$F$5:$F$14,"Personal absence")=0),1,"")</x:f>
      </x:c>
      <x:c r="K49" s="211" t="str">
        <x:f>IF(AND(ISNUMBER($D49),ISNUMBER($E49),K$4&gt;=$D49,K$4&lt;=$E49,NETWORKDAYS(K$4,K$4,'Sources &amp; Change Log'!$J$2:$J$5)=1,COUNTIFS('Team Calendar'!$A$5:$A$14,$F49,'Team Calendar'!$C$5:$C$14,K$4,'Team Calendar'!$F$5:$F$14,"Personal absence")=0),1,"")</x:f>
      </x:c>
      <x:c r="L49" s="211" t="str">
        <x:f>IF(AND(ISNUMBER($D49),ISNUMBER($E49),L$4&gt;=$D49,L$4&lt;=$E49,NETWORKDAYS(L$4,L$4,'Sources &amp; Change Log'!$J$2:$J$5)=1,COUNTIFS('Team Calendar'!$A$5:$A$14,$F49,'Team Calendar'!$C$5:$C$14,L$4,'Team Calendar'!$F$5:$F$14,"Personal absence")=0),1,"")</x:f>
      </x:c>
      <x:c r="M49" s="211" t="str">
        <x:f>IF(AND(ISNUMBER($D49),ISNUMBER($E49),M$4&gt;=$D49,M$4&lt;=$E49,NETWORKDAYS(M$4,M$4,'Sources &amp; Change Log'!$J$2:$J$5)=1,COUNTIFS('Team Calendar'!$A$5:$A$14,$F49,'Team Calendar'!$C$5:$C$14,M$4,'Team Calendar'!$F$5:$F$14,"Personal absence")=0),1,"")</x:f>
      </x:c>
      <x:c r="N49" s="211" t="str">
        <x:f>IF(AND(ISNUMBER($D49),ISNUMBER($E49),N$4&gt;=$D49,N$4&lt;=$E49,NETWORKDAYS(N$4,N$4,'Sources &amp; Change Log'!$J$2:$J$5)=1,COUNTIFS('Team Calendar'!$A$5:$A$14,$F49,'Team Calendar'!$C$5:$C$14,N$4,'Team Calendar'!$F$5:$F$14,"Personal absence")=0),1,"")</x:f>
      </x:c>
      <x:c r="O49" s="211" t="str">
        <x:f>IF(AND(ISNUMBER($D49),ISNUMBER($E49),O$4&gt;=$D49,O$4&lt;=$E49,NETWORKDAYS(O$4,O$4,'Sources &amp; Change Log'!$J$2:$J$5)=1,COUNTIFS('Team Calendar'!$A$5:$A$14,$F49,'Team Calendar'!$C$5:$C$14,O$4,'Team Calendar'!$F$5:$F$14,"Personal absence")=0),1,"")</x:f>
      </x:c>
      <x:c r="P49" s="211" t="str">
        <x:f>IF(AND(ISNUMBER($D49),ISNUMBER($E49),P$4&gt;=$D49,P$4&lt;=$E49,NETWORKDAYS(P$4,P$4,'Sources &amp; Change Log'!$J$2:$J$5)=1,COUNTIFS('Team Calendar'!$A$5:$A$14,$F49,'Team Calendar'!$C$5:$C$14,P$4,'Team Calendar'!$F$5:$F$14,"Personal absence")=0),1,"")</x:f>
      </x:c>
      <x:c r="Q49" s="211" t="str">
        <x:f>IF(AND(ISNUMBER($D49),ISNUMBER($E49),Q$4&gt;=$D49,Q$4&lt;=$E49,NETWORKDAYS(Q$4,Q$4,'Sources &amp; Change Log'!$J$2:$J$5)=1,COUNTIFS('Team Calendar'!$A$5:$A$14,$F49,'Team Calendar'!$C$5:$C$14,Q$4,'Team Calendar'!$F$5:$F$14,"Personal absence")=0),1,"")</x:f>
      </x:c>
      <x:c r="R49" s="211" t="str">
        <x:f>IF(AND(ISNUMBER($D49),ISNUMBER($E49),R$4&gt;=$D49,R$4&lt;=$E49,NETWORKDAYS(R$4,R$4,'Sources &amp; Change Log'!$J$2:$J$5)=1,COUNTIFS('Team Calendar'!$A$5:$A$14,$F49,'Team Calendar'!$C$5:$C$14,R$4,'Team Calendar'!$F$5:$F$14,"Personal absence")=0),1,"")</x:f>
      </x:c>
      <x:c r="S49" s="211" t="str">
        <x:f>IF(AND(ISNUMBER($D49),ISNUMBER($E49),S$4&gt;=$D49,S$4&lt;=$E49,NETWORKDAYS(S$4,S$4,'Sources &amp; Change Log'!$J$2:$J$5)=1,COUNTIFS('Team Calendar'!$A$5:$A$14,$F49,'Team Calendar'!$C$5:$C$14,S$4,'Team Calendar'!$F$5:$F$14,"Personal absence")=0),1,"")</x:f>
      </x:c>
      <x:c r="T49" s="211" t="str">
        <x:f>IF(AND(ISNUMBER($D49),ISNUMBER($E49),T$4&gt;=$D49,T$4&lt;=$E49,NETWORKDAYS(T$4,T$4,'Sources &amp; Change Log'!$J$2:$J$5)=1,COUNTIFS('Team Calendar'!$A$5:$A$14,$F49,'Team Calendar'!$C$5:$C$14,T$4,'Team Calendar'!$F$5:$F$14,"Personal absence")=0),1,"")</x:f>
      </x:c>
      <x:c r="U49" s="211" t="str">
        <x:f>IF(AND(ISNUMBER($D49),ISNUMBER($E49),U$4&gt;=$D49,U$4&lt;=$E49,NETWORKDAYS(U$4,U$4,'Sources &amp; Change Log'!$J$2:$J$5)=1,COUNTIFS('Team Calendar'!$A$5:$A$14,$F49,'Team Calendar'!$C$5:$C$14,U$4,'Team Calendar'!$F$5:$F$14,"Personal absence")=0),1,"")</x:f>
      </x:c>
      <x:c r="V49" s="211" t="str">
        <x:f>IF(AND(ISNUMBER($D49),ISNUMBER($E49),V$4&gt;=$D49,V$4&lt;=$E49,NETWORKDAYS(V$4,V$4,'Sources &amp; Change Log'!$J$2:$J$5)=1,COUNTIFS('Team Calendar'!$A$5:$A$14,$F49,'Team Calendar'!$C$5:$C$14,V$4,'Team Calendar'!$F$5:$F$14,"Personal absence")=0),1,"")</x:f>
      </x:c>
      <x:c r="W49" s="211" t="str">
        <x:f>IF(AND(ISNUMBER($D49),ISNUMBER($E49),W$4&gt;=$D49,W$4&lt;=$E49,NETWORKDAYS(W$4,W$4,'Sources &amp; Change Log'!$J$2:$J$5)=1,COUNTIFS('Team Calendar'!$A$5:$A$14,$F49,'Team Calendar'!$C$5:$C$14,W$4,'Team Calendar'!$F$5:$F$14,"Personal absence")=0),1,"")</x:f>
      </x:c>
      <x:c r="X49" s="211" t="str">
        <x:f>IF(AND(ISNUMBER($D49),ISNUMBER($E49),X$4&gt;=$D49,X$4&lt;=$E49,NETWORKDAYS(X$4,X$4,'Sources &amp; Change Log'!$J$2:$J$5)=1,COUNTIFS('Team Calendar'!$A$5:$A$14,$F49,'Team Calendar'!$C$5:$C$14,X$4,'Team Calendar'!$F$5:$F$14,"Personal absence")=0),1,"")</x:f>
      </x:c>
      <x:c r="Y49" s="211" t="str">
        <x:f>IF(AND(ISNUMBER($D49),ISNUMBER($E49),Y$4&gt;=$D49,Y$4&lt;=$E49,NETWORKDAYS(Y$4,Y$4,'Sources &amp; Change Log'!$J$2:$J$5)=1,COUNTIFS('Team Calendar'!$A$5:$A$14,$F49,'Team Calendar'!$C$5:$C$14,Y$4,'Team Calendar'!$F$5:$F$14,"Personal absence")=0),1,"")</x:f>
      </x:c>
      <x:c r="Z49" s="211" t="str">
        <x:f>IF(AND(ISNUMBER($D49),ISNUMBER($E49),Z$4&gt;=$D49,Z$4&lt;=$E49,NETWORKDAYS(Z$4,Z$4,'Sources &amp; Change Log'!$J$2:$J$5)=1,COUNTIFS('Team Calendar'!$A$5:$A$14,$F49,'Team Calendar'!$C$5:$C$14,Z$4,'Team Calendar'!$F$5:$F$14,"Personal absence")=0),1,"")</x:f>
      </x:c>
      <x:c r="AA49" s="211" t="str">
        <x:f>IF(AND(ISNUMBER($D49),ISNUMBER($E49),AA$4&gt;=$D49,AA$4&lt;=$E49,NETWORKDAYS(AA$4,AA$4,'Sources &amp; Change Log'!$J$2:$J$5)=1,COUNTIFS('Team Calendar'!$A$5:$A$14,$F49,'Team Calendar'!$C$5:$C$14,AA$4,'Team Calendar'!$F$5:$F$14,"Personal absence")=0),1,"")</x:f>
      </x:c>
      <x:c r="AB49" s="211" t="str">
        <x:f>IF(AND(ISNUMBER($D49),ISNUMBER($E49),AB$4&gt;=$D49,AB$4&lt;=$E49,NETWORKDAYS(AB$4,AB$4,'Sources &amp; Change Log'!$J$2:$J$5)=1,COUNTIFS('Team Calendar'!$A$5:$A$14,$F49,'Team Calendar'!$C$5:$C$14,AB$4,'Team Calendar'!$F$5:$F$14,"Personal absence")=0),1,"")</x:f>
      </x:c>
      <x:c r="AC49" s="211" t="str">
        <x:f>IF(AND(ISNUMBER($D49),ISNUMBER($E49),AC$4&gt;=$D49,AC$4&lt;=$E49,NETWORKDAYS(AC$4,AC$4,'Sources &amp; Change Log'!$J$2:$J$5)=1,COUNTIFS('Team Calendar'!$A$5:$A$14,$F49,'Team Calendar'!$C$5:$C$14,AC$4,'Team Calendar'!$F$5:$F$14,"Personal absence")=0),1,"")</x:f>
      </x:c>
      <x:c r="AD49" s="211" t="str">
        <x:f>IF(AND(ISNUMBER($D49),ISNUMBER($E49),AD$4&gt;=$D49,AD$4&lt;=$E49,NETWORKDAYS(AD$4,AD$4,'Sources &amp; Change Log'!$J$2:$J$5)=1,COUNTIFS('Team Calendar'!$A$5:$A$14,$F49,'Team Calendar'!$C$5:$C$14,AD$4,'Team Calendar'!$F$5:$F$14,"Personal absence")=0),1,"")</x:f>
      </x:c>
      <x:c r="AE49" s="211" t="str">
        <x:f>IF(AND(ISNUMBER($D49),ISNUMBER($E49),AE$4&gt;=$D49,AE$4&lt;=$E49,NETWORKDAYS(AE$4,AE$4,'Sources &amp; Change Log'!$J$2:$J$5)=1,COUNTIFS('Team Calendar'!$A$5:$A$14,$F49,'Team Calendar'!$C$5:$C$14,AE$4,'Team Calendar'!$F$5:$F$14,"Personal absence")=0),1,"")</x:f>
      </x:c>
      <x:c r="AF49" s="211" t="str">
        <x:f>IF(AND(ISNUMBER($D49),ISNUMBER($E49),AF$4&gt;=$D49,AF$4&lt;=$E49,NETWORKDAYS(AF$4,AF$4,'Sources &amp; Change Log'!$J$2:$J$5)=1,COUNTIFS('Team Calendar'!$A$5:$A$14,$F49,'Team Calendar'!$C$5:$C$14,AF$4,'Team Calendar'!$F$5:$F$14,"Personal absence")=0),1,"")</x:f>
      </x:c>
      <x:c r="AG49" s="211" t="str">
        <x:f>IF(AND(ISNUMBER($D49),ISNUMBER($E49),AG$4&gt;=$D49,AG$4&lt;=$E49,NETWORKDAYS(AG$4,AG$4,'Sources &amp; Change Log'!$J$2:$J$5)=1,COUNTIFS('Team Calendar'!$A$5:$A$14,$F49,'Team Calendar'!$C$5:$C$14,AG$4,'Team Calendar'!$F$5:$F$14,"Personal absence")=0),1,"")</x:f>
      </x:c>
      <x:c r="AH49" s="211" t="str">
        <x:f>IF(AND(ISNUMBER($D49),ISNUMBER($E49),AH$4&gt;=$D49,AH$4&lt;=$E49,NETWORKDAYS(AH$4,AH$4,'Sources &amp; Change Log'!$J$2:$J$5)=1,COUNTIFS('Team Calendar'!$A$5:$A$14,$F49,'Team Calendar'!$C$5:$C$14,AH$4,'Team Calendar'!$F$5:$F$14,"Personal absence")=0),1,"")</x:f>
      </x:c>
      <x:c r="AI49" s="211" t="str">
        <x:f>IF(AND(ISNUMBER($D49),ISNUMBER($E49),AI$4&gt;=$D49,AI$4&lt;=$E49,NETWORKDAYS(AI$4,AI$4,'Sources &amp; Change Log'!$J$2:$J$5)=1,COUNTIFS('Team Calendar'!$A$5:$A$14,$F49,'Team Calendar'!$C$5:$C$14,AI$4,'Team Calendar'!$F$5:$F$14,"Personal absence")=0),1,"")</x:f>
      </x:c>
      <x:c r="AJ49" s="211" t="str">
        <x:f>IF(AND(ISNUMBER($D49),ISNUMBER($E49),AJ$4&gt;=$D49,AJ$4&lt;=$E49,NETWORKDAYS(AJ$4,AJ$4,'Sources &amp; Change Log'!$J$2:$J$5)=1,COUNTIFS('Team Calendar'!$A$5:$A$14,$F49,'Team Calendar'!$C$5:$C$14,AJ$4,'Team Calendar'!$F$5:$F$14,"Personal absence")=0),1,"")</x:f>
      </x:c>
      <x:c r="AK49" s="211" t="str">
        <x:f>IF(AND(ISNUMBER($D49),ISNUMBER($E49),AK$4&gt;=$D49,AK$4&lt;=$E49,NETWORKDAYS(AK$4,AK$4,'Sources &amp; Change Log'!$J$2:$J$5)=1,COUNTIFS('Team Calendar'!$A$5:$A$14,$F49,'Team Calendar'!$C$5:$C$14,AK$4,'Team Calendar'!$F$5:$F$14,"Personal absence")=0),1,"")</x:f>
      </x:c>
      <x:c r="AL49" s="211" t="str">
        <x:f>IF(AND(ISNUMBER($D49),ISNUMBER($E49),AL$4&gt;=$D49,AL$4&lt;=$E49,NETWORKDAYS(AL$4,AL$4,'Sources &amp; Change Log'!$J$2:$J$5)=1,COUNTIFS('Team Calendar'!$A$5:$A$14,$F49,'Team Calendar'!$C$5:$C$14,AL$4,'Team Calendar'!$F$5:$F$14,"Personal absence")=0),1,"")</x:f>
      </x:c>
      <x:c r="AM49" s="211" t="str">
        <x:f>IF(AND(ISNUMBER($D49),ISNUMBER($E49),AM$4&gt;=$D49,AM$4&lt;=$E49,NETWORKDAYS(AM$4,AM$4,'Sources &amp; Change Log'!$J$2:$J$5)=1,COUNTIFS('Team Calendar'!$A$5:$A$14,$F49,'Team Calendar'!$C$5:$C$14,AM$4,'Team Calendar'!$F$5:$F$14,"Personal absence")=0),1,"")</x:f>
      </x:c>
      <x:c r="AN49" s="211" t="str">
        <x:f>IF(AND(ISNUMBER($D49),ISNUMBER($E49),AN$4&gt;=$D49,AN$4&lt;=$E49,NETWORKDAYS(AN$4,AN$4,'Sources &amp; Change Log'!$J$2:$J$5)=1,COUNTIFS('Team Calendar'!$A$5:$A$14,$F49,'Team Calendar'!$C$5:$C$14,AN$4,'Team Calendar'!$F$5:$F$14,"Personal absence")=0),1,"")</x:f>
      </x:c>
      <x:c r="AO49" s="211" t="str">
        <x:f>IF(AND(ISNUMBER($D49),ISNUMBER($E49),AO$4&gt;=$D49,AO$4&lt;=$E49,NETWORKDAYS(AO$4,AO$4,'Sources &amp; Change Log'!$J$2:$J$5)=1,COUNTIFS('Team Calendar'!$A$5:$A$14,$F49,'Team Calendar'!$C$5:$C$14,AO$4,'Team Calendar'!$F$5:$F$14,"Personal absence")=0),1,"")</x:f>
      </x:c>
      <x:c r="AP49" s="211" t="str">
        <x:f>IF(AND(ISNUMBER($D49),ISNUMBER($E49),AP$4&gt;=$D49,AP$4&lt;=$E49,NETWORKDAYS(AP$4,AP$4,'Sources &amp; Change Log'!$J$2:$J$5)=1,COUNTIFS('Team Calendar'!$A$5:$A$14,$F49,'Team Calendar'!$C$5:$C$14,AP$4,'Team Calendar'!$F$5:$F$14,"Personal absence")=0),1,"")</x:f>
      </x:c>
      <x:c r="AQ49" s="211" t="str">
        <x:f>IF(AND(ISNUMBER($D49),ISNUMBER($E49),AQ$4&gt;=$D49,AQ$4&lt;=$E49,NETWORKDAYS(AQ$4,AQ$4,'Sources &amp; Change Log'!$J$2:$J$5)=1,COUNTIFS('Team Calendar'!$A$5:$A$14,$F49,'Team Calendar'!$C$5:$C$14,AQ$4,'Team Calendar'!$F$5:$F$14,"Personal absence")=0),1,"")</x:f>
      </x:c>
      <x:c r="AR49" s="211" t="n">
        <x:f>IF(AND(ISNUMBER($D49),ISNUMBER($E49),AR$4&gt;=$D49,AR$4&lt;=$E49,NETWORKDAYS(AR$4,AR$4,'Sources &amp; Change Log'!$J$2:$J$5)=1,COUNTIFS('Team Calendar'!$A$5:$A$14,$F49,'Team Calendar'!$C$5:$C$14,AR$4,'Team Calendar'!$F$5:$F$14,"Personal absence")=0),1,"")</x:f>
        <x:v>1</x:v>
      </x:c>
      <x:c r="AS49" s="211" t="n">
        <x:f>IF(AND(ISNUMBER($D49),ISNUMBER($E49),AS$4&gt;=$D49,AS$4&lt;=$E49,NETWORKDAYS(AS$4,AS$4,'Sources &amp; Change Log'!$J$2:$J$5)=1,COUNTIFS('Team Calendar'!$A$5:$A$14,$F49,'Team Calendar'!$C$5:$C$14,AS$4,'Team Calendar'!$F$5:$F$14,"Personal absence")=0),1,"")</x:f>
        <x:v>1</x:v>
      </x:c>
      <x:c r="AT49" s="211" t="n">
        <x:f>IF(AND(ISNUMBER($D49),ISNUMBER($E49),AT$4&gt;=$D49,AT$4&lt;=$E49,NETWORKDAYS(AT$4,AT$4,'Sources &amp; Change Log'!$J$2:$J$5)=1,COUNTIFS('Team Calendar'!$A$5:$A$14,$F49,'Team Calendar'!$C$5:$C$14,AT$4,'Team Calendar'!$F$5:$F$14,"Personal absence")=0),1,"")</x:f>
        <x:v>1</x:v>
      </x:c>
      <x:c r="AU49" s="211" t="str">
        <x:f>IF(AND(ISNUMBER($D49),ISNUMBER($E49),AU$4&gt;=$D49,AU$4&lt;=$E49,NETWORKDAYS(AU$4,AU$4,'Sources &amp; Change Log'!$J$2:$J$5)=1,COUNTIFS('Team Calendar'!$A$5:$A$14,$F49,'Team Calendar'!$C$5:$C$14,AU$4,'Team Calendar'!$F$5:$F$14,"Personal absence")=0),1,"")</x:f>
      </x:c>
      <x:c r="AV49" s="211" t="str">
        <x:f>IF(AND(ISNUMBER($D49),ISNUMBER($E49),AV$4&gt;=$D49,AV$4&lt;=$E49,NETWORKDAYS(AV$4,AV$4,'Sources &amp; Change Log'!$J$2:$J$5)=1,COUNTIFS('Team Calendar'!$A$5:$A$14,$F49,'Team Calendar'!$C$5:$C$14,AV$4,'Team Calendar'!$F$5:$F$14,"Personal absence")=0),1,"")</x:f>
      </x:c>
      <x:c r="AW49" s="211" t="str">
        <x:f>IF(AND(ISNUMBER($D49),ISNUMBER($E49),AW$4&gt;=$D49,AW$4&lt;=$E49,NETWORKDAYS(AW$4,AW$4,'Sources &amp; Change Log'!$J$2:$J$5)=1,COUNTIFS('Team Calendar'!$A$5:$A$14,$F49,'Team Calendar'!$C$5:$C$14,AW$4,'Team Calendar'!$F$5:$F$14,"Personal absence")=0),1,"")</x:f>
      </x:c>
      <x:c r="AX49" s="211" t="str">
        <x:f>IF(AND(ISNUMBER($D49),ISNUMBER($E49),AX$4&gt;=$D49,AX$4&lt;=$E49,NETWORKDAYS(AX$4,AX$4,'Sources &amp; Change Log'!$J$2:$J$5)=1,COUNTIFS('Team Calendar'!$A$5:$A$14,$F49,'Team Calendar'!$C$5:$C$14,AX$4,'Team Calendar'!$F$5:$F$14,"Personal absence")=0),1,"")</x:f>
      </x:c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X49">
    <x:cfRule type="cellIs" dxfId="50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2" customWidth="1"/>
    <x:col min="3" max="3" width="16" customWidth="1"/>
    <x:col min="4" max="4" width="13" customWidth="1"/>
    <x:col min="5" max="5" width="13" customWidth="1"/>
    <x:col min="6" max="6" width="14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</x:cols>
  <x:sheetData>
    <x:row r="1" ht="32" customHeight="1">
      <x:c r="A1" s="237" t="str">
        <x:v>FDS v3.1.21 · Phase 2 Gantt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  <x:c r="AC1" s="238"/>
      <x:c r="AD1" s="238"/>
      <x:c r="AE1" s="238"/>
      <x:c r="AF1" s="238"/>
      <x:c r="AG1" s="238"/>
      <x:c r="AH1" s="238"/>
      <x:c r="AI1" s="238"/>
    </x:row>
    <x:row r="2">
      <x:c r="A2" s="21" t="inlineStr">
        <x:is>
          <x:t xml:space="preserve">계획은 유연한 목표. 색상/막대는 예정 창이며 Runtime 완료율이 아님.</x:t>
        </x:is>
      </x:c>
    </x:row>
    <x:row r="3">
      <x:c r="A3" t="str">
        <x:v>Plan windows only. No Runtime completion claim. Current test gates: Test Strategy.</x:v>
      </x:c>
    </x:row>
    <x:row r="4">
      <x:c r="A4" s="9" t="inlineStr">
        <x:is>
          <x:t xml:space="preserve">WBS ID</x:t>
        </x:is>
      </x:c>
      <x:c r="B4" s="9" t="inlineStr">
        <x:is>
          <x:t xml:space="preserve">Work Item</x:t>
        </x:is>
      </x:c>
      <x:c r="C4" s="9" t="inlineStr">
        <x:is>
          <x:t xml:space="preserve">Status</x:t>
        </x:is>
      </x:c>
      <x:c r="D4" s="9" t="inlineStr">
        <x:is>
          <x:t xml:space="preserve">Start</x:t>
        </x:is>
      </x:c>
      <x:c r="E4" s="9" t="inlineStr">
        <x:is>
          <x:t xml:space="preserve">End</x:t>
        </x:is>
      </x:c>
      <x:c r="F4" s="9" t="inlineStr">
        <x:is>
          <x:t xml:space="preserve">Lead</x:t>
        </x:is>
      </x:c>
      <x:c r="G4" s="221" t="n">
        <x:v>46293</x:v>
      </x:c>
      <x:c r="H4" s="221" t="n">
        <x:v>46294</x:v>
      </x:c>
      <x:c r="I4" s="221" t="n">
        <x:v>46295</x:v>
      </x:c>
      <x:c r="J4" s="221" t="n">
        <x:v>46296</x:v>
      </x:c>
      <x:c r="K4" s="221" t="n">
        <x:v>46297</x:v>
      </x:c>
      <x:c r="L4" s="222" t="n">
        <x:v>46298</x:v>
      </x:c>
      <x:c r="M4" s="222" t="n">
        <x:v>46299</x:v>
      </x:c>
      <x:c r="N4" s="221" t="n">
        <x:v>46300</x:v>
      </x:c>
      <x:c r="O4" s="221" t="n">
        <x:v>46301</x:v>
      </x:c>
      <x:c r="P4" s="221" t="n">
        <x:v>46302</x:v>
      </x:c>
      <x:c r="Q4" s="221" t="n">
        <x:v>46303</x:v>
      </x:c>
      <x:c r="R4" s="221" t="n">
        <x:v>46304</x:v>
      </x:c>
      <x:c r="S4" s="222" t="n">
        <x:v>46305</x:v>
      </x:c>
      <x:c r="T4" s="222" t="n">
        <x:v>46306</x:v>
      </x:c>
      <x:c r="U4" s="221" t="n">
        <x:v>46307</x:v>
      </x:c>
      <x:c r="V4" s="221" t="n">
        <x:v>46308</x:v>
      </x:c>
      <x:c r="W4" s="221" t="n">
        <x:v>46309</x:v>
      </x:c>
      <x:c r="X4" s="221" t="n">
        <x:v>46310</x:v>
      </x:c>
      <x:c r="Y4" s="221" t="n">
        <x:v>46311</x:v>
      </x:c>
      <x:c r="Z4" s="222" t="n">
        <x:v>46312</x:v>
      </x:c>
      <x:c r="AA4" s="222" t="n">
        <x:v>46313</x:v>
      </x:c>
      <x:c r="AB4" s="221" t="n">
        <x:v>46314</x:v>
      </x:c>
      <x:c r="AC4" s="221" t="n">
        <x:v>46315</x:v>
      </x:c>
      <x:c r="AD4" s="221" t="n">
        <x:v>46316</x:v>
      </x:c>
      <x:c r="AE4" s="221" t="n">
        <x:v>46317</x:v>
      </x:c>
      <x:c r="AF4" s="221" t="n">
        <x:v>46318</x:v>
      </x:c>
      <x:c r="AG4" s="222" t="n">
        <x:v>46319</x:v>
      </x:c>
      <x:c r="AH4" s="222" t="n">
        <x:v>46320</x:v>
      </x:c>
      <x:c r="AI4" s="221" t="n">
        <x:v>46321</x:v>
      </x:c>
      <x:c r="AJ4" s="206"/>
      <x:c r="AK4" s="206"/>
      <x:c r="AL4" s="206"/>
      <x:c r="AM4" s="206"/>
      <x:c r="AN4" s="206"/>
      <x:c r="AO4" s="206"/>
      <x:c r="AP4" s="206"/>
      <x:c r="AQ4" s="206"/>
      <x:c r="AR4" s="206"/>
      <x:c r="AS4" s="206"/>
      <x:c r="AT4" s="206"/>
      <x:c r="AU4" s="206"/>
      <x:c r="AV4" s="206"/>
      <x:c r="AW4" s="206"/>
      <x:c r="AX4" s="206"/>
      <x:c r="AY4" s="206"/>
      <x:c r="AZ4" s="206"/>
    </x:row>
    <x:row r="5" ht="30" customHeight="1">
      <x:c r="A5" s="195" t="str">
        <x:f>WBS!A31</x:f>
        <x:v>MS-P2-START-01</x:v>
      </x:c>
      <x:c r="B5" s="195" t="str">
        <x:f>WBS!B31</x:f>
        <x:v>Phase 2 Start</x:v>
      </x:c>
      <x:c r="C5" s="195" t="str">
        <x:f>WBS!G31</x:f>
        <x:v>To Do</x:v>
      </x:c>
      <x:c r="D5" s="225" t="n">
        <x:f>WBS!H31</x:f>
        <x:v>46302</x:v>
      </x:c>
      <x:c r="E5" s="225" t="n">
        <x:f>WBS!I31</x:f>
        <x:v>46302</x:v>
      </x:c>
      <x:c r="F5" s="13" t="str">
        <x:f>WBS!L31</x:f>
        <x:v>이권욱</x:v>
      </x:c>
      <x:c r="G5" s="207" t="str">
        <x:f>IF(AND(ISNUMBER($D5),ISNUMBER($E5),G$4&gt;=$D5,G$4&lt;=$E5,NETWORKDAYS(G$4,G$4,'Sources &amp; Change Log'!$J$2:$J$5)=1,COUNTIFS('Team Calendar'!$A$5:$A$14,$F5,'Team Calendar'!$C$5:$C$14,G$4,'Team Calendar'!$F$5:$F$14,"Personal absence")=0),1,"")</x:f>
      </x:c>
      <x:c r="H5" s="207" t="str">
        <x:f>IF(AND(ISNUMBER($D5),ISNUMBER($E5),H$4&gt;=$D5,H$4&lt;=$E5,NETWORKDAYS(H$4,H$4,'Sources &amp; Change Log'!$J$2:$J$5)=1,COUNTIFS('Team Calendar'!$A$5:$A$14,$F5,'Team Calendar'!$C$5:$C$14,H$4,'Team Calendar'!$F$5:$F$14,"Personal absence")=0),1,"")</x:f>
      </x:c>
      <x:c r="I5" s="207" t="str">
        <x:f>IF(AND(ISNUMBER($D5),ISNUMBER($E5),I$4&gt;=$D5,I$4&lt;=$E5,NETWORKDAYS(I$4,I$4,'Sources &amp; Change Log'!$J$2:$J$5)=1,COUNTIFS('Team Calendar'!$A$5:$A$14,$F5,'Team Calendar'!$C$5:$C$14,I$4,'Team Calendar'!$F$5:$F$14,"Personal absence")=0),1,"")</x:f>
      </x:c>
      <x:c r="J5" s="207" t="str">
        <x:f>IF(AND(ISNUMBER($D5),ISNUMBER($E5),J$4&gt;=$D5,J$4&lt;=$E5,NETWORKDAYS(J$4,J$4,'Sources &amp; Change Log'!$J$2:$J$5)=1,COUNTIFS('Team Calendar'!$A$5:$A$14,$F5,'Team Calendar'!$C$5:$C$14,J$4,'Team Calendar'!$F$5:$F$14,"Personal absence")=0),1,"")</x:f>
      </x:c>
      <x:c r="K5" s="207" t="str">
        <x:f>IF(AND(ISNUMBER($D5),ISNUMBER($E5),K$4&gt;=$D5,K$4&lt;=$E5,NETWORKDAYS(K$4,K$4,'Sources &amp; Change Log'!$J$2:$J$5)=1,COUNTIFS('Team Calendar'!$A$5:$A$14,$F5,'Team Calendar'!$C$5:$C$14,K$4,'Team Calendar'!$F$5:$F$14,"Personal absence")=0),1,"")</x:f>
      </x:c>
      <x:c r="L5" s="207" t="str">
        <x:f>IF(AND(ISNUMBER($D5),ISNUMBER($E5),L$4&gt;=$D5,L$4&lt;=$E5,NETWORKDAYS(L$4,L$4,'Sources &amp; Change Log'!$J$2:$J$5)=1,COUNTIFS('Team Calendar'!$A$5:$A$14,$F5,'Team Calendar'!$C$5:$C$14,L$4,'Team Calendar'!$F$5:$F$14,"Personal absence")=0),1,"")</x:f>
      </x:c>
      <x:c r="M5" s="207" t="str">
        <x:f>IF(AND(ISNUMBER($D5),ISNUMBER($E5),M$4&gt;=$D5,M$4&lt;=$E5,NETWORKDAYS(M$4,M$4,'Sources &amp; Change Log'!$J$2:$J$5)=1,COUNTIFS('Team Calendar'!$A$5:$A$14,$F5,'Team Calendar'!$C$5:$C$14,M$4,'Team Calendar'!$F$5:$F$14,"Personal absence")=0),1,"")</x:f>
      </x:c>
      <x:c r="N5" s="207" t="str">
        <x:f>IF(AND(ISNUMBER($D5),ISNUMBER($E5),N$4&gt;=$D5,N$4&lt;=$E5,NETWORKDAYS(N$4,N$4,'Sources &amp; Change Log'!$J$2:$J$5)=1,COUNTIFS('Team Calendar'!$A$5:$A$14,$F5,'Team Calendar'!$C$5:$C$14,N$4,'Team Calendar'!$F$5:$F$14,"Personal absence")=0),1,"")</x:f>
      </x:c>
      <x:c r="O5" s="207" t="str">
        <x:f>IF(AND(ISNUMBER($D5),ISNUMBER($E5),O$4&gt;=$D5,O$4&lt;=$E5,NETWORKDAYS(O$4,O$4,'Sources &amp; Change Log'!$J$2:$J$5)=1,COUNTIFS('Team Calendar'!$A$5:$A$14,$F5,'Team Calendar'!$C$5:$C$14,O$4,'Team Calendar'!$F$5:$F$14,"Personal absence")=0),1,"")</x:f>
      </x:c>
      <x:c r="P5" s="207" t="n">
        <x:f>IF(AND(ISNUMBER($D5),ISNUMBER($E5),P$4&gt;=$D5,P$4&lt;=$E5,NETWORKDAYS(P$4,P$4,'Sources &amp; Change Log'!$J$2:$J$5)=1,COUNTIFS('Team Calendar'!$A$5:$A$14,$F5,'Team Calendar'!$C$5:$C$14,P$4,'Team Calendar'!$F$5:$F$14,"Personal absence")=0),1,"")</x:f>
        <x:v>1</x:v>
      </x:c>
      <x:c r="Q5" s="207" t="str">
        <x:f>IF(AND(ISNUMBER($D5),ISNUMBER($E5),Q$4&gt;=$D5,Q$4&lt;=$E5,NETWORKDAYS(Q$4,Q$4,'Sources &amp; Change Log'!$J$2:$J$5)=1,COUNTIFS('Team Calendar'!$A$5:$A$14,$F5,'Team Calendar'!$C$5:$C$14,Q$4,'Team Calendar'!$F$5:$F$14,"Personal absence")=0),1,"")</x:f>
      </x:c>
      <x:c r="R5" s="207" t="str">
        <x:f>IF(AND(ISNUMBER($D5),ISNUMBER($E5),R$4&gt;=$D5,R$4&lt;=$E5,NETWORKDAYS(R$4,R$4,'Sources &amp; Change Log'!$J$2:$J$5)=1,COUNTIFS('Team Calendar'!$A$5:$A$14,$F5,'Team Calendar'!$C$5:$C$14,R$4,'Team Calendar'!$F$5:$F$14,"Personal absence")=0),1,"")</x:f>
      </x:c>
      <x:c r="S5" s="207" t="str">
        <x:f>IF(AND(ISNUMBER($D5),ISNUMBER($E5),S$4&gt;=$D5,S$4&lt;=$E5,NETWORKDAYS(S$4,S$4,'Sources &amp; Change Log'!$J$2:$J$5)=1,COUNTIFS('Team Calendar'!$A$5:$A$14,$F5,'Team Calendar'!$C$5:$C$14,S$4,'Team Calendar'!$F$5:$F$14,"Personal absence")=0),1,"")</x:f>
      </x:c>
      <x:c r="T5" s="207" t="str">
        <x:f>IF(AND(ISNUMBER($D5),ISNUMBER($E5),T$4&gt;=$D5,T$4&lt;=$E5,NETWORKDAYS(T$4,T$4,'Sources &amp; Change Log'!$J$2:$J$5)=1,COUNTIFS('Team Calendar'!$A$5:$A$14,$F5,'Team Calendar'!$C$5:$C$14,T$4,'Team Calendar'!$F$5:$F$14,"Personal absence")=0),1,"")</x:f>
      </x:c>
      <x:c r="U5" s="207" t="str">
        <x:f>IF(AND(ISNUMBER($D5),ISNUMBER($E5),U$4&gt;=$D5,U$4&lt;=$E5,NETWORKDAYS(U$4,U$4,'Sources &amp; Change Log'!$J$2:$J$5)=1,COUNTIFS('Team Calendar'!$A$5:$A$14,$F5,'Team Calendar'!$C$5:$C$14,U$4,'Team Calendar'!$F$5:$F$14,"Personal absence")=0),1,"")</x:f>
      </x:c>
      <x:c r="V5" s="207" t="str">
        <x:f>IF(AND(ISNUMBER($D5),ISNUMBER($E5),V$4&gt;=$D5,V$4&lt;=$E5,NETWORKDAYS(V$4,V$4,'Sources &amp; Change Log'!$J$2:$J$5)=1,COUNTIFS('Team Calendar'!$A$5:$A$14,$F5,'Team Calendar'!$C$5:$C$14,V$4,'Team Calendar'!$F$5:$F$14,"Personal absence")=0),1,"")</x:f>
      </x:c>
      <x:c r="W5" s="207" t="str">
        <x:f>IF(AND(ISNUMBER($D5),ISNUMBER($E5),W$4&gt;=$D5,W$4&lt;=$E5,NETWORKDAYS(W$4,W$4,'Sources &amp; Change Log'!$J$2:$J$5)=1,COUNTIFS('Team Calendar'!$A$5:$A$14,$F5,'Team Calendar'!$C$5:$C$14,W$4,'Team Calendar'!$F$5:$F$14,"Personal absence")=0),1,"")</x:f>
      </x:c>
      <x:c r="X5" s="207" t="str">
        <x:f>IF(AND(ISNUMBER($D5),ISNUMBER($E5),X$4&gt;=$D5,X$4&lt;=$E5,NETWORKDAYS(X$4,X$4,'Sources &amp; Change Log'!$J$2:$J$5)=1,COUNTIFS('Team Calendar'!$A$5:$A$14,$F5,'Team Calendar'!$C$5:$C$14,X$4,'Team Calendar'!$F$5:$F$14,"Personal absence")=0),1,"")</x:f>
      </x:c>
      <x:c r="Y5" s="207" t="str">
        <x:f>IF(AND(ISNUMBER($D5),ISNUMBER($E5),Y$4&gt;=$D5,Y$4&lt;=$E5,NETWORKDAYS(Y$4,Y$4,'Sources &amp; Change Log'!$J$2:$J$5)=1,COUNTIFS('Team Calendar'!$A$5:$A$14,$F5,'Team Calendar'!$C$5:$C$14,Y$4,'Team Calendar'!$F$5:$F$14,"Personal absence")=0),1,"")</x:f>
      </x:c>
      <x:c r="Z5" s="207" t="str">
        <x:f>IF(AND(ISNUMBER($D5),ISNUMBER($E5),Z$4&gt;=$D5,Z$4&lt;=$E5,NETWORKDAYS(Z$4,Z$4,'Sources &amp; Change Log'!$J$2:$J$5)=1,COUNTIFS('Team Calendar'!$A$5:$A$14,$F5,'Team Calendar'!$C$5:$C$14,Z$4,'Team Calendar'!$F$5:$F$14,"Personal absence")=0),1,"")</x:f>
      </x:c>
      <x:c r="AA5" s="207" t="str">
        <x:f>IF(AND(ISNUMBER($D5),ISNUMBER($E5),AA$4&gt;=$D5,AA$4&lt;=$E5,NETWORKDAYS(AA$4,AA$4,'Sources &amp; Change Log'!$J$2:$J$5)=1,COUNTIFS('Team Calendar'!$A$5:$A$14,$F5,'Team Calendar'!$C$5:$C$14,AA$4,'Team Calendar'!$F$5:$F$14,"Personal absence")=0),1,"")</x:f>
      </x:c>
      <x:c r="AB5" s="207" t="str">
        <x:f>IF(AND(ISNUMBER($D5),ISNUMBER($E5),AB$4&gt;=$D5,AB$4&lt;=$E5,NETWORKDAYS(AB$4,AB$4,'Sources &amp; Change Log'!$J$2:$J$5)=1,COUNTIFS('Team Calendar'!$A$5:$A$14,$F5,'Team Calendar'!$C$5:$C$14,AB$4,'Team Calendar'!$F$5:$F$14,"Personal absence")=0),1,"")</x:f>
      </x:c>
      <x:c r="AC5" s="207" t="str">
        <x:f>IF(AND(ISNUMBER($D5),ISNUMBER($E5),AC$4&gt;=$D5,AC$4&lt;=$E5,NETWORKDAYS(AC$4,AC$4,'Sources &amp; Change Log'!$J$2:$J$5)=1,COUNTIFS('Team Calendar'!$A$5:$A$14,$F5,'Team Calendar'!$C$5:$C$14,AC$4,'Team Calendar'!$F$5:$F$14,"Personal absence")=0),1,"")</x:f>
      </x:c>
      <x:c r="AD5" s="207" t="str">
        <x:f>IF(AND(ISNUMBER($D5),ISNUMBER($E5),AD$4&gt;=$D5,AD$4&lt;=$E5,NETWORKDAYS(AD$4,AD$4,'Sources &amp; Change Log'!$J$2:$J$5)=1,COUNTIFS('Team Calendar'!$A$5:$A$14,$F5,'Team Calendar'!$C$5:$C$14,AD$4,'Team Calendar'!$F$5:$F$14,"Personal absence")=0),1,"")</x:f>
      </x:c>
      <x:c r="AE5" s="207" t="str">
        <x:f>IF(AND(ISNUMBER($D5),ISNUMBER($E5),AE$4&gt;=$D5,AE$4&lt;=$E5,NETWORKDAYS(AE$4,AE$4,'Sources &amp; Change Log'!$J$2:$J$5)=1,COUNTIFS('Team Calendar'!$A$5:$A$14,$F5,'Team Calendar'!$C$5:$C$14,AE$4,'Team Calendar'!$F$5:$F$14,"Personal absence")=0),1,"")</x:f>
      </x:c>
      <x:c r="AF5" s="207" t="str">
        <x:f>IF(AND(ISNUMBER($D5),ISNUMBER($E5),AF$4&gt;=$D5,AF$4&lt;=$E5,NETWORKDAYS(AF$4,AF$4,'Sources &amp; Change Log'!$J$2:$J$5)=1,COUNTIFS('Team Calendar'!$A$5:$A$14,$F5,'Team Calendar'!$C$5:$C$14,AF$4,'Team Calendar'!$F$5:$F$14,"Personal absence")=0),1,"")</x:f>
      </x:c>
      <x:c r="AG5" s="207" t="str">
        <x:f>IF(AND(ISNUMBER($D5),ISNUMBER($E5),AG$4&gt;=$D5,AG$4&lt;=$E5,NETWORKDAYS(AG$4,AG$4,'Sources &amp; Change Log'!$J$2:$J$5)=1,COUNTIFS('Team Calendar'!$A$5:$A$14,$F5,'Team Calendar'!$C$5:$C$14,AG$4,'Team Calendar'!$F$5:$F$14,"Personal absence")=0),1,"")</x:f>
      </x:c>
      <x:c r="AH5" s="207" t="str">
        <x:f>IF(AND(ISNUMBER($D5),ISNUMBER($E5),AH$4&gt;=$D5,AH$4&lt;=$E5,NETWORKDAYS(AH$4,AH$4,'Sources &amp; Change Log'!$J$2:$J$5)=1,COUNTIFS('Team Calendar'!$A$5:$A$14,$F5,'Team Calendar'!$C$5:$C$14,AH$4,'Team Calendar'!$F$5:$F$14,"Personal absence")=0),1,"")</x:f>
      </x:c>
      <x:c r="AI5" s="207" t="str">
        <x:f>IF(AND(ISNUMBER($D5),ISNUMBER($E5),AI$4&gt;=$D5,AI$4&lt;=$E5,NETWORKDAYS(AI$4,AI$4,'Sources &amp; Change Log'!$J$2:$J$5)=1,COUNTIFS('Team Calendar'!$A$5:$A$14,$F5,'Team Calendar'!$C$5:$C$14,AI$4,'Team Calendar'!$F$5:$F$14,"Personal absence")=0),1,"")</x:f>
      </x:c>
      <x:c r="AJ5" s="206"/>
      <x:c r="AK5" s="206"/>
      <x:c r="AL5" s="206"/>
      <x:c r="AM5" s="206"/>
      <x:c r="AN5" s="206"/>
      <x:c r="AO5" s="206"/>
      <x:c r="AP5" s="206"/>
      <x:c r="AQ5" s="206"/>
      <x:c r="AR5" s="206"/>
      <x:c r="AS5" s="206"/>
      <x:c r="AT5" s="206"/>
      <x:c r="AU5" s="206"/>
      <x:c r="AV5" s="206"/>
      <x:c r="AW5" s="206"/>
      <x:c r="AX5" s="206"/>
      <x:c r="AY5" s="206"/>
      <x:c r="AZ5" s="206"/>
    </x:row>
    <x:row r="6" ht="30" customHeight="1">
      <x:c r="A6" s="195" t="str">
        <x:f>WBS!A32</x:f>
        <x:v>P2-ARC-01</x:v>
      </x:c>
      <x:c r="B6" s="195" t="str">
        <x:f>WBS!B32</x:f>
        <x:v>Hybrid / OCI / AWS / ROSA Architecture Freeze</x:v>
      </x:c>
      <x:c r="C6" s="195" t="str">
        <x:f>WBS!G32</x:f>
        <x:v>To Do</x:v>
      </x:c>
      <x:c r="D6" s="225" t="n">
        <x:f>WBS!H32</x:f>
        <x:v>46303</x:v>
      </x:c>
      <x:c r="E6" s="225" t="n">
        <x:f>WBS!I32</x:f>
        <x:v>46303</x:v>
      </x:c>
      <x:c r="F6" s="13" t="str">
        <x:f>WBS!L32</x:f>
        <x:v>이권욱</x:v>
      </x:c>
      <x:c r="G6" s="207" t="str">
        <x:f>IF(AND(ISNUMBER($D6),ISNUMBER($E6),G$4&gt;=$D6,G$4&lt;=$E6,NETWORKDAYS(G$4,G$4,'Sources &amp; Change Log'!$J$2:$J$5)=1,COUNTIFS('Team Calendar'!$A$5:$A$14,$F6,'Team Calendar'!$C$5:$C$14,G$4,'Team Calendar'!$F$5:$F$14,"Personal absence")=0),1,"")</x:f>
      </x:c>
      <x:c r="H6" s="207" t="str">
        <x:f>IF(AND(ISNUMBER($D6),ISNUMBER($E6),H$4&gt;=$D6,H$4&lt;=$E6,NETWORKDAYS(H$4,H$4,'Sources &amp; Change Log'!$J$2:$J$5)=1,COUNTIFS('Team Calendar'!$A$5:$A$14,$F6,'Team Calendar'!$C$5:$C$14,H$4,'Team Calendar'!$F$5:$F$14,"Personal absence")=0),1,"")</x:f>
      </x:c>
      <x:c r="I6" s="207" t="str">
        <x:f>IF(AND(ISNUMBER($D6),ISNUMBER($E6),I$4&gt;=$D6,I$4&lt;=$E6,NETWORKDAYS(I$4,I$4,'Sources &amp; Change Log'!$J$2:$J$5)=1,COUNTIFS('Team Calendar'!$A$5:$A$14,$F6,'Team Calendar'!$C$5:$C$14,I$4,'Team Calendar'!$F$5:$F$14,"Personal absence")=0),1,"")</x:f>
      </x:c>
      <x:c r="J6" s="207" t="str">
        <x:f>IF(AND(ISNUMBER($D6),ISNUMBER($E6),J$4&gt;=$D6,J$4&lt;=$E6,NETWORKDAYS(J$4,J$4,'Sources &amp; Change Log'!$J$2:$J$5)=1,COUNTIFS('Team Calendar'!$A$5:$A$14,$F6,'Team Calendar'!$C$5:$C$14,J$4,'Team Calendar'!$F$5:$F$14,"Personal absence")=0),1,"")</x:f>
      </x:c>
      <x:c r="K6" s="207" t="str">
        <x:f>IF(AND(ISNUMBER($D6),ISNUMBER($E6),K$4&gt;=$D6,K$4&lt;=$E6,NETWORKDAYS(K$4,K$4,'Sources &amp; Change Log'!$J$2:$J$5)=1,COUNTIFS('Team Calendar'!$A$5:$A$14,$F6,'Team Calendar'!$C$5:$C$14,K$4,'Team Calendar'!$F$5:$F$14,"Personal absence")=0),1,"")</x:f>
      </x:c>
      <x:c r="L6" s="207" t="str">
        <x:f>IF(AND(ISNUMBER($D6),ISNUMBER($E6),L$4&gt;=$D6,L$4&lt;=$E6,NETWORKDAYS(L$4,L$4,'Sources &amp; Change Log'!$J$2:$J$5)=1,COUNTIFS('Team Calendar'!$A$5:$A$14,$F6,'Team Calendar'!$C$5:$C$14,L$4,'Team Calendar'!$F$5:$F$14,"Personal absence")=0),1,"")</x:f>
      </x:c>
      <x:c r="M6" s="207" t="str">
        <x:f>IF(AND(ISNUMBER($D6),ISNUMBER($E6),M$4&gt;=$D6,M$4&lt;=$E6,NETWORKDAYS(M$4,M$4,'Sources &amp; Change Log'!$J$2:$J$5)=1,COUNTIFS('Team Calendar'!$A$5:$A$14,$F6,'Team Calendar'!$C$5:$C$14,M$4,'Team Calendar'!$F$5:$F$14,"Personal absence")=0),1,"")</x:f>
      </x:c>
      <x:c r="N6" s="207" t="str">
        <x:f>IF(AND(ISNUMBER($D6),ISNUMBER($E6),N$4&gt;=$D6,N$4&lt;=$E6,NETWORKDAYS(N$4,N$4,'Sources &amp; Change Log'!$J$2:$J$5)=1,COUNTIFS('Team Calendar'!$A$5:$A$14,$F6,'Team Calendar'!$C$5:$C$14,N$4,'Team Calendar'!$F$5:$F$14,"Personal absence")=0),1,"")</x:f>
      </x:c>
      <x:c r="O6" s="207" t="str">
        <x:f>IF(AND(ISNUMBER($D6),ISNUMBER($E6),O$4&gt;=$D6,O$4&lt;=$E6,NETWORKDAYS(O$4,O$4,'Sources &amp; Change Log'!$J$2:$J$5)=1,COUNTIFS('Team Calendar'!$A$5:$A$14,$F6,'Team Calendar'!$C$5:$C$14,O$4,'Team Calendar'!$F$5:$F$14,"Personal absence")=0),1,"")</x:f>
      </x:c>
      <x:c r="P6" s="207" t="str">
        <x:f>IF(AND(ISNUMBER($D6),ISNUMBER($E6),P$4&gt;=$D6,P$4&lt;=$E6,NETWORKDAYS(P$4,P$4,'Sources &amp; Change Log'!$J$2:$J$5)=1,COUNTIFS('Team Calendar'!$A$5:$A$14,$F6,'Team Calendar'!$C$5:$C$14,P$4,'Team Calendar'!$F$5:$F$14,"Personal absence")=0),1,"")</x:f>
      </x:c>
      <x:c r="Q6" s="207" t="n">
        <x:f>IF(AND(ISNUMBER($D6),ISNUMBER($E6),Q$4&gt;=$D6,Q$4&lt;=$E6,NETWORKDAYS(Q$4,Q$4,'Sources &amp; Change Log'!$J$2:$J$5)=1,COUNTIFS('Team Calendar'!$A$5:$A$14,$F6,'Team Calendar'!$C$5:$C$14,Q$4,'Team Calendar'!$F$5:$F$14,"Personal absence")=0),1,"")</x:f>
        <x:v>1</x:v>
      </x:c>
      <x:c r="R6" s="207" t="str">
        <x:f>IF(AND(ISNUMBER($D6),ISNUMBER($E6),R$4&gt;=$D6,R$4&lt;=$E6,NETWORKDAYS(R$4,R$4,'Sources &amp; Change Log'!$J$2:$J$5)=1,COUNTIFS('Team Calendar'!$A$5:$A$14,$F6,'Team Calendar'!$C$5:$C$14,R$4,'Team Calendar'!$F$5:$F$14,"Personal absence")=0),1,"")</x:f>
      </x:c>
      <x:c r="S6" s="207" t="str">
        <x:f>IF(AND(ISNUMBER($D6),ISNUMBER($E6),S$4&gt;=$D6,S$4&lt;=$E6,NETWORKDAYS(S$4,S$4,'Sources &amp; Change Log'!$J$2:$J$5)=1,COUNTIFS('Team Calendar'!$A$5:$A$14,$F6,'Team Calendar'!$C$5:$C$14,S$4,'Team Calendar'!$F$5:$F$14,"Personal absence")=0),1,"")</x:f>
      </x:c>
      <x:c r="T6" s="207" t="str">
        <x:f>IF(AND(ISNUMBER($D6),ISNUMBER($E6),T$4&gt;=$D6,T$4&lt;=$E6,NETWORKDAYS(T$4,T$4,'Sources &amp; Change Log'!$J$2:$J$5)=1,COUNTIFS('Team Calendar'!$A$5:$A$14,$F6,'Team Calendar'!$C$5:$C$14,T$4,'Team Calendar'!$F$5:$F$14,"Personal absence")=0),1,"")</x:f>
      </x:c>
      <x:c r="U6" s="207" t="str">
        <x:f>IF(AND(ISNUMBER($D6),ISNUMBER($E6),U$4&gt;=$D6,U$4&lt;=$E6,NETWORKDAYS(U$4,U$4,'Sources &amp; Change Log'!$J$2:$J$5)=1,COUNTIFS('Team Calendar'!$A$5:$A$14,$F6,'Team Calendar'!$C$5:$C$14,U$4,'Team Calendar'!$F$5:$F$14,"Personal absence")=0),1,"")</x:f>
      </x:c>
      <x:c r="V6" s="207" t="str">
        <x:f>IF(AND(ISNUMBER($D6),ISNUMBER($E6),V$4&gt;=$D6,V$4&lt;=$E6,NETWORKDAYS(V$4,V$4,'Sources &amp; Change Log'!$J$2:$J$5)=1,COUNTIFS('Team Calendar'!$A$5:$A$14,$F6,'Team Calendar'!$C$5:$C$14,V$4,'Team Calendar'!$F$5:$F$14,"Personal absence")=0),1,"")</x:f>
      </x:c>
      <x:c r="W6" s="207" t="str">
        <x:f>IF(AND(ISNUMBER($D6),ISNUMBER($E6),W$4&gt;=$D6,W$4&lt;=$E6,NETWORKDAYS(W$4,W$4,'Sources &amp; Change Log'!$J$2:$J$5)=1,COUNTIFS('Team Calendar'!$A$5:$A$14,$F6,'Team Calendar'!$C$5:$C$14,W$4,'Team Calendar'!$F$5:$F$14,"Personal absence")=0),1,"")</x:f>
      </x:c>
      <x:c r="X6" s="207" t="str">
        <x:f>IF(AND(ISNUMBER($D6),ISNUMBER($E6),X$4&gt;=$D6,X$4&lt;=$E6,NETWORKDAYS(X$4,X$4,'Sources &amp; Change Log'!$J$2:$J$5)=1,COUNTIFS('Team Calendar'!$A$5:$A$14,$F6,'Team Calendar'!$C$5:$C$14,X$4,'Team Calendar'!$F$5:$F$14,"Personal absence")=0),1,"")</x:f>
      </x:c>
      <x:c r="Y6" s="207" t="str">
        <x:f>IF(AND(ISNUMBER($D6),ISNUMBER($E6),Y$4&gt;=$D6,Y$4&lt;=$E6,NETWORKDAYS(Y$4,Y$4,'Sources &amp; Change Log'!$J$2:$J$5)=1,COUNTIFS('Team Calendar'!$A$5:$A$14,$F6,'Team Calendar'!$C$5:$C$14,Y$4,'Team Calendar'!$F$5:$F$14,"Personal absence")=0),1,"")</x:f>
      </x:c>
      <x:c r="Z6" s="207" t="str">
        <x:f>IF(AND(ISNUMBER($D6),ISNUMBER($E6),Z$4&gt;=$D6,Z$4&lt;=$E6,NETWORKDAYS(Z$4,Z$4,'Sources &amp; Change Log'!$J$2:$J$5)=1,COUNTIFS('Team Calendar'!$A$5:$A$14,$F6,'Team Calendar'!$C$5:$C$14,Z$4,'Team Calendar'!$F$5:$F$14,"Personal absence")=0),1,"")</x:f>
      </x:c>
      <x:c r="AA6" s="207" t="str">
        <x:f>IF(AND(ISNUMBER($D6),ISNUMBER($E6),AA$4&gt;=$D6,AA$4&lt;=$E6,NETWORKDAYS(AA$4,AA$4,'Sources &amp; Change Log'!$J$2:$J$5)=1,COUNTIFS('Team Calendar'!$A$5:$A$14,$F6,'Team Calendar'!$C$5:$C$14,AA$4,'Team Calendar'!$F$5:$F$14,"Personal absence")=0),1,"")</x:f>
      </x:c>
      <x:c r="AB6" s="207" t="str">
        <x:f>IF(AND(ISNUMBER($D6),ISNUMBER($E6),AB$4&gt;=$D6,AB$4&lt;=$E6,NETWORKDAYS(AB$4,AB$4,'Sources &amp; Change Log'!$J$2:$J$5)=1,COUNTIFS('Team Calendar'!$A$5:$A$14,$F6,'Team Calendar'!$C$5:$C$14,AB$4,'Team Calendar'!$F$5:$F$14,"Personal absence")=0),1,"")</x:f>
      </x:c>
      <x:c r="AC6" s="207" t="str">
        <x:f>IF(AND(ISNUMBER($D6),ISNUMBER($E6),AC$4&gt;=$D6,AC$4&lt;=$E6,NETWORKDAYS(AC$4,AC$4,'Sources &amp; Change Log'!$J$2:$J$5)=1,COUNTIFS('Team Calendar'!$A$5:$A$14,$F6,'Team Calendar'!$C$5:$C$14,AC$4,'Team Calendar'!$F$5:$F$14,"Personal absence")=0),1,"")</x:f>
      </x:c>
      <x:c r="AD6" s="207" t="str">
        <x:f>IF(AND(ISNUMBER($D6),ISNUMBER($E6),AD$4&gt;=$D6,AD$4&lt;=$E6,NETWORKDAYS(AD$4,AD$4,'Sources &amp; Change Log'!$J$2:$J$5)=1,COUNTIFS('Team Calendar'!$A$5:$A$14,$F6,'Team Calendar'!$C$5:$C$14,AD$4,'Team Calendar'!$F$5:$F$14,"Personal absence")=0),1,"")</x:f>
      </x:c>
      <x:c r="AE6" s="207" t="str">
        <x:f>IF(AND(ISNUMBER($D6),ISNUMBER($E6),AE$4&gt;=$D6,AE$4&lt;=$E6,NETWORKDAYS(AE$4,AE$4,'Sources &amp; Change Log'!$J$2:$J$5)=1,COUNTIFS('Team Calendar'!$A$5:$A$14,$F6,'Team Calendar'!$C$5:$C$14,AE$4,'Team Calendar'!$F$5:$F$14,"Personal absence")=0),1,"")</x:f>
      </x:c>
      <x:c r="AF6" s="207" t="str">
        <x:f>IF(AND(ISNUMBER($D6),ISNUMBER($E6),AF$4&gt;=$D6,AF$4&lt;=$E6,NETWORKDAYS(AF$4,AF$4,'Sources &amp; Change Log'!$J$2:$J$5)=1,COUNTIFS('Team Calendar'!$A$5:$A$14,$F6,'Team Calendar'!$C$5:$C$14,AF$4,'Team Calendar'!$F$5:$F$14,"Personal absence")=0),1,"")</x:f>
      </x:c>
      <x:c r="AG6" s="207" t="str">
        <x:f>IF(AND(ISNUMBER($D6),ISNUMBER($E6),AG$4&gt;=$D6,AG$4&lt;=$E6,NETWORKDAYS(AG$4,AG$4,'Sources &amp; Change Log'!$J$2:$J$5)=1,COUNTIFS('Team Calendar'!$A$5:$A$14,$F6,'Team Calendar'!$C$5:$C$14,AG$4,'Team Calendar'!$F$5:$F$14,"Personal absence")=0),1,"")</x:f>
      </x:c>
      <x:c r="AH6" s="207" t="str">
        <x:f>IF(AND(ISNUMBER($D6),ISNUMBER($E6),AH$4&gt;=$D6,AH$4&lt;=$E6,NETWORKDAYS(AH$4,AH$4,'Sources &amp; Change Log'!$J$2:$J$5)=1,COUNTIFS('Team Calendar'!$A$5:$A$14,$F6,'Team Calendar'!$C$5:$C$14,AH$4,'Team Calendar'!$F$5:$F$14,"Personal absence")=0),1,"")</x:f>
      </x:c>
      <x:c r="AI6" s="207" t="str">
        <x:f>IF(AND(ISNUMBER($D6),ISNUMBER($E6),AI$4&gt;=$D6,AI$4&lt;=$E6,NETWORKDAYS(AI$4,AI$4,'Sources &amp; Change Log'!$J$2:$J$5)=1,COUNTIFS('Team Calendar'!$A$5:$A$14,$F6,'Team Calendar'!$C$5:$C$14,AI$4,'Team Calendar'!$F$5:$F$14,"Personal absence")=0),1,"")</x:f>
      </x:c>
      <x:c r="AJ6" s="206"/>
      <x:c r="AK6" s="206"/>
      <x:c r="AL6" s="206"/>
      <x:c r="AM6" s="206"/>
      <x:c r="AN6" s="206"/>
      <x:c r="AO6" s="206"/>
      <x:c r="AP6" s="206"/>
      <x:c r="AQ6" s="206"/>
      <x:c r="AR6" s="206"/>
      <x:c r="AS6" s="206"/>
      <x:c r="AT6" s="206"/>
      <x:c r="AU6" s="206"/>
      <x:c r="AV6" s="206"/>
      <x:c r="AW6" s="206"/>
      <x:c r="AX6" s="206"/>
      <x:c r="AY6" s="206"/>
      <x:c r="AZ6" s="206"/>
    </x:row>
    <x:row r="7" ht="30" customHeight="1">
      <x:c r="A7" s="195" t="str">
        <x:f>WBS!A33</x:f>
        <x:v>P2-IAC-01</x:v>
      </x:c>
      <x:c r="B7" s="195" t="str">
        <x:f>WBS!B33</x:f>
        <x:v>AWS / ROSA Terraform IaC</x:v>
      </x:c>
      <x:c r="C7" s="195" t="str">
        <x:f>WBS!G33</x:f>
        <x:v>To Do</x:v>
      </x:c>
      <x:c r="D7" s="225" t="n">
        <x:f>WBS!H33</x:f>
        <x:v>46303</x:v>
      </x:c>
      <x:c r="E7" s="225" t="n">
        <x:f>WBS!I33</x:f>
        <x:v>46309</x:v>
      </x:c>
      <x:c r="F7" s="13" t="str">
        <x:f>WBS!L33</x:f>
        <x:v>이하영</x:v>
      </x:c>
      <x:c r="G7" s="207" t="str">
        <x:f>IF(AND(ISNUMBER($D7),ISNUMBER($E7),G$4&gt;=$D7,G$4&lt;=$E7,NETWORKDAYS(G$4,G$4,'Sources &amp; Change Log'!$J$2:$J$5)=1,COUNTIFS('Team Calendar'!$A$5:$A$14,$F7,'Team Calendar'!$C$5:$C$14,G$4,'Team Calendar'!$F$5:$F$14,"Personal absence")=0),1,"")</x:f>
      </x:c>
      <x:c r="H7" s="207" t="str">
        <x:f>IF(AND(ISNUMBER($D7),ISNUMBER($E7),H$4&gt;=$D7,H$4&lt;=$E7,NETWORKDAYS(H$4,H$4,'Sources &amp; Change Log'!$J$2:$J$5)=1,COUNTIFS('Team Calendar'!$A$5:$A$14,$F7,'Team Calendar'!$C$5:$C$14,H$4,'Team Calendar'!$F$5:$F$14,"Personal absence")=0),1,"")</x:f>
      </x:c>
      <x:c r="I7" s="207" t="str">
        <x:f>IF(AND(ISNUMBER($D7),ISNUMBER($E7),I$4&gt;=$D7,I$4&lt;=$E7,NETWORKDAYS(I$4,I$4,'Sources &amp; Change Log'!$J$2:$J$5)=1,COUNTIFS('Team Calendar'!$A$5:$A$14,$F7,'Team Calendar'!$C$5:$C$14,I$4,'Team Calendar'!$F$5:$F$14,"Personal absence")=0),1,"")</x:f>
      </x:c>
      <x:c r="J7" s="207" t="str">
        <x:f>IF(AND(ISNUMBER($D7),ISNUMBER($E7),J$4&gt;=$D7,J$4&lt;=$E7,NETWORKDAYS(J$4,J$4,'Sources &amp; Change Log'!$J$2:$J$5)=1,COUNTIFS('Team Calendar'!$A$5:$A$14,$F7,'Team Calendar'!$C$5:$C$14,J$4,'Team Calendar'!$F$5:$F$14,"Personal absence")=0),1,"")</x:f>
      </x:c>
      <x:c r="K7" s="207" t="str">
        <x:f>IF(AND(ISNUMBER($D7),ISNUMBER($E7),K$4&gt;=$D7,K$4&lt;=$E7,NETWORKDAYS(K$4,K$4,'Sources &amp; Change Log'!$J$2:$J$5)=1,COUNTIFS('Team Calendar'!$A$5:$A$14,$F7,'Team Calendar'!$C$5:$C$14,K$4,'Team Calendar'!$F$5:$F$14,"Personal absence")=0),1,"")</x:f>
      </x:c>
      <x:c r="L7" s="207" t="str">
        <x:f>IF(AND(ISNUMBER($D7),ISNUMBER($E7),L$4&gt;=$D7,L$4&lt;=$E7,NETWORKDAYS(L$4,L$4,'Sources &amp; Change Log'!$J$2:$J$5)=1,COUNTIFS('Team Calendar'!$A$5:$A$14,$F7,'Team Calendar'!$C$5:$C$14,L$4,'Team Calendar'!$F$5:$F$14,"Personal absence")=0),1,"")</x:f>
      </x:c>
      <x:c r="M7" s="207" t="str">
        <x:f>IF(AND(ISNUMBER($D7),ISNUMBER($E7),M$4&gt;=$D7,M$4&lt;=$E7,NETWORKDAYS(M$4,M$4,'Sources &amp; Change Log'!$J$2:$J$5)=1,COUNTIFS('Team Calendar'!$A$5:$A$14,$F7,'Team Calendar'!$C$5:$C$14,M$4,'Team Calendar'!$F$5:$F$14,"Personal absence")=0),1,"")</x:f>
      </x:c>
      <x:c r="N7" s="207" t="str">
        <x:f>IF(AND(ISNUMBER($D7),ISNUMBER($E7),N$4&gt;=$D7,N$4&lt;=$E7,NETWORKDAYS(N$4,N$4,'Sources &amp; Change Log'!$J$2:$J$5)=1,COUNTIFS('Team Calendar'!$A$5:$A$14,$F7,'Team Calendar'!$C$5:$C$14,N$4,'Team Calendar'!$F$5:$F$14,"Personal absence")=0),1,"")</x:f>
      </x:c>
      <x:c r="O7" s="207" t="str">
        <x:f>IF(AND(ISNUMBER($D7),ISNUMBER($E7),O$4&gt;=$D7,O$4&lt;=$E7,NETWORKDAYS(O$4,O$4,'Sources &amp; Change Log'!$J$2:$J$5)=1,COUNTIFS('Team Calendar'!$A$5:$A$14,$F7,'Team Calendar'!$C$5:$C$14,O$4,'Team Calendar'!$F$5:$F$14,"Personal absence")=0),1,"")</x:f>
      </x:c>
      <x:c r="P7" s="207" t="str">
        <x:f>IF(AND(ISNUMBER($D7),ISNUMBER($E7),P$4&gt;=$D7,P$4&lt;=$E7,NETWORKDAYS(P$4,P$4,'Sources &amp; Change Log'!$J$2:$J$5)=1,COUNTIFS('Team Calendar'!$A$5:$A$14,$F7,'Team Calendar'!$C$5:$C$14,P$4,'Team Calendar'!$F$5:$F$14,"Personal absence")=0),1,"")</x:f>
      </x:c>
      <x:c r="Q7" s="207" t="n">
        <x:f>IF(AND(ISNUMBER($D7),ISNUMBER($E7),Q$4&gt;=$D7,Q$4&lt;=$E7,NETWORKDAYS(Q$4,Q$4,'Sources &amp; Change Log'!$J$2:$J$5)=1,COUNTIFS('Team Calendar'!$A$5:$A$14,$F7,'Team Calendar'!$C$5:$C$14,Q$4,'Team Calendar'!$F$5:$F$14,"Personal absence")=0),1,"")</x:f>
        <x:v>1</x:v>
      </x:c>
      <x:c r="R7" s="207" t="str">
        <x:f>IF(AND(ISNUMBER($D7),ISNUMBER($E7),R$4&gt;=$D7,R$4&lt;=$E7,NETWORKDAYS(R$4,R$4,'Sources &amp; Change Log'!$J$2:$J$5)=1,COUNTIFS('Team Calendar'!$A$5:$A$14,$F7,'Team Calendar'!$C$5:$C$14,R$4,'Team Calendar'!$F$5:$F$14,"Personal absence")=0),1,"")</x:f>
      </x:c>
      <x:c r="S7" s="207" t="str">
        <x:f>IF(AND(ISNUMBER($D7),ISNUMBER($E7),S$4&gt;=$D7,S$4&lt;=$E7,NETWORKDAYS(S$4,S$4,'Sources &amp; Change Log'!$J$2:$J$5)=1,COUNTIFS('Team Calendar'!$A$5:$A$14,$F7,'Team Calendar'!$C$5:$C$14,S$4,'Team Calendar'!$F$5:$F$14,"Personal absence")=0),1,"")</x:f>
      </x:c>
      <x:c r="T7" s="207" t="str">
        <x:f>IF(AND(ISNUMBER($D7),ISNUMBER($E7),T$4&gt;=$D7,T$4&lt;=$E7,NETWORKDAYS(T$4,T$4,'Sources &amp; Change Log'!$J$2:$J$5)=1,COUNTIFS('Team Calendar'!$A$5:$A$14,$F7,'Team Calendar'!$C$5:$C$14,T$4,'Team Calendar'!$F$5:$F$14,"Personal absence")=0),1,"")</x:f>
      </x:c>
      <x:c r="U7" s="207" t="n">
        <x:f>IF(AND(ISNUMBER($D7),ISNUMBER($E7),U$4&gt;=$D7,U$4&lt;=$E7,NETWORKDAYS(U$4,U$4,'Sources &amp; Change Log'!$J$2:$J$5)=1,COUNTIFS('Team Calendar'!$A$5:$A$14,$F7,'Team Calendar'!$C$5:$C$14,U$4,'Team Calendar'!$F$5:$F$14,"Personal absence")=0),1,"")</x:f>
        <x:v>1</x:v>
      </x:c>
      <x:c r="V7" s="207" t="n">
        <x:f>IF(AND(ISNUMBER($D7),ISNUMBER($E7),V$4&gt;=$D7,V$4&lt;=$E7,NETWORKDAYS(V$4,V$4,'Sources &amp; Change Log'!$J$2:$J$5)=1,COUNTIFS('Team Calendar'!$A$5:$A$14,$F7,'Team Calendar'!$C$5:$C$14,V$4,'Team Calendar'!$F$5:$F$14,"Personal absence")=0),1,"")</x:f>
        <x:v>1</x:v>
      </x:c>
      <x:c r="W7" s="207" t="n">
        <x:f>IF(AND(ISNUMBER($D7),ISNUMBER($E7),W$4&gt;=$D7,W$4&lt;=$E7,NETWORKDAYS(W$4,W$4,'Sources &amp; Change Log'!$J$2:$J$5)=1,COUNTIFS('Team Calendar'!$A$5:$A$14,$F7,'Team Calendar'!$C$5:$C$14,W$4,'Team Calendar'!$F$5:$F$14,"Personal absence")=0),1,"")</x:f>
        <x:v>1</x:v>
      </x:c>
      <x:c r="X7" s="207" t="str">
        <x:f>IF(AND(ISNUMBER($D7),ISNUMBER($E7),X$4&gt;=$D7,X$4&lt;=$E7,NETWORKDAYS(X$4,X$4,'Sources &amp; Change Log'!$J$2:$J$5)=1,COUNTIFS('Team Calendar'!$A$5:$A$14,$F7,'Team Calendar'!$C$5:$C$14,X$4,'Team Calendar'!$F$5:$F$14,"Personal absence")=0),1,"")</x:f>
      </x:c>
      <x:c r="Y7" s="207" t="str">
        <x:f>IF(AND(ISNUMBER($D7),ISNUMBER($E7),Y$4&gt;=$D7,Y$4&lt;=$E7,NETWORKDAYS(Y$4,Y$4,'Sources &amp; Change Log'!$J$2:$J$5)=1,COUNTIFS('Team Calendar'!$A$5:$A$14,$F7,'Team Calendar'!$C$5:$C$14,Y$4,'Team Calendar'!$F$5:$F$14,"Personal absence")=0),1,"")</x:f>
      </x:c>
      <x:c r="Z7" s="207" t="str">
        <x:f>IF(AND(ISNUMBER($D7),ISNUMBER($E7),Z$4&gt;=$D7,Z$4&lt;=$E7,NETWORKDAYS(Z$4,Z$4,'Sources &amp; Change Log'!$J$2:$J$5)=1,COUNTIFS('Team Calendar'!$A$5:$A$14,$F7,'Team Calendar'!$C$5:$C$14,Z$4,'Team Calendar'!$F$5:$F$14,"Personal absence")=0),1,"")</x:f>
      </x:c>
      <x:c r="AA7" s="207" t="str">
        <x:f>IF(AND(ISNUMBER($D7),ISNUMBER($E7),AA$4&gt;=$D7,AA$4&lt;=$E7,NETWORKDAYS(AA$4,AA$4,'Sources &amp; Change Log'!$J$2:$J$5)=1,COUNTIFS('Team Calendar'!$A$5:$A$14,$F7,'Team Calendar'!$C$5:$C$14,AA$4,'Team Calendar'!$F$5:$F$14,"Personal absence")=0),1,"")</x:f>
      </x:c>
      <x:c r="AB7" s="207" t="str">
        <x:f>IF(AND(ISNUMBER($D7),ISNUMBER($E7),AB$4&gt;=$D7,AB$4&lt;=$E7,NETWORKDAYS(AB$4,AB$4,'Sources &amp; Change Log'!$J$2:$J$5)=1,COUNTIFS('Team Calendar'!$A$5:$A$14,$F7,'Team Calendar'!$C$5:$C$14,AB$4,'Team Calendar'!$F$5:$F$14,"Personal absence")=0),1,"")</x:f>
      </x:c>
      <x:c r="AC7" s="207" t="str">
        <x:f>IF(AND(ISNUMBER($D7),ISNUMBER($E7),AC$4&gt;=$D7,AC$4&lt;=$E7,NETWORKDAYS(AC$4,AC$4,'Sources &amp; Change Log'!$J$2:$J$5)=1,COUNTIFS('Team Calendar'!$A$5:$A$14,$F7,'Team Calendar'!$C$5:$C$14,AC$4,'Team Calendar'!$F$5:$F$14,"Personal absence")=0),1,"")</x:f>
      </x:c>
      <x:c r="AD7" s="207" t="str">
        <x:f>IF(AND(ISNUMBER($D7),ISNUMBER($E7),AD$4&gt;=$D7,AD$4&lt;=$E7,NETWORKDAYS(AD$4,AD$4,'Sources &amp; Change Log'!$J$2:$J$5)=1,COUNTIFS('Team Calendar'!$A$5:$A$14,$F7,'Team Calendar'!$C$5:$C$14,AD$4,'Team Calendar'!$F$5:$F$14,"Personal absence")=0),1,"")</x:f>
      </x:c>
      <x:c r="AE7" s="207" t="str">
        <x:f>IF(AND(ISNUMBER($D7),ISNUMBER($E7),AE$4&gt;=$D7,AE$4&lt;=$E7,NETWORKDAYS(AE$4,AE$4,'Sources &amp; Change Log'!$J$2:$J$5)=1,COUNTIFS('Team Calendar'!$A$5:$A$14,$F7,'Team Calendar'!$C$5:$C$14,AE$4,'Team Calendar'!$F$5:$F$14,"Personal absence")=0),1,"")</x:f>
      </x:c>
      <x:c r="AF7" s="207" t="str">
        <x:f>IF(AND(ISNUMBER($D7),ISNUMBER($E7),AF$4&gt;=$D7,AF$4&lt;=$E7,NETWORKDAYS(AF$4,AF$4,'Sources &amp; Change Log'!$J$2:$J$5)=1,COUNTIFS('Team Calendar'!$A$5:$A$14,$F7,'Team Calendar'!$C$5:$C$14,AF$4,'Team Calendar'!$F$5:$F$14,"Personal absence")=0),1,"")</x:f>
      </x:c>
      <x:c r="AG7" s="207" t="str">
        <x:f>IF(AND(ISNUMBER($D7),ISNUMBER($E7),AG$4&gt;=$D7,AG$4&lt;=$E7,NETWORKDAYS(AG$4,AG$4,'Sources &amp; Change Log'!$J$2:$J$5)=1,COUNTIFS('Team Calendar'!$A$5:$A$14,$F7,'Team Calendar'!$C$5:$C$14,AG$4,'Team Calendar'!$F$5:$F$14,"Personal absence")=0),1,"")</x:f>
      </x:c>
      <x:c r="AH7" s="207" t="str">
        <x:f>IF(AND(ISNUMBER($D7),ISNUMBER($E7),AH$4&gt;=$D7,AH$4&lt;=$E7,NETWORKDAYS(AH$4,AH$4,'Sources &amp; Change Log'!$J$2:$J$5)=1,COUNTIFS('Team Calendar'!$A$5:$A$14,$F7,'Team Calendar'!$C$5:$C$14,AH$4,'Team Calendar'!$F$5:$F$14,"Personal absence")=0),1,"")</x:f>
      </x:c>
      <x:c r="AI7" s="207" t="str">
        <x:f>IF(AND(ISNUMBER($D7),ISNUMBER($E7),AI$4&gt;=$D7,AI$4&lt;=$E7,NETWORKDAYS(AI$4,AI$4,'Sources &amp; Change Log'!$J$2:$J$5)=1,COUNTIFS('Team Calendar'!$A$5:$A$14,$F7,'Team Calendar'!$C$5:$C$14,AI$4,'Team Calendar'!$F$5:$F$14,"Personal absence")=0),1,"")</x:f>
      </x:c>
      <x:c r="AJ7" s="206"/>
      <x:c r="AK7" s="206"/>
      <x:c r="AL7" s="206"/>
      <x:c r="AM7" s="206"/>
      <x:c r="AN7" s="206"/>
      <x:c r="AO7" s="206"/>
      <x:c r="AP7" s="206"/>
      <x:c r="AQ7" s="206"/>
      <x:c r="AR7" s="206"/>
      <x:c r="AS7" s="206"/>
      <x:c r="AT7" s="206"/>
      <x:c r="AU7" s="206"/>
      <x:c r="AV7" s="206"/>
      <x:c r="AW7" s="206"/>
      <x:c r="AX7" s="206"/>
      <x:c r="AY7" s="206"/>
      <x:c r="AZ7" s="206"/>
    </x:row>
    <x:row r="8" ht="30" customHeight="1">
      <x:c r="A8" s="195" t="str">
        <x:f>WBS!A34</x:f>
        <x:v>P2-OCI-01</x:v>
      </x:c>
      <x:c r="B8" s="195" t="str">
        <x:f>WBS!B34</x:f>
        <x:v>OCI Relay Go / No-Go</x:v>
      </x:c>
      <x:c r="C8" s="195" t="str">
        <x:f>WBS!G34</x:f>
        <x:v>To Do</x:v>
      </x:c>
      <x:c r="D8" s="225" t="n">
        <x:f>WBS!H34</x:f>
        <x:v>46302</x:v>
      </x:c>
      <x:c r="E8" s="225" t="n">
        <x:f>WBS!I34</x:f>
        <x:v>46303</x:v>
      </x:c>
      <x:c r="F8" s="13" t="str">
        <x:f>WBS!L34</x:f>
        <x:v>이권욱</x:v>
      </x:c>
      <x:c r="G8" s="207" t="str">
        <x:f>IF(AND(ISNUMBER($D8),ISNUMBER($E8),G$4&gt;=$D8,G$4&lt;=$E8,NETWORKDAYS(G$4,G$4,'Sources &amp; Change Log'!$J$2:$J$5)=1,COUNTIFS('Team Calendar'!$A$5:$A$14,$F8,'Team Calendar'!$C$5:$C$14,G$4,'Team Calendar'!$F$5:$F$14,"Personal absence")=0),1,"")</x:f>
      </x:c>
      <x:c r="H8" s="207" t="str">
        <x:f>IF(AND(ISNUMBER($D8),ISNUMBER($E8),H$4&gt;=$D8,H$4&lt;=$E8,NETWORKDAYS(H$4,H$4,'Sources &amp; Change Log'!$J$2:$J$5)=1,COUNTIFS('Team Calendar'!$A$5:$A$14,$F8,'Team Calendar'!$C$5:$C$14,H$4,'Team Calendar'!$F$5:$F$14,"Personal absence")=0),1,"")</x:f>
      </x:c>
      <x:c r="I8" s="207" t="str">
        <x:f>IF(AND(ISNUMBER($D8),ISNUMBER($E8),I$4&gt;=$D8,I$4&lt;=$E8,NETWORKDAYS(I$4,I$4,'Sources &amp; Change Log'!$J$2:$J$5)=1,COUNTIFS('Team Calendar'!$A$5:$A$14,$F8,'Team Calendar'!$C$5:$C$14,I$4,'Team Calendar'!$F$5:$F$14,"Personal absence")=0),1,"")</x:f>
      </x:c>
      <x:c r="J8" s="207" t="str">
        <x:f>IF(AND(ISNUMBER($D8),ISNUMBER($E8),J$4&gt;=$D8,J$4&lt;=$E8,NETWORKDAYS(J$4,J$4,'Sources &amp; Change Log'!$J$2:$J$5)=1,COUNTIFS('Team Calendar'!$A$5:$A$14,$F8,'Team Calendar'!$C$5:$C$14,J$4,'Team Calendar'!$F$5:$F$14,"Personal absence")=0),1,"")</x:f>
      </x:c>
      <x:c r="K8" s="207" t="str">
        <x:f>IF(AND(ISNUMBER($D8),ISNUMBER($E8),K$4&gt;=$D8,K$4&lt;=$E8,NETWORKDAYS(K$4,K$4,'Sources &amp; Change Log'!$J$2:$J$5)=1,COUNTIFS('Team Calendar'!$A$5:$A$14,$F8,'Team Calendar'!$C$5:$C$14,K$4,'Team Calendar'!$F$5:$F$14,"Personal absence")=0),1,"")</x:f>
      </x:c>
      <x:c r="L8" s="207" t="str">
        <x:f>IF(AND(ISNUMBER($D8),ISNUMBER($E8),L$4&gt;=$D8,L$4&lt;=$E8,NETWORKDAYS(L$4,L$4,'Sources &amp; Change Log'!$J$2:$J$5)=1,COUNTIFS('Team Calendar'!$A$5:$A$14,$F8,'Team Calendar'!$C$5:$C$14,L$4,'Team Calendar'!$F$5:$F$14,"Personal absence")=0),1,"")</x:f>
      </x:c>
      <x:c r="M8" s="207" t="str">
        <x:f>IF(AND(ISNUMBER($D8),ISNUMBER($E8),M$4&gt;=$D8,M$4&lt;=$E8,NETWORKDAYS(M$4,M$4,'Sources &amp; Change Log'!$J$2:$J$5)=1,COUNTIFS('Team Calendar'!$A$5:$A$14,$F8,'Team Calendar'!$C$5:$C$14,M$4,'Team Calendar'!$F$5:$F$14,"Personal absence")=0),1,"")</x:f>
      </x:c>
      <x:c r="N8" s="207" t="str">
        <x:f>IF(AND(ISNUMBER($D8),ISNUMBER($E8),N$4&gt;=$D8,N$4&lt;=$E8,NETWORKDAYS(N$4,N$4,'Sources &amp; Change Log'!$J$2:$J$5)=1,COUNTIFS('Team Calendar'!$A$5:$A$14,$F8,'Team Calendar'!$C$5:$C$14,N$4,'Team Calendar'!$F$5:$F$14,"Personal absence")=0),1,"")</x:f>
      </x:c>
      <x:c r="O8" s="207" t="str">
        <x:f>IF(AND(ISNUMBER($D8),ISNUMBER($E8),O$4&gt;=$D8,O$4&lt;=$E8,NETWORKDAYS(O$4,O$4,'Sources &amp; Change Log'!$J$2:$J$5)=1,COUNTIFS('Team Calendar'!$A$5:$A$14,$F8,'Team Calendar'!$C$5:$C$14,O$4,'Team Calendar'!$F$5:$F$14,"Personal absence")=0),1,"")</x:f>
      </x:c>
      <x:c r="P8" s="207" t="n">
        <x:f>IF(AND(ISNUMBER($D8),ISNUMBER($E8),P$4&gt;=$D8,P$4&lt;=$E8,NETWORKDAYS(P$4,P$4,'Sources &amp; Change Log'!$J$2:$J$5)=1,COUNTIFS('Team Calendar'!$A$5:$A$14,$F8,'Team Calendar'!$C$5:$C$14,P$4,'Team Calendar'!$F$5:$F$14,"Personal absence")=0),1,"")</x:f>
        <x:v>1</x:v>
      </x:c>
      <x:c r="Q8" s="207" t="n">
        <x:f>IF(AND(ISNUMBER($D8),ISNUMBER($E8),Q$4&gt;=$D8,Q$4&lt;=$E8,NETWORKDAYS(Q$4,Q$4,'Sources &amp; Change Log'!$J$2:$J$5)=1,COUNTIFS('Team Calendar'!$A$5:$A$14,$F8,'Team Calendar'!$C$5:$C$14,Q$4,'Team Calendar'!$F$5:$F$14,"Personal absence")=0),1,"")</x:f>
        <x:v>1</x:v>
      </x:c>
      <x:c r="R8" s="207" t="str">
        <x:f>IF(AND(ISNUMBER($D8),ISNUMBER($E8),R$4&gt;=$D8,R$4&lt;=$E8,NETWORKDAYS(R$4,R$4,'Sources &amp; Change Log'!$J$2:$J$5)=1,COUNTIFS('Team Calendar'!$A$5:$A$14,$F8,'Team Calendar'!$C$5:$C$14,R$4,'Team Calendar'!$F$5:$F$14,"Personal absence")=0),1,"")</x:f>
      </x:c>
      <x:c r="S8" s="207" t="str">
        <x:f>IF(AND(ISNUMBER($D8),ISNUMBER($E8),S$4&gt;=$D8,S$4&lt;=$E8,NETWORKDAYS(S$4,S$4,'Sources &amp; Change Log'!$J$2:$J$5)=1,COUNTIFS('Team Calendar'!$A$5:$A$14,$F8,'Team Calendar'!$C$5:$C$14,S$4,'Team Calendar'!$F$5:$F$14,"Personal absence")=0),1,"")</x:f>
      </x:c>
      <x:c r="T8" s="207" t="str">
        <x:f>IF(AND(ISNUMBER($D8),ISNUMBER($E8),T$4&gt;=$D8,T$4&lt;=$E8,NETWORKDAYS(T$4,T$4,'Sources &amp; Change Log'!$J$2:$J$5)=1,COUNTIFS('Team Calendar'!$A$5:$A$14,$F8,'Team Calendar'!$C$5:$C$14,T$4,'Team Calendar'!$F$5:$F$14,"Personal absence")=0),1,"")</x:f>
      </x:c>
      <x:c r="U8" s="207" t="str">
        <x:f>IF(AND(ISNUMBER($D8),ISNUMBER($E8),U$4&gt;=$D8,U$4&lt;=$E8,NETWORKDAYS(U$4,U$4,'Sources &amp; Change Log'!$J$2:$J$5)=1,COUNTIFS('Team Calendar'!$A$5:$A$14,$F8,'Team Calendar'!$C$5:$C$14,U$4,'Team Calendar'!$F$5:$F$14,"Personal absence")=0),1,"")</x:f>
      </x:c>
      <x:c r="V8" s="207" t="str">
        <x:f>IF(AND(ISNUMBER($D8),ISNUMBER($E8),V$4&gt;=$D8,V$4&lt;=$E8,NETWORKDAYS(V$4,V$4,'Sources &amp; Change Log'!$J$2:$J$5)=1,COUNTIFS('Team Calendar'!$A$5:$A$14,$F8,'Team Calendar'!$C$5:$C$14,V$4,'Team Calendar'!$F$5:$F$14,"Personal absence")=0),1,"")</x:f>
      </x:c>
      <x:c r="W8" s="207" t="str">
        <x:f>IF(AND(ISNUMBER($D8),ISNUMBER($E8),W$4&gt;=$D8,W$4&lt;=$E8,NETWORKDAYS(W$4,W$4,'Sources &amp; Change Log'!$J$2:$J$5)=1,COUNTIFS('Team Calendar'!$A$5:$A$14,$F8,'Team Calendar'!$C$5:$C$14,W$4,'Team Calendar'!$F$5:$F$14,"Personal absence")=0),1,"")</x:f>
      </x:c>
      <x:c r="X8" s="207" t="str">
        <x:f>IF(AND(ISNUMBER($D8),ISNUMBER($E8),X$4&gt;=$D8,X$4&lt;=$E8,NETWORKDAYS(X$4,X$4,'Sources &amp; Change Log'!$J$2:$J$5)=1,COUNTIFS('Team Calendar'!$A$5:$A$14,$F8,'Team Calendar'!$C$5:$C$14,X$4,'Team Calendar'!$F$5:$F$14,"Personal absence")=0),1,"")</x:f>
      </x:c>
      <x:c r="Y8" s="207" t="str">
        <x:f>IF(AND(ISNUMBER($D8),ISNUMBER($E8),Y$4&gt;=$D8,Y$4&lt;=$E8,NETWORKDAYS(Y$4,Y$4,'Sources &amp; Change Log'!$J$2:$J$5)=1,COUNTIFS('Team Calendar'!$A$5:$A$14,$F8,'Team Calendar'!$C$5:$C$14,Y$4,'Team Calendar'!$F$5:$F$14,"Personal absence")=0),1,"")</x:f>
      </x:c>
      <x:c r="Z8" s="207" t="str">
        <x:f>IF(AND(ISNUMBER($D8),ISNUMBER($E8),Z$4&gt;=$D8,Z$4&lt;=$E8,NETWORKDAYS(Z$4,Z$4,'Sources &amp; Change Log'!$J$2:$J$5)=1,COUNTIFS('Team Calendar'!$A$5:$A$14,$F8,'Team Calendar'!$C$5:$C$14,Z$4,'Team Calendar'!$F$5:$F$14,"Personal absence")=0),1,"")</x:f>
      </x:c>
      <x:c r="AA8" s="207" t="str">
        <x:f>IF(AND(ISNUMBER($D8),ISNUMBER($E8),AA$4&gt;=$D8,AA$4&lt;=$E8,NETWORKDAYS(AA$4,AA$4,'Sources &amp; Change Log'!$J$2:$J$5)=1,COUNTIFS('Team Calendar'!$A$5:$A$14,$F8,'Team Calendar'!$C$5:$C$14,AA$4,'Team Calendar'!$F$5:$F$14,"Personal absence")=0),1,"")</x:f>
      </x:c>
      <x:c r="AB8" s="207" t="str">
        <x:f>IF(AND(ISNUMBER($D8),ISNUMBER($E8),AB$4&gt;=$D8,AB$4&lt;=$E8,NETWORKDAYS(AB$4,AB$4,'Sources &amp; Change Log'!$J$2:$J$5)=1,COUNTIFS('Team Calendar'!$A$5:$A$14,$F8,'Team Calendar'!$C$5:$C$14,AB$4,'Team Calendar'!$F$5:$F$14,"Personal absence")=0),1,"")</x:f>
      </x:c>
      <x:c r="AC8" s="207" t="str">
        <x:f>IF(AND(ISNUMBER($D8),ISNUMBER($E8),AC$4&gt;=$D8,AC$4&lt;=$E8,NETWORKDAYS(AC$4,AC$4,'Sources &amp; Change Log'!$J$2:$J$5)=1,COUNTIFS('Team Calendar'!$A$5:$A$14,$F8,'Team Calendar'!$C$5:$C$14,AC$4,'Team Calendar'!$F$5:$F$14,"Personal absence")=0),1,"")</x:f>
      </x:c>
      <x:c r="AD8" s="207" t="str">
        <x:f>IF(AND(ISNUMBER($D8),ISNUMBER($E8),AD$4&gt;=$D8,AD$4&lt;=$E8,NETWORKDAYS(AD$4,AD$4,'Sources &amp; Change Log'!$J$2:$J$5)=1,COUNTIFS('Team Calendar'!$A$5:$A$14,$F8,'Team Calendar'!$C$5:$C$14,AD$4,'Team Calendar'!$F$5:$F$14,"Personal absence")=0),1,"")</x:f>
      </x:c>
      <x:c r="AE8" s="207" t="str">
        <x:f>IF(AND(ISNUMBER($D8),ISNUMBER($E8),AE$4&gt;=$D8,AE$4&lt;=$E8,NETWORKDAYS(AE$4,AE$4,'Sources &amp; Change Log'!$J$2:$J$5)=1,COUNTIFS('Team Calendar'!$A$5:$A$14,$F8,'Team Calendar'!$C$5:$C$14,AE$4,'Team Calendar'!$F$5:$F$14,"Personal absence")=0),1,"")</x:f>
      </x:c>
      <x:c r="AF8" s="207" t="str">
        <x:f>IF(AND(ISNUMBER($D8),ISNUMBER($E8),AF$4&gt;=$D8,AF$4&lt;=$E8,NETWORKDAYS(AF$4,AF$4,'Sources &amp; Change Log'!$J$2:$J$5)=1,COUNTIFS('Team Calendar'!$A$5:$A$14,$F8,'Team Calendar'!$C$5:$C$14,AF$4,'Team Calendar'!$F$5:$F$14,"Personal absence")=0),1,"")</x:f>
      </x:c>
      <x:c r="AG8" s="207" t="str">
        <x:f>IF(AND(ISNUMBER($D8),ISNUMBER($E8),AG$4&gt;=$D8,AG$4&lt;=$E8,NETWORKDAYS(AG$4,AG$4,'Sources &amp; Change Log'!$J$2:$J$5)=1,COUNTIFS('Team Calendar'!$A$5:$A$14,$F8,'Team Calendar'!$C$5:$C$14,AG$4,'Team Calendar'!$F$5:$F$14,"Personal absence")=0),1,"")</x:f>
      </x:c>
      <x:c r="AH8" s="207" t="str">
        <x:f>IF(AND(ISNUMBER($D8),ISNUMBER($E8),AH$4&gt;=$D8,AH$4&lt;=$E8,NETWORKDAYS(AH$4,AH$4,'Sources &amp; Change Log'!$J$2:$J$5)=1,COUNTIFS('Team Calendar'!$A$5:$A$14,$F8,'Team Calendar'!$C$5:$C$14,AH$4,'Team Calendar'!$F$5:$F$14,"Personal absence")=0),1,"")</x:f>
      </x:c>
      <x:c r="AI8" s="207" t="str">
        <x:f>IF(AND(ISNUMBER($D8),ISNUMBER($E8),AI$4&gt;=$D8,AI$4&lt;=$E8,NETWORKDAYS(AI$4,AI$4,'Sources &amp; Change Log'!$J$2:$J$5)=1,COUNTIFS('Team Calendar'!$A$5:$A$14,$F8,'Team Calendar'!$C$5:$C$14,AI$4,'Team Calendar'!$F$5:$F$14,"Personal absence")=0),1,"")</x:f>
      </x:c>
      <x:c r="AJ8" s="206"/>
      <x:c r="AK8" s="206"/>
      <x:c r="AL8" s="206"/>
      <x:c r="AM8" s="206"/>
      <x:c r="AN8" s="206"/>
      <x:c r="AO8" s="206"/>
      <x:c r="AP8" s="206"/>
      <x:c r="AQ8" s="206"/>
      <x:c r="AR8" s="206"/>
      <x:c r="AS8" s="206"/>
      <x:c r="AT8" s="206"/>
      <x:c r="AU8" s="206"/>
      <x:c r="AV8" s="206"/>
      <x:c r="AW8" s="206"/>
      <x:c r="AX8" s="206"/>
      <x:c r="AY8" s="206"/>
      <x:c r="AZ8" s="206"/>
    </x:row>
    <x:row r="9" ht="30" customHeight="1">
      <x:c r="A9" s="195" t="str">
        <x:f>WBS!A35</x:f>
        <x:v>P2-VPN-01</x:v>
      </x:c>
      <x:c r="B9" s="195" t="str">
        <x:f>WBS!B35</x:f>
        <x:v>OCI Relay / AWS Site-to-Site VPN</x:v>
      </x:c>
      <x:c r="C9" s="195" t="str">
        <x:f>WBS!G35</x:f>
        <x:v>To Do</x:v>
      </x:c>
      <x:c r="D9" s="225" t="n">
        <x:f>WBS!H35</x:f>
        <x:v>46307</x:v>
      </x:c>
      <x:c r="E9" s="225" t="n">
        <x:f>WBS!I35</x:f>
        <x:v>46309</x:v>
      </x:c>
      <x:c r="F9" s="13" t="str">
        <x:f>WBS!L35</x:f>
        <x:v>이재환</x:v>
      </x:c>
      <x:c r="G9" s="207" t="str">
        <x:f>IF(AND(ISNUMBER($D9),ISNUMBER($E9),G$4&gt;=$D9,G$4&lt;=$E9,NETWORKDAYS(G$4,G$4,'Sources &amp; Change Log'!$J$2:$J$5)=1,COUNTIFS('Team Calendar'!$A$5:$A$14,$F9,'Team Calendar'!$C$5:$C$14,G$4,'Team Calendar'!$F$5:$F$14,"Personal absence")=0),1,"")</x:f>
      </x:c>
      <x:c r="H9" s="207" t="str">
        <x:f>IF(AND(ISNUMBER($D9),ISNUMBER($E9),H$4&gt;=$D9,H$4&lt;=$E9,NETWORKDAYS(H$4,H$4,'Sources &amp; Change Log'!$J$2:$J$5)=1,COUNTIFS('Team Calendar'!$A$5:$A$14,$F9,'Team Calendar'!$C$5:$C$14,H$4,'Team Calendar'!$F$5:$F$14,"Personal absence")=0),1,"")</x:f>
      </x:c>
      <x:c r="I9" s="207" t="str">
        <x:f>IF(AND(ISNUMBER($D9),ISNUMBER($E9),I$4&gt;=$D9,I$4&lt;=$E9,NETWORKDAYS(I$4,I$4,'Sources &amp; Change Log'!$J$2:$J$5)=1,COUNTIFS('Team Calendar'!$A$5:$A$14,$F9,'Team Calendar'!$C$5:$C$14,I$4,'Team Calendar'!$F$5:$F$14,"Personal absence")=0),1,"")</x:f>
      </x:c>
      <x:c r="J9" s="207" t="str">
        <x:f>IF(AND(ISNUMBER($D9),ISNUMBER($E9),J$4&gt;=$D9,J$4&lt;=$E9,NETWORKDAYS(J$4,J$4,'Sources &amp; Change Log'!$J$2:$J$5)=1,COUNTIFS('Team Calendar'!$A$5:$A$14,$F9,'Team Calendar'!$C$5:$C$14,J$4,'Team Calendar'!$F$5:$F$14,"Personal absence")=0),1,"")</x:f>
      </x:c>
      <x:c r="K9" s="207" t="str">
        <x:f>IF(AND(ISNUMBER($D9),ISNUMBER($E9),K$4&gt;=$D9,K$4&lt;=$E9,NETWORKDAYS(K$4,K$4,'Sources &amp; Change Log'!$J$2:$J$5)=1,COUNTIFS('Team Calendar'!$A$5:$A$14,$F9,'Team Calendar'!$C$5:$C$14,K$4,'Team Calendar'!$F$5:$F$14,"Personal absence")=0),1,"")</x:f>
      </x:c>
      <x:c r="L9" s="207" t="str">
        <x:f>IF(AND(ISNUMBER($D9),ISNUMBER($E9),L$4&gt;=$D9,L$4&lt;=$E9,NETWORKDAYS(L$4,L$4,'Sources &amp; Change Log'!$J$2:$J$5)=1,COUNTIFS('Team Calendar'!$A$5:$A$14,$F9,'Team Calendar'!$C$5:$C$14,L$4,'Team Calendar'!$F$5:$F$14,"Personal absence")=0),1,"")</x:f>
      </x:c>
      <x:c r="M9" s="207" t="str">
        <x:f>IF(AND(ISNUMBER($D9),ISNUMBER($E9),M$4&gt;=$D9,M$4&lt;=$E9,NETWORKDAYS(M$4,M$4,'Sources &amp; Change Log'!$J$2:$J$5)=1,COUNTIFS('Team Calendar'!$A$5:$A$14,$F9,'Team Calendar'!$C$5:$C$14,M$4,'Team Calendar'!$F$5:$F$14,"Personal absence")=0),1,"")</x:f>
      </x:c>
      <x:c r="N9" s="207" t="str">
        <x:f>IF(AND(ISNUMBER($D9),ISNUMBER($E9),N$4&gt;=$D9,N$4&lt;=$E9,NETWORKDAYS(N$4,N$4,'Sources &amp; Change Log'!$J$2:$J$5)=1,COUNTIFS('Team Calendar'!$A$5:$A$14,$F9,'Team Calendar'!$C$5:$C$14,N$4,'Team Calendar'!$F$5:$F$14,"Personal absence")=0),1,"")</x:f>
      </x:c>
      <x:c r="O9" s="207" t="str">
        <x:f>IF(AND(ISNUMBER($D9),ISNUMBER($E9),O$4&gt;=$D9,O$4&lt;=$E9,NETWORKDAYS(O$4,O$4,'Sources &amp; Change Log'!$J$2:$J$5)=1,COUNTIFS('Team Calendar'!$A$5:$A$14,$F9,'Team Calendar'!$C$5:$C$14,O$4,'Team Calendar'!$F$5:$F$14,"Personal absence")=0),1,"")</x:f>
      </x:c>
      <x:c r="P9" s="207" t="str">
        <x:f>IF(AND(ISNUMBER($D9),ISNUMBER($E9),P$4&gt;=$D9,P$4&lt;=$E9,NETWORKDAYS(P$4,P$4,'Sources &amp; Change Log'!$J$2:$J$5)=1,COUNTIFS('Team Calendar'!$A$5:$A$14,$F9,'Team Calendar'!$C$5:$C$14,P$4,'Team Calendar'!$F$5:$F$14,"Personal absence")=0),1,"")</x:f>
      </x:c>
      <x:c r="Q9" s="207" t="str">
        <x:f>IF(AND(ISNUMBER($D9),ISNUMBER($E9),Q$4&gt;=$D9,Q$4&lt;=$E9,NETWORKDAYS(Q$4,Q$4,'Sources &amp; Change Log'!$J$2:$J$5)=1,COUNTIFS('Team Calendar'!$A$5:$A$14,$F9,'Team Calendar'!$C$5:$C$14,Q$4,'Team Calendar'!$F$5:$F$14,"Personal absence")=0),1,"")</x:f>
      </x:c>
      <x:c r="R9" s="207" t="str">
        <x:f>IF(AND(ISNUMBER($D9),ISNUMBER($E9),R$4&gt;=$D9,R$4&lt;=$E9,NETWORKDAYS(R$4,R$4,'Sources &amp; Change Log'!$J$2:$J$5)=1,COUNTIFS('Team Calendar'!$A$5:$A$14,$F9,'Team Calendar'!$C$5:$C$14,R$4,'Team Calendar'!$F$5:$F$14,"Personal absence")=0),1,"")</x:f>
      </x:c>
      <x:c r="S9" s="207" t="str">
        <x:f>IF(AND(ISNUMBER($D9),ISNUMBER($E9),S$4&gt;=$D9,S$4&lt;=$E9,NETWORKDAYS(S$4,S$4,'Sources &amp; Change Log'!$J$2:$J$5)=1,COUNTIFS('Team Calendar'!$A$5:$A$14,$F9,'Team Calendar'!$C$5:$C$14,S$4,'Team Calendar'!$F$5:$F$14,"Personal absence")=0),1,"")</x:f>
      </x:c>
      <x:c r="T9" s="207" t="str">
        <x:f>IF(AND(ISNUMBER($D9),ISNUMBER($E9),T$4&gt;=$D9,T$4&lt;=$E9,NETWORKDAYS(T$4,T$4,'Sources &amp; Change Log'!$J$2:$J$5)=1,COUNTIFS('Team Calendar'!$A$5:$A$14,$F9,'Team Calendar'!$C$5:$C$14,T$4,'Team Calendar'!$F$5:$F$14,"Personal absence")=0),1,"")</x:f>
      </x:c>
      <x:c r="U9" s="207" t="n">
        <x:f>IF(AND(ISNUMBER($D9),ISNUMBER($E9),U$4&gt;=$D9,U$4&lt;=$E9,NETWORKDAYS(U$4,U$4,'Sources &amp; Change Log'!$J$2:$J$5)=1,COUNTIFS('Team Calendar'!$A$5:$A$14,$F9,'Team Calendar'!$C$5:$C$14,U$4,'Team Calendar'!$F$5:$F$14,"Personal absence")=0),1,"")</x:f>
        <x:v>1</x:v>
      </x:c>
      <x:c r="V9" s="207" t="n">
        <x:f>IF(AND(ISNUMBER($D9),ISNUMBER($E9),V$4&gt;=$D9,V$4&lt;=$E9,NETWORKDAYS(V$4,V$4,'Sources &amp; Change Log'!$J$2:$J$5)=1,COUNTIFS('Team Calendar'!$A$5:$A$14,$F9,'Team Calendar'!$C$5:$C$14,V$4,'Team Calendar'!$F$5:$F$14,"Personal absence")=0),1,"")</x:f>
        <x:v>1</x:v>
      </x:c>
      <x:c r="W9" s="207" t="n">
        <x:f>IF(AND(ISNUMBER($D9),ISNUMBER($E9),W$4&gt;=$D9,W$4&lt;=$E9,NETWORKDAYS(W$4,W$4,'Sources &amp; Change Log'!$J$2:$J$5)=1,COUNTIFS('Team Calendar'!$A$5:$A$14,$F9,'Team Calendar'!$C$5:$C$14,W$4,'Team Calendar'!$F$5:$F$14,"Personal absence")=0),1,"")</x:f>
        <x:v>1</x:v>
      </x:c>
      <x:c r="X9" s="207" t="str">
        <x:f>IF(AND(ISNUMBER($D9),ISNUMBER($E9),X$4&gt;=$D9,X$4&lt;=$E9,NETWORKDAYS(X$4,X$4,'Sources &amp; Change Log'!$J$2:$J$5)=1,COUNTIFS('Team Calendar'!$A$5:$A$14,$F9,'Team Calendar'!$C$5:$C$14,X$4,'Team Calendar'!$F$5:$F$14,"Personal absence")=0),1,"")</x:f>
      </x:c>
      <x:c r="Y9" s="207" t="str">
        <x:f>IF(AND(ISNUMBER($D9),ISNUMBER($E9),Y$4&gt;=$D9,Y$4&lt;=$E9,NETWORKDAYS(Y$4,Y$4,'Sources &amp; Change Log'!$J$2:$J$5)=1,COUNTIFS('Team Calendar'!$A$5:$A$14,$F9,'Team Calendar'!$C$5:$C$14,Y$4,'Team Calendar'!$F$5:$F$14,"Personal absence")=0),1,"")</x:f>
      </x:c>
      <x:c r="Z9" s="207" t="str">
        <x:f>IF(AND(ISNUMBER($D9),ISNUMBER($E9),Z$4&gt;=$D9,Z$4&lt;=$E9,NETWORKDAYS(Z$4,Z$4,'Sources &amp; Change Log'!$J$2:$J$5)=1,COUNTIFS('Team Calendar'!$A$5:$A$14,$F9,'Team Calendar'!$C$5:$C$14,Z$4,'Team Calendar'!$F$5:$F$14,"Personal absence")=0),1,"")</x:f>
      </x:c>
      <x:c r="AA9" s="207" t="str">
        <x:f>IF(AND(ISNUMBER($D9),ISNUMBER($E9),AA$4&gt;=$D9,AA$4&lt;=$E9,NETWORKDAYS(AA$4,AA$4,'Sources &amp; Change Log'!$J$2:$J$5)=1,COUNTIFS('Team Calendar'!$A$5:$A$14,$F9,'Team Calendar'!$C$5:$C$14,AA$4,'Team Calendar'!$F$5:$F$14,"Personal absence")=0),1,"")</x:f>
      </x:c>
      <x:c r="AB9" s="207" t="str">
        <x:f>IF(AND(ISNUMBER($D9),ISNUMBER($E9),AB$4&gt;=$D9,AB$4&lt;=$E9,NETWORKDAYS(AB$4,AB$4,'Sources &amp; Change Log'!$J$2:$J$5)=1,COUNTIFS('Team Calendar'!$A$5:$A$14,$F9,'Team Calendar'!$C$5:$C$14,AB$4,'Team Calendar'!$F$5:$F$14,"Personal absence")=0),1,"")</x:f>
      </x:c>
      <x:c r="AC9" s="207" t="str">
        <x:f>IF(AND(ISNUMBER($D9),ISNUMBER($E9),AC$4&gt;=$D9,AC$4&lt;=$E9,NETWORKDAYS(AC$4,AC$4,'Sources &amp; Change Log'!$J$2:$J$5)=1,COUNTIFS('Team Calendar'!$A$5:$A$14,$F9,'Team Calendar'!$C$5:$C$14,AC$4,'Team Calendar'!$F$5:$F$14,"Personal absence")=0),1,"")</x:f>
      </x:c>
      <x:c r="AD9" s="207" t="str">
        <x:f>IF(AND(ISNUMBER($D9),ISNUMBER($E9),AD$4&gt;=$D9,AD$4&lt;=$E9,NETWORKDAYS(AD$4,AD$4,'Sources &amp; Change Log'!$J$2:$J$5)=1,COUNTIFS('Team Calendar'!$A$5:$A$14,$F9,'Team Calendar'!$C$5:$C$14,AD$4,'Team Calendar'!$F$5:$F$14,"Personal absence")=0),1,"")</x:f>
      </x:c>
      <x:c r="AE9" s="207" t="str">
        <x:f>IF(AND(ISNUMBER($D9),ISNUMBER($E9),AE$4&gt;=$D9,AE$4&lt;=$E9,NETWORKDAYS(AE$4,AE$4,'Sources &amp; Change Log'!$J$2:$J$5)=1,COUNTIFS('Team Calendar'!$A$5:$A$14,$F9,'Team Calendar'!$C$5:$C$14,AE$4,'Team Calendar'!$F$5:$F$14,"Personal absence")=0),1,"")</x:f>
      </x:c>
      <x:c r="AF9" s="207" t="str">
        <x:f>IF(AND(ISNUMBER($D9),ISNUMBER($E9),AF$4&gt;=$D9,AF$4&lt;=$E9,NETWORKDAYS(AF$4,AF$4,'Sources &amp; Change Log'!$J$2:$J$5)=1,COUNTIFS('Team Calendar'!$A$5:$A$14,$F9,'Team Calendar'!$C$5:$C$14,AF$4,'Team Calendar'!$F$5:$F$14,"Personal absence")=0),1,"")</x:f>
      </x:c>
      <x:c r="AG9" s="207" t="str">
        <x:f>IF(AND(ISNUMBER($D9),ISNUMBER($E9),AG$4&gt;=$D9,AG$4&lt;=$E9,NETWORKDAYS(AG$4,AG$4,'Sources &amp; Change Log'!$J$2:$J$5)=1,COUNTIFS('Team Calendar'!$A$5:$A$14,$F9,'Team Calendar'!$C$5:$C$14,AG$4,'Team Calendar'!$F$5:$F$14,"Personal absence")=0),1,"")</x:f>
      </x:c>
      <x:c r="AH9" s="207" t="str">
        <x:f>IF(AND(ISNUMBER($D9),ISNUMBER($E9),AH$4&gt;=$D9,AH$4&lt;=$E9,NETWORKDAYS(AH$4,AH$4,'Sources &amp; Change Log'!$J$2:$J$5)=1,COUNTIFS('Team Calendar'!$A$5:$A$14,$F9,'Team Calendar'!$C$5:$C$14,AH$4,'Team Calendar'!$F$5:$F$14,"Personal absence")=0),1,"")</x:f>
      </x:c>
      <x:c r="AI9" s="207" t="str">
        <x:f>IF(AND(ISNUMBER($D9),ISNUMBER($E9),AI$4&gt;=$D9,AI$4&lt;=$E9,NETWORKDAYS(AI$4,AI$4,'Sources &amp; Change Log'!$J$2:$J$5)=1,COUNTIFS('Team Calendar'!$A$5:$A$14,$F9,'Team Calendar'!$C$5:$C$14,AI$4,'Team Calendar'!$F$5:$F$14,"Personal absence")=0),1,"")</x:f>
      </x:c>
      <x:c r="AJ9" s="206"/>
      <x:c r="AK9" s="206"/>
      <x:c r="AL9" s="206"/>
      <x:c r="AM9" s="206"/>
      <x:c r="AN9" s="206"/>
      <x:c r="AO9" s="206"/>
      <x:c r="AP9" s="206"/>
      <x:c r="AQ9" s="206"/>
      <x:c r="AR9" s="206"/>
      <x:c r="AS9" s="206"/>
      <x:c r="AT9" s="206"/>
      <x:c r="AU9" s="206"/>
      <x:c r="AV9" s="206"/>
      <x:c r="AW9" s="206"/>
      <x:c r="AX9" s="206"/>
      <x:c r="AY9" s="206"/>
      <x:c r="AZ9" s="206"/>
    </x:row>
    <x:row r="10" ht="30" customHeight="1">
      <x:c r="A10" s="195" t="str">
        <x:f>WBS!A36</x:f>
        <x:v>P2-ROSA-01</x:v>
      </x:c>
      <x:c r="B10" s="195" t="str">
        <x:f>WBS!B36</x:f>
        <x:v>ROSA Platform / Security</x:v>
      </x:c>
      <x:c r="C10" s="195" t="str">
        <x:f>WBS!G36</x:f>
        <x:v>To Do</x:v>
      </x:c>
      <x:c r="D10" s="225" t="n">
        <x:f>WBS!H36</x:f>
        <x:v>46310</x:v>
      </x:c>
      <x:c r="E10" s="225" t="n">
        <x:f>WBS!I36</x:f>
        <x:v>46314</x:v>
      </x:c>
      <x:c r="F10" s="13" t="str">
        <x:f>WBS!L36</x:f>
        <x:v>이하영</x:v>
      </x:c>
      <x:c r="G10" s="207" t="str">
        <x:f>IF(AND(ISNUMBER($D10),ISNUMBER($E10),G$4&gt;=$D10,G$4&lt;=$E10,NETWORKDAYS(G$4,G$4,'Sources &amp; Change Log'!$J$2:$J$5)=1,COUNTIFS('Team Calendar'!$A$5:$A$14,$F10,'Team Calendar'!$C$5:$C$14,G$4,'Team Calendar'!$F$5:$F$14,"Personal absence")=0),1,"")</x:f>
      </x:c>
      <x:c r="H10" s="207" t="str">
        <x:f>IF(AND(ISNUMBER($D10),ISNUMBER($E10),H$4&gt;=$D10,H$4&lt;=$E10,NETWORKDAYS(H$4,H$4,'Sources &amp; Change Log'!$J$2:$J$5)=1,COUNTIFS('Team Calendar'!$A$5:$A$14,$F10,'Team Calendar'!$C$5:$C$14,H$4,'Team Calendar'!$F$5:$F$14,"Personal absence")=0),1,"")</x:f>
      </x:c>
      <x:c r="I10" s="207" t="str">
        <x:f>IF(AND(ISNUMBER($D10),ISNUMBER($E10),I$4&gt;=$D10,I$4&lt;=$E10,NETWORKDAYS(I$4,I$4,'Sources &amp; Change Log'!$J$2:$J$5)=1,COUNTIFS('Team Calendar'!$A$5:$A$14,$F10,'Team Calendar'!$C$5:$C$14,I$4,'Team Calendar'!$F$5:$F$14,"Personal absence")=0),1,"")</x:f>
      </x:c>
      <x:c r="J10" s="207" t="str">
        <x:f>IF(AND(ISNUMBER($D10),ISNUMBER($E10),J$4&gt;=$D10,J$4&lt;=$E10,NETWORKDAYS(J$4,J$4,'Sources &amp; Change Log'!$J$2:$J$5)=1,COUNTIFS('Team Calendar'!$A$5:$A$14,$F10,'Team Calendar'!$C$5:$C$14,J$4,'Team Calendar'!$F$5:$F$14,"Personal absence")=0),1,"")</x:f>
      </x:c>
      <x:c r="K10" s="207" t="str">
        <x:f>IF(AND(ISNUMBER($D10),ISNUMBER($E10),K$4&gt;=$D10,K$4&lt;=$E10,NETWORKDAYS(K$4,K$4,'Sources &amp; Change Log'!$J$2:$J$5)=1,COUNTIFS('Team Calendar'!$A$5:$A$14,$F10,'Team Calendar'!$C$5:$C$14,K$4,'Team Calendar'!$F$5:$F$14,"Personal absence")=0),1,"")</x:f>
      </x:c>
      <x:c r="L10" s="207" t="str">
        <x:f>IF(AND(ISNUMBER($D10),ISNUMBER($E10),L$4&gt;=$D10,L$4&lt;=$E10,NETWORKDAYS(L$4,L$4,'Sources &amp; Change Log'!$J$2:$J$5)=1,COUNTIFS('Team Calendar'!$A$5:$A$14,$F10,'Team Calendar'!$C$5:$C$14,L$4,'Team Calendar'!$F$5:$F$14,"Personal absence")=0),1,"")</x:f>
      </x:c>
      <x:c r="M10" s="207" t="str">
        <x:f>IF(AND(ISNUMBER($D10),ISNUMBER($E10),M$4&gt;=$D10,M$4&lt;=$E10,NETWORKDAYS(M$4,M$4,'Sources &amp; Change Log'!$J$2:$J$5)=1,COUNTIFS('Team Calendar'!$A$5:$A$14,$F10,'Team Calendar'!$C$5:$C$14,M$4,'Team Calendar'!$F$5:$F$14,"Personal absence")=0),1,"")</x:f>
      </x:c>
      <x:c r="N10" s="207" t="str">
        <x:f>IF(AND(ISNUMBER($D10),ISNUMBER($E10),N$4&gt;=$D10,N$4&lt;=$E10,NETWORKDAYS(N$4,N$4,'Sources &amp; Change Log'!$J$2:$J$5)=1,COUNTIFS('Team Calendar'!$A$5:$A$14,$F10,'Team Calendar'!$C$5:$C$14,N$4,'Team Calendar'!$F$5:$F$14,"Personal absence")=0),1,"")</x:f>
      </x:c>
      <x:c r="O10" s="207" t="str">
        <x:f>IF(AND(ISNUMBER($D10),ISNUMBER($E10),O$4&gt;=$D10,O$4&lt;=$E10,NETWORKDAYS(O$4,O$4,'Sources &amp; Change Log'!$J$2:$J$5)=1,COUNTIFS('Team Calendar'!$A$5:$A$14,$F10,'Team Calendar'!$C$5:$C$14,O$4,'Team Calendar'!$F$5:$F$14,"Personal absence")=0),1,"")</x:f>
      </x:c>
      <x:c r="P10" s="207" t="str">
        <x:f>IF(AND(ISNUMBER($D10),ISNUMBER($E10),P$4&gt;=$D10,P$4&lt;=$E10,NETWORKDAYS(P$4,P$4,'Sources &amp; Change Log'!$J$2:$J$5)=1,COUNTIFS('Team Calendar'!$A$5:$A$14,$F10,'Team Calendar'!$C$5:$C$14,P$4,'Team Calendar'!$F$5:$F$14,"Personal absence")=0),1,"")</x:f>
      </x:c>
      <x:c r="Q10" s="207" t="str">
        <x:f>IF(AND(ISNUMBER($D10),ISNUMBER($E10),Q$4&gt;=$D10,Q$4&lt;=$E10,NETWORKDAYS(Q$4,Q$4,'Sources &amp; Change Log'!$J$2:$J$5)=1,COUNTIFS('Team Calendar'!$A$5:$A$14,$F10,'Team Calendar'!$C$5:$C$14,Q$4,'Team Calendar'!$F$5:$F$14,"Personal absence")=0),1,"")</x:f>
      </x:c>
      <x:c r="R10" s="207" t="str">
        <x:f>IF(AND(ISNUMBER($D10),ISNUMBER($E10),R$4&gt;=$D10,R$4&lt;=$E10,NETWORKDAYS(R$4,R$4,'Sources &amp; Change Log'!$J$2:$J$5)=1,COUNTIFS('Team Calendar'!$A$5:$A$14,$F10,'Team Calendar'!$C$5:$C$14,R$4,'Team Calendar'!$F$5:$F$14,"Personal absence")=0),1,"")</x:f>
      </x:c>
      <x:c r="S10" s="207" t="str">
        <x:f>IF(AND(ISNUMBER($D10),ISNUMBER($E10),S$4&gt;=$D10,S$4&lt;=$E10,NETWORKDAYS(S$4,S$4,'Sources &amp; Change Log'!$J$2:$J$5)=1,COUNTIFS('Team Calendar'!$A$5:$A$14,$F10,'Team Calendar'!$C$5:$C$14,S$4,'Team Calendar'!$F$5:$F$14,"Personal absence")=0),1,"")</x:f>
      </x:c>
      <x:c r="T10" s="207" t="str">
        <x:f>IF(AND(ISNUMBER($D10),ISNUMBER($E10),T$4&gt;=$D10,T$4&lt;=$E10,NETWORKDAYS(T$4,T$4,'Sources &amp; Change Log'!$J$2:$J$5)=1,COUNTIFS('Team Calendar'!$A$5:$A$14,$F10,'Team Calendar'!$C$5:$C$14,T$4,'Team Calendar'!$F$5:$F$14,"Personal absence")=0),1,"")</x:f>
      </x:c>
      <x:c r="U10" s="207" t="str">
        <x:f>IF(AND(ISNUMBER($D10),ISNUMBER($E10),U$4&gt;=$D10,U$4&lt;=$E10,NETWORKDAYS(U$4,U$4,'Sources &amp; Change Log'!$J$2:$J$5)=1,COUNTIFS('Team Calendar'!$A$5:$A$14,$F10,'Team Calendar'!$C$5:$C$14,U$4,'Team Calendar'!$F$5:$F$14,"Personal absence")=0),1,"")</x:f>
      </x:c>
      <x:c r="V10" s="207" t="str">
        <x:f>IF(AND(ISNUMBER($D10),ISNUMBER($E10),V$4&gt;=$D10,V$4&lt;=$E10,NETWORKDAYS(V$4,V$4,'Sources &amp; Change Log'!$J$2:$J$5)=1,COUNTIFS('Team Calendar'!$A$5:$A$14,$F10,'Team Calendar'!$C$5:$C$14,V$4,'Team Calendar'!$F$5:$F$14,"Personal absence")=0),1,"")</x:f>
      </x:c>
      <x:c r="W10" s="207" t="str">
        <x:f>IF(AND(ISNUMBER($D10),ISNUMBER($E10),W$4&gt;=$D10,W$4&lt;=$E10,NETWORKDAYS(W$4,W$4,'Sources &amp; Change Log'!$J$2:$J$5)=1,COUNTIFS('Team Calendar'!$A$5:$A$14,$F10,'Team Calendar'!$C$5:$C$14,W$4,'Team Calendar'!$F$5:$F$14,"Personal absence")=0),1,"")</x:f>
      </x:c>
      <x:c r="X10" s="207" t="n">
        <x:f>IF(AND(ISNUMBER($D10),ISNUMBER($E10),X$4&gt;=$D10,X$4&lt;=$E10,NETWORKDAYS(X$4,X$4,'Sources &amp; Change Log'!$J$2:$J$5)=1,COUNTIFS('Team Calendar'!$A$5:$A$14,$F10,'Team Calendar'!$C$5:$C$14,X$4,'Team Calendar'!$F$5:$F$14,"Personal absence")=0),1,"")</x:f>
        <x:v>1</x:v>
      </x:c>
      <x:c r="Y10" s="207" t="n">
        <x:f>IF(AND(ISNUMBER($D10),ISNUMBER($E10),Y$4&gt;=$D10,Y$4&lt;=$E10,NETWORKDAYS(Y$4,Y$4,'Sources &amp; Change Log'!$J$2:$J$5)=1,COUNTIFS('Team Calendar'!$A$5:$A$14,$F10,'Team Calendar'!$C$5:$C$14,Y$4,'Team Calendar'!$F$5:$F$14,"Personal absence")=0),1,"")</x:f>
        <x:v>1</x:v>
      </x:c>
      <x:c r="Z10" s="207" t="str">
        <x:f>IF(AND(ISNUMBER($D10),ISNUMBER($E10),Z$4&gt;=$D10,Z$4&lt;=$E10,NETWORKDAYS(Z$4,Z$4,'Sources &amp; Change Log'!$J$2:$J$5)=1,COUNTIFS('Team Calendar'!$A$5:$A$14,$F10,'Team Calendar'!$C$5:$C$14,Z$4,'Team Calendar'!$F$5:$F$14,"Personal absence")=0),1,"")</x:f>
      </x:c>
      <x:c r="AA10" s="207" t="str">
        <x:f>IF(AND(ISNUMBER($D10),ISNUMBER($E10),AA$4&gt;=$D10,AA$4&lt;=$E10,NETWORKDAYS(AA$4,AA$4,'Sources &amp; Change Log'!$J$2:$J$5)=1,COUNTIFS('Team Calendar'!$A$5:$A$14,$F10,'Team Calendar'!$C$5:$C$14,AA$4,'Team Calendar'!$F$5:$F$14,"Personal absence")=0),1,"")</x:f>
      </x:c>
      <x:c r="AB10" s="207" t="n">
        <x:f>IF(AND(ISNUMBER($D10),ISNUMBER($E10),AB$4&gt;=$D10,AB$4&lt;=$E10,NETWORKDAYS(AB$4,AB$4,'Sources &amp; Change Log'!$J$2:$J$5)=1,COUNTIFS('Team Calendar'!$A$5:$A$14,$F10,'Team Calendar'!$C$5:$C$14,AB$4,'Team Calendar'!$F$5:$F$14,"Personal absence")=0),1,"")</x:f>
        <x:v>1</x:v>
      </x:c>
      <x:c r="AC10" s="207" t="str">
        <x:f>IF(AND(ISNUMBER($D10),ISNUMBER($E10),AC$4&gt;=$D10,AC$4&lt;=$E10,NETWORKDAYS(AC$4,AC$4,'Sources &amp; Change Log'!$J$2:$J$5)=1,COUNTIFS('Team Calendar'!$A$5:$A$14,$F10,'Team Calendar'!$C$5:$C$14,AC$4,'Team Calendar'!$F$5:$F$14,"Personal absence")=0),1,"")</x:f>
      </x:c>
      <x:c r="AD10" s="207" t="str">
        <x:f>IF(AND(ISNUMBER($D10),ISNUMBER($E10),AD$4&gt;=$D10,AD$4&lt;=$E10,NETWORKDAYS(AD$4,AD$4,'Sources &amp; Change Log'!$J$2:$J$5)=1,COUNTIFS('Team Calendar'!$A$5:$A$14,$F10,'Team Calendar'!$C$5:$C$14,AD$4,'Team Calendar'!$F$5:$F$14,"Personal absence")=0),1,"")</x:f>
      </x:c>
      <x:c r="AE10" s="207" t="str">
        <x:f>IF(AND(ISNUMBER($D10),ISNUMBER($E10),AE$4&gt;=$D10,AE$4&lt;=$E10,NETWORKDAYS(AE$4,AE$4,'Sources &amp; Change Log'!$J$2:$J$5)=1,COUNTIFS('Team Calendar'!$A$5:$A$14,$F10,'Team Calendar'!$C$5:$C$14,AE$4,'Team Calendar'!$F$5:$F$14,"Personal absence")=0),1,"")</x:f>
      </x:c>
      <x:c r="AF10" s="207" t="str">
        <x:f>IF(AND(ISNUMBER($D10),ISNUMBER($E10),AF$4&gt;=$D10,AF$4&lt;=$E10,NETWORKDAYS(AF$4,AF$4,'Sources &amp; Change Log'!$J$2:$J$5)=1,COUNTIFS('Team Calendar'!$A$5:$A$14,$F10,'Team Calendar'!$C$5:$C$14,AF$4,'Team Calendar'!$F$5:$F$14,"Personal absence")=0),1,"")</x:f>
      </x:c>
      <x:c r="AG10" s="207" t="str">
        <x:f>IF(AND(ISNUMBER($D10),ISNUMBER($E10),AG$4&gt;=$D10,AG$4&lt;=$E10,NETWORKDAYS(AG$4,AG$4,'Sources &amp; Change Log'!$J$2:$J$5)=1,COUNTIFS('Team Calendar'!$A$5:$A$14,$F10,'Team Calendar'!$C$5:$C$14,AG$4,'Team Calendar'!$F$5:$F$14,"Personal absence")=0),1,"")</x:f>
      </x:c>
      <x:c r="AH10" s="207" t="str">
        <x:f>IF(AND(ISNUMBER($D10),ISNUMBER($E10),AH$4&gt;=$D10,AH$4&lt;=$E10,NETWORKDAYS(AH$4,AH$4,'Sources &amp; Change Log'!$J$2:$J$5)=1,COUNTIFS('Team Calendar'!$A$5:$A$14,$F10,'Team Calendar'!$C$5:$C$14,AH$4,'Team Calendar'!$F$5:$F$14,"Personal absence")=0),1,"")</x:f>
      </x:c>
      <x:c r="AI10" s="207" t="str">
        <x:f>IF(AND(ISNUMBER($D10),ISNUMBER($E10),AI$4&gt;=$D10,AI$4&lt;=$E10,NETWORKDAYS(AI$4,AI$4,'Sources &amp; Change Log'!$J$2:$J$5)=1,COUNTIFS('Team Calendar'!$A$5:$A$14,$F10,'Team Calendar'!$C$5:$C$14,AI$4,'Team Calendar'!$F$5:$F$14,"Personal absence")=0),1,"")</x:f>
      </x:c>
      <x:c r="AJ10" s="206"/>
      <x:c r="AK10" s="206"/>
      <x:c r="AL10" s="206"/>
      <x:c r="AM10" s="206"/>
      <x:c r="AN10" s="206"/>
      <x:c r="AO10" s="206"/>
      <x:c r="AP10" s="206"/>
      <x:c r="AQ10" s="206"/>
      <x:c r="AR10" s="206"/>
      <x:c r="AS10" s="206"/>
      <x:c r="AT10" s="206"/>
      <x:c r="AU10" s="206"/>
      <x:c r="AV10" s="206"/>
      <x:c r="AW10" s="206"/>
      <x:c r="AX10" s="206"/>
      <x:c r="AY10" s="206"/>
      <x:c r="AZ10" s="206"/>
    </x:row>
    <x:row r="11" ht="30" customHeight="1">
      <x:c r="A11" s="195" t="str">
        <x:f>WBS!A37</x:f>
        <x:v>MS-G4-01</x:v>
      </x:c>
      <x:c r="B11" s="195" t="str">
        <x:f>WBS!B37</x:f>
        <x:v>G4 Cloud / VPN Ready</x:v>
      </x:c>
      <x:c r="C11" s="195" t="str">
        <x:f>WBS!G37</x:f>
        <x:v>To Do</x:v>
      </x:c>
      <x:c r="D11" s="225" t="n">
        <x:f>WBS!H37</x:f>
        <x:v>46309</x:v>
      </x:c>
      <x:c r="E11" s="225" t="n">
        <x:f>WBS!I37</x:f>
        <x:v>46309</x:v>
      </x:c>
      <x:c r="F11" s="13" t="str">
        <x:f>WBS!L37</x:f>
        <x:v>이권욱</x:v>
      </x:c>
      <x:c r="G11" s="207" t="str">
        <x:f>IF(AND(ISNUMBER($D11),ISNUMBER($E11),G$4&gt;=$D11,G$4&lt;=$E11,NETWORKDAYS(G$4,G$4,'Sources &amp; Change Log'!$J$2:$J$5)=1,COUNTIFS('Team Calendar'!$A$5:$A$14,$F11,'Team Calendar'!$C$5:$C$14,G$4,'Team Calendar'!$F$5:$F$14,"Personal absence")=0),1,"")</x:f>
      </x:c>
      <x:c r="H11" s="207" t="str">
        <x:f>IF(AND(ISNUMBER($D11),ISNUMBER($E11),H$4&gt;=$D11,H$4&lt;=$E11,NETWORKDAYS(H$4,H$4,'Sources &amp; Change Log'!$J$2:$J$5)=1,COUNTIFS('Team Calendar'!$A$5:$A$14,$F11,'Team Calendar'!$C$5:$C$14,H$4,'Team Calendar'!$F$5:$F$14,"Personal absence")=0),1,"")</x:f>
      </x:c>
      <x:c r="I11" s="207" t="str">
        <x:f>IF(AND(ISNUMBER($D11),ISNUMBER($E11),I$4&gt;=$D11,I$4&lt;=$E11,NETWORKDAYS(I$4,I$4,'Sources &amp; Change Log'!$J$2:$J$5)=1,COUNTIFS('Team Calendar'!$A$5:$A$14,$F11,'Team Calendar'!$C$5:$C$14,I$4,'Team Calendar'!$F$5:$F$14,"Personal absence")=0),1,"")</x:f>
      </x:c>
      <x:c r="J11" s="207" t="str">
        <x:f>IF(AND(ISNUMBER($D11),ISNUMBER($E11),J$4&gt;=$D11,J$4&lt;=$E11,NETWORKDAYS(J$4,J$4,'Sources &amp; Change Log'!$J$2:$J$5)=1,COUNTIFS('Team Calendar'!$A$5:$A$14,$F11,'Team Calendar'!$C$5:$C$14,J$4,'Team Calendar'!$F$5:$F$14,"Personal absence")=0),1,"")</x:f>
      </x:c>
      <x:c r="K11" s="207" t="str">
        <x:f>IF(AND(ISNUMBER($D11),ISNUMBER($E11),K$4&gt;=$D11,K$4&lt;=$E11,NETWORKDAYS(K$4,K$4,'Sources &amp; Change Log'!$J$2:$J$5)=1,COUNTIFS('Team Calendar'!$A$5:$A$14,$F11,'Team Calendar'!$C$5:$C$14,K$4,'Team Calendar'!$F$5:$F$14,"Personal absence")=0),1,"")</x:f>
      </x:c>
      <x:c r="L11" s="207" t="str">
        <x:f>IF(AND(ISNUMBER($D11),ISNUMBER($E11),L$4&gt;=$D11,L$4&lt;=$E11,NETWORKDAYS(L$4,L$4,'Sources &amp; Change Log'!$J$2:$J$5)=1,COUNTIFS('Team Calendar'!$A$5:$A$14,$F11,'Team Calendar'!$C$5:$C$14,L$4,'Team Calendar'!$F$5:$F$14,"Personal absence")=0),1,"")</x:f>
      </x:c>
      <x:c r="M11" s="207" t="str">
        <x:f>IF(AND(ISNUMBER($D11),ISNUMBER($E11),M$4&gt;=$D11,M$4&lt;=$E11,NETWORKDAYS(M$4,M$4,'Sources &amp; Change Log'!$J$2:$J$5)=1,COUNTIFS('Team Calendar'!$A$5:$A$14,$F11,'Team Calendar'!$C$5:$C$14,M$4,'Team Calendar'!$F$5:$F$14,"Personal absence")=0),1,"")</x:f>
      </x:c>
      <x:c r="N11" s="207" t="str">
        <x:f>IF(AND(ISNUMBER($D11),ISNUMBER($E11),N$4&gt;=$D11,N$4&lt;=$E11,NETWORKDAYS(N$4,N$4,'Sources &amp; Change Log'!$J$2:$J$5)=1,COUNTIFS('Team Calendar'!$A$5:$A$14,$F11,'Team Calendar'!$C$5:$C$14,N$4,'Team Calendar'!$F$5:$F$14,"Personal absence")=0),1,"")</x:f>
      </x:c>
      <x:c r="O11" s="207" t="str">
        <x:f>IF(AND(ISNUMBER($D11),ISNUMBER($E11),O$4&gt;=$D11,O$4&lt;=$E11,NETWORKDAYS(O$4,O$4,'Sources &amp; Change Log'!$J$2:$J$5)=1,COUNTIFS('Team Calendar'!$A$5:$A$14,$F11,'Team Calendar'!$C$5:$C$14,O$4,'Team Calendar'!$F$5:$F$14,"Personal absence")=0),1,"")</x:f>
      </x:c>
      <x:c r="P11" s="207" t="str">
        <x:f>IF(AND(ISNUMBER($D11),ISNUMBER($E11),P$4&gt;=$D11,P$4&lt;=$E11,NETWORKDAYS(P$4,P$4,'Sources &amp; Change Log'!$J$2:$J$5)=1,COUNTIFS('Team Calendar'!$A$5:$A$14,$F11,'Team Calendar'!$C$5:$C$14,P$4,'Team Calendar'!$F$5:$F$14,"Personal absence")=0),1,"")</x:f>
      </x:c>
      <x:c r="Q11" s="207" t="str">
        <x:f>IF(AND(ISNUMBER($D11),ISNUMBER($E11),Q$4&gt;=$D11,Q$4&lt;=$E11,NETWORKDAYS(Q$4,Q$4,'Sources &amp; Change Log'!$J$2:$J$5)=1,COUNTIFS('Team Calendar'!$A$5:$A$14,$F11,'Team Calendar'!$C$5:$C$14,Q$4,'Team Calendar'!$F$5:$F$14,"Personal absence")=0),1,"")</x:f>
      </x:c>
      <x:c r="R11" s="207" t="str">
        <x:f>IF(AND(ISNUMBER($D11),ISNUMBER($E11),R$4&gt;=$D11,R$4&lt;=$E11,NETWORKDAYS(R$4,R$4,'Sources &amp; Change Log'!$J$2:$J$5)=1,COUNTIFS('Team Calendar'!$A$5:$A$14,$F11,'Team Calendar'!$C$5:$C$14,R$4,'Team Calendar'!$F$5:$F$14,"Personal absence")=0),1,"")</x:f>
      </x:c>
      <x:c r="S11" s="207" t="str">
        <x:f>IF(AND(ISNUMBER($D11),ISNUMBER($E11),S$4&gt;=$D11,S$4&lt;=$E11,NETWORKDAYS(S$4,S$4,'Sources &amp; Change Log'!$J$2:$J$5)=1,COUNTIFS('Team Calendar'!$A$5:$A$14,$F11,'Team Calendar'!$C$5:$C$14,S$4,'Team Calendar'!$F$5:$F$14,"Personal absence")=0),1,"")</x:f>
      </x:c>
      <x:c r="T11" s="207" t="str">
        <x:f>IF(AND(ISNUMBER($D11),ISNUMBER($E11),T$4&gt;=$D11,T$4&lt;=$E11,NETWORKDAYS(T$4,T$4,'Sources &amp; Change Log'!$J$2:$J$5)=1,COUNTIFS('Team Calendar'!$A$5:$A$14,$F11,'Team Calendar'!$C$5:$C$14,T$4,'Team Calendar'!$F$5:$F$14,"Personal absence")=0),1,"")</x:f>
      </x:c>
      <x:c r="U11" s="207" t="str">
        <x:f>IF(AND(ISNUMBER($D11),ISNUMBER($E11),U$4&gt;=$D11,U$4&lt;=$E11,NETWORKDAYS(U$4,U$4,'Sources &amp; Change Log'!$J$2:$J$5)=1,COUNTIFS('Team Calendar'!$A$5:$A$14,$F11,'Team Calendar'!$C$5:$C$14,U$4,'Team Calendar'!$F$5:$F$14,"Personal absence")=0),1,"")</x:f>
      </x:c>
      <x:c r="V11" s="207" t="str">
        <x:f>IF(AND(ISNUMBER($D11),ISNUMBER($E11),V$4&gt;=$D11,V$4&lt;=$E11,NETWORKDAYS(V$4,V$4,'Sources &amp; Change Log'!$J$2:$J$5)=1,COUNTIFS('Team Calendar'!$A$5:$A$14,$F11,'Team Calendar'!$C$5:$C$14,V$4,'Team Calendar'!$F$5:$F$14,"Personal absence")=0),1,"")</x:f>
      </x:c>
      <x:c r="W11" s="207" t="n">
        <x:f>IF(AND(ISNUMBER($D11),ISNUMBER($E11),W$4&gt;=$D11,W$4&lt;=$E11,NETWORKDAYS(W$4,W$4,'Sources &amp; Change Log'!$J$2:$J$5)=1,COUNTIFS('Team Calendar'!$A$5:$A$14,$F11,'Team Calendar'!$C$5:$C$14,W$4,'Team Calendar'!$F$5:$F$14,"Personal absence")=0),1,"")</x:f>
        <x:v>1</x:v>
      </x:c>
      <x:c r="X11" s="207" t="str">
        <x:f>IF(AND(ISNUMBER($D11),ISNUMBER($E11),X$4&gt;=$D11,X$4&lt;=$E11,NETWORKDAYS(X$4,X$4,'Sources &amp; Change Log'!$J$2:$J$5)=1,COUNTIFS('Team Calendar'!$A$5:$A$14,$F11,'Team Calendar'!$C$5:$C$14,X$4,'Team Calendar'!$F$5:$F$14,"Personal absence")=0),1,"")</x:f>
      </x:c>
      <x:c r="Y11" s="207" t="str">
        <x:f>IF(AND(ISNUMBER($D11),ISNUMBER($E11),Y$4&gt;=$D11,Y$4&lt;=$E11,NETWORKDAYS(Y$4,Y$4,'Sources &amp; Change Log'!$J$2:$J$5)=1,COUNTIFS('Team Calendar'!$A$5:$A$14,$F11,'Team Calendar'!$C$5:$C$14,Y$4,'Team Calendar'!$F$5:$F$14,"Personal absence")=0),1,"")</x:f>
      </x:c>
      <x:c r="Z11" s="207" t="str">
        <x:f>IF(AND(ISNUMBER($D11),ISNUMBER($E11),Z$4&gt;=$D11,Z$4&lt;=$E11,NETWORKDAYS(Z$4,Z$4,'Sources &amp; Change Log'!$J$2:$J$5)=1,COUNTIFS('Team Calendar'!$A$5:$A$14,$F11,'Team Calendar'!$C$5:$C$14,Z$4,'Team Calendar'!$F$5:$F$14,"Personal absence")=0),1,"")</x:f>
      </x:c>
      <x:c r="AA11" s="207" t="str">
        <x:f>IF(AND(ISNUMBER($D11),ISNUMBER($E11),AA$4&gt;=$D11,AA$4&lt;=$E11,NETWORKDAYS(AA$4,AA$4,'Sources &amp; Change Log'!$J$2:$J$5)=1,COUNTIFS('Team Calendar'!$A$5:$A$14,$F11,'Team Calendar'!$C$5:$C$14,AA$4,'Team Calendar'!$F$5:$F$14,"Personal absence")=0),1,"")</x:f>
      </x:c>
      <x:c r="AB11" s="207" t="str">
        <x:f>IF(AND(ISNUMBER($D11),ISNUMBER($E11),AB$4&gt;=$D11,AB$4&lt;=$E11,NETWORKDAYS(AB$4,AB$4,'Sources &amp; Change Log'!$J$2:$J$5)=1,COUNTIFS('Team Calendar'!$A$5:$A$14,$F11,'Team Calendar'!$C$5:$C$14,AB$4,'Team Calendar'!$F$5:$F$14,"Personal absence")=0),1,"")</x:f>
      </x:c>
      <x:c r="AC11" s="207" t="str">
        <x:f>IF(AND(ISNUMBER($D11),ISNUMBER($E11),AC$4&gt;=$D11,AC$4&lt;=$E11,NETWORKDAYS(AC$4,AC$4,'Sources &amp; Change Log'!$J$2:$J$5)=1,COUNTIFS('Team Calendar'!$A$5:$A$14,$F11,'Team Calendar'!$C$5:$C$14,AC$4,'Team Calendar'!$F$5:$F$14,"Personal absence")=0),1,"")</x:f>
      </x:c>
      <x:c r="AD11" s="207" t="str">
        <x:f>IF(AND(ISNUMBER($D11),ISNUMBER($E11),AD$4&gt;=$D11,AD$4&lt;=$E11,NETWORKDAYS(AD$4,AD$4,'Sources &amp; Change Log'!$J$2:$J$5)=1,COUNTIFS('Team Calendar'!$A$5:$A$14,$F11,'Team Calendar'!$C$5:$C$14,AD$4,'Team Calendar'!$F$5:$F$14,"Personal absence")=0),1,"")</x:f>
      </x:c>
      <x:c r="AE11" s="207" t="str">
        <x:f>IF(AND(ISNUMBER($D11),ISNUMBER($E11),AE$4&gt;=$D11,AE$4&lt;=$E11,NETWORKDAYS(AE$4,AE$4,'Sources &amp; Change Log'!$J$2:$J$5)=1,COUNTIFS('Team Calendar'!$A$5:$A$14,$F11,'Team Calendar'!$C$5:$C$14,AE$4,'Team Calendar'!$F$5:$F$14,"Personal absence")=0),1,"")</x:f>
      </x:c>
      <x:c r="AF11" s="207" t="str">
        <x:f>IF(AND(ISNUMBER($D11),ISNUMBER($E11),AF$4&gt;=$D11,AF$4&lt;=$E11,NETWORKDAYS(AF$4,AF$4,'Sources &amp; Change Log'!$J$2:$J$5)=1,COUNTIFS('Team Calendar'!$A$5:$A$14,$F11,'Team Calendar'!$C$5:$C$14,AF$4,'Team Calendar'!$F$5:$F$14,"Personal absence")=0),1,"")</x:f>
      </x:c>
      <x:c r="AG11" s="207" t="str">
        <x:f>IF(AND(ISNUMBER($D11),ISNUMBER($E11),AG$4&gt;=$D11,AG$4&lt;=$E11,NETWORKDAYS(AG$4,AG$4,'Sources &amp; Change Log'!$J$2:$J$5)=1,COUNTIFS('Team Calendar'!$A$5:$A$14,$F11,'Team Calendar'!$C$5:$C$14,AG$4,'Team Calendar'!$F$5:$F$14,"Personal absence")=0),1,"")</x:f>
      </x:c>
      <x:c r="AH11" s="207" t="str">
        <x:f>IF(AND(ISNUMBER($D11),ISNUMBER($E11),AH$4&gt;=$D11,AH$4&lt;=$E11,NETWORKDAYS(AH$4,AH$4,'Sources &amp; Change Log'!$J$2:$J$5)=1,COUNTIFS('Team Calendar'!$A$5:$A$14,$F11,'Team Calendar'!$C$5:$C$14,AH$4,'Team Calendar'!$F$5:$F$14,"Personal absence")=0),1,"")</x:f>
      </x:c>
      <x:c r="AI11" s="207" t="str">
        <x:f>IF(AND(ISNUMBER($D11),ISNUMBER($E11),AI$4&gt;=$D11,AI$4&lt;=$E11,NETWORKDAYS(AI$4,AI$4,'Sources &amp; Change Log'!$J$2:$J$5)=1,COUNTIFS('Team Calendar'!$A$5:$A$14,$F11,'Team Calendar'!$C$5:$C$14,AI$4,'Team Calendar'!$F$5:$F$14,"Personal absence")=0),1,"")</x:f>
      </x:c>
      <x:c r="AJ11" s="206"/>
      <x:c r="AK11" s="206"/>
      <x:c r="AL11" s="206"/>
      <x:c r="AM11" s="206"/>
      <x:c r="AN11" s="206"/>
      <x:c r="AO11" s="206"/>
      <x:c r="AP11" s="206"/>
      <x:c r="AQ11" s="206"/>
      <x:c r="AR11" s="206"/>
      <x:c r="AS11" s="206"/>
      <x:c r="AT11" s="206"/>
      <x:c r="AU11" s="206"/>
      <x:c r="AV11" s="206"/>
      <x:c r="AW11" s="206"/>
      <x:c r="AX11" s="206"/>
      <x:c r="AY11" s="206"/>
      <x:c r="AZ11" s="206"/>
    </x:row>
    <x:row r="12" ht="30" customHeight="1">
      <x:c r="A12" s="195" t="str">
        <x:f>WBS!A38</x:f>
        <x:v>DEC-P2-DNS-01</x:v>
      </x:c>
      <x:c r="B12" s="195" t="str">
        <x:f>WBS!B38</x:f>
        <x:v>Hybrid DNS Scope Decision</x:v>
      </x:c>
      <x:c r="C12" s="195" t="str">
        <x:f>WBS!G38</x:f>
        <x:v>To Do</x:v>
      </x:c>
      <x:c r="D12" s="225" t="n">
        <x:f>WBS!H38</x:f>
        <x:v>46311</x:v>
      </x:c>
      <x:c r="E12" s="225" t="n">
        <x:f>WBS!I38</x:f>
        <x:v>46311</x:v>
      </x:c>
      <x:c r="F12" s="13" t="str">
        <x:f>WBS!L38</x:f>
        <x:v>이권욱</x:v>
      </x:c>
      <x:c r="G12" s="207" t="str">
        <x:f>IF(AND(ISNUMBER($D12),ISNUMBER($E12),G$4&gt;=$D12,G$4&lt;=$E12,NETWORKDAYS(G$4,G$4,'Sources &amp; Change Log'!$J$2:$J$5)=1,COUNTIFS('Team Calendar'!$A$5:$A$14,$F12,'Team Calendar'!$C$5:$C$14,G$4,'Team Calendar'!$F$5:$F$14,"Personal absence")=0),1,"")</x:f>
      </x:c>
      <x:c r="H12" s="207" t="str">
        <x:f>IF(AND(ISNUMBER($D12),ISNUMBER($E12),H$4&gt;=$D12,H$4&lt;=$E12,NETWORKDAYS(H$4,H$4,'Sources &amp; Change Log'!$J$2:$J$5)=1,COUNTIFS('Team Calendar'!$A$5:$A$14,$F12,'Team Calendar'!$C$5:$C$14,H$4,'Team Calendar'!$F$5:$F$14,"Personal absence")=0),1,"")</x:f>
      </x:c>
      <x:c r="I12" s="207" t="str">
        <x:f>IF(AND(ISNUMBER($D12),ISNUMBER($E12),I$4&gt;=$D12,I$4&lt;=$E12,NETWORKDAYS(I$4,I$4,'Sources &amp; Change Log'!$J$2:$J$5)=1,COUNTIFS('Team Calendar'!$A$5:$A$14,$F12,'Team Calendar'!$C$5:$C$14,I$4,'Team Calendar'!$F$5:$F$14,"Personal absence")=0),1,"")</x:f>
      </x:c>
      <x:c r="J12" s="207" t="str">
        <x:f>IF(AND(ISNUMBER($D12),ISNUMBER($E12),J$4&gt;=$D12,J$4&lt;=$E12,NETWORKDAYS(J$4,J$4,'Sources &amp; Change Log'!$J$2:$J$5)=1,COUNTIFS('Team Calendar'!$A$5:$A$14,$F12,'Team Calendar'!$C$5:$C$14,J$4,'Team Calendar'!$F$5:$F$14,"Personal absence")=0),1,"")</x:f>
      </x:c>
      <x:c r="K12" s="207" t="str">
        <x:f>IF(AND(ISNUMBER($D12),ISNUMBER($E12),K$4&gt;=$D12,K$4&lt;=$E12,NETWORKDAYS(K$4,K$4,'Sources &amp; Change Log'!$J$2:$J$5)=1,COUNTIFS('Team Calendar'!$A$5:$A$14,$F12,'Team Calendar'!$C$5:$C$14,K$4,'Team Calendar'!$F$5:$F$14,"Personal absence")=0),1,"")</x:f>
      </x:c>
      <x:c r="L12" s="207" t="str">
        <x:f>IF(AND(ISNUMBER($D12),ISNUMBER($E12),L$4&gt;=$D12,L$4&lt;=$E12,NETWORKDAYS(L$4,L$4,'Sources &amp; Change Log'!$J$2:$J$5)=1,COUNTIFS('Team Calendar'!$A$5:$A$14,$F12,'Team Calendar'!$C$5:$C$14,L$4,'Team Calendar'!$F$5:$F$14,"Personal absence")=0),1,"")</x:f>
      </x:c>
      <x:c r="M12" s="207" t="str">
        <x:f>IF(AND(ISNUMBER($D12),ISNUMBER($E12),M$4&gt;=$D12,M$4&lt;=$E12,NETWORKDAYS(M$4,M$4,'Sources &amp; Change Log'!$J$2:$J$5)=1,COUNTIFS('Team Calendar'!$A$5:$A$14,$F12,'Team Calendar'!$C$5:$C$14,M$4,'Team Calendar'!$F$5:$F$14,"Personal absence")=0),1,"")</x:f>
      </x:c>
      <x:c r="N12" s="207" t="str">
        <x:f>IF(AND(ISNUMBER($D12),ISNUMBER($E12),N$4&gt;=$D12,N$4&lt;=$E12,NETWORKDAYS(N$4,N$4,'Sources &amp; Change Log'!$J$2:$J$5)=1,COUNTIFS('Team Calendar'!$A$5:$A$14,$F12,'Team Calendar'!$C$5:$C$14,N$4,'Team Calendar'!$F$5:$F$14,"Personal absence")=0),1,"")</x:f>
      </x:c>
      <x:c r="O12" s="207" t="str">
        <x:f>IF(AND(ISNUMBER($D12),ISNUMBER($E12),O$4&gt;=$D12,O$4&lt;=$E12,NETWORKDAYS(O$4,O$4,'Sources &amp; Change Log'!$J$2:$J$5)=1,COUNTIFS('Team Calendar'!$A$5:$A$14,$F12,'Team Calendar'!$C$5:$C$14,O$4,'Team Calendar'!$F$5:$F$14,"Personal absence")=0),1,"")</x:f>
      </x:c>
      <x:c r="P12" s="207" t="str">
        <x:f>IF(AND(ISNUMBER($D12),ISNUMBER($E12),P$4&gt;=$D12,P$4&lt;=$E12,NETWORKDAYS(P$4,P$4,'Sources &amp; Change Log'!$J$2:$J$5)=1,COUNTIFS('Team Calendar'!$A$5:$A$14,$F12,'Team Calendar'!$C$5:$C$14,P$4,'Team Calendar'!$F$5:$F$14,"Personal absence")=0),1,"")</x:f>
      </x:c>
      <x:c r="Q12" s="207" t="str">
        <x:f>IF(AND(ISNUMBER($D12),ISNUMBER($E12),Q$4&gt;=$D12,Q$4&lt;=$E12,NETWORKDAYS(Q$4,Q$4,'Sources &amp; Change Log'!$J$2:$J$5)=1,COUNTIFS('Team Calendar'!$A$5:$A$14,$F12,'Team Calendar'!$C$5:$C$14,Q$4,'Team Calendar'!$F$5:$F$14,"Personal absence")=0),1,"")</x:f>
      </x:c>
      <x:c r="R12" s="207" t="str">
        <x:f>IF(AND(ISNUMBER($D12),ISNUMBER($E12),R$4&gt;=$D12,R$4&lt;=$E12,NETWORKDAYS(R$4,R$4,'Sources &amp; Change Log'!$J$2:$J$5)=1,COUNTIFS('Team Calendar'!$A$5:$A$14,$F12,'Team Calendar'!$C$5:$C$14,R$4,'Team Calendar'!$F$5:$F$14,"Personal absence")=0),1,"")</x:f>
      </x:c>
      <x:c r="S12" s="207" t="str">
        <x:f>IF(AND(ISNUMBER($D12),ISNUMBER($E12),S$4&gt;=$D12,S$4&lt;=$E12,NETWORKDAYS(S$4,S$4,'Sources &amp; Change Log'!$J$2:$J$5)=1,COUNTIFS('Team Calendar'!$A$5:$A$14,$F12,'Team Calendar'!$C$5:$C$14,S$4,'Team Calendar'!$F$5:$F$14,"Personal absence")=0),1,"")</x:f>
      </x:c>
      <x:c r="T12" s="207" t="str">
        <x:f>IF(AND(ISNUMBER($D12),ISNUMBER($E12),T$4&gt;=$D12,T$4&lt;=$E12,NETWORKDAYS(T$4,T$4,'Sources &amp; Change Log'!$J$2:$J$5)=1,COUNTIFS('Team Calendar'!$A$5:$A$14,$F12,'Team Calendar'!$C$5:$C$14,T$4,'Team Calendar'!$F$5:$F$14,"Personal absence")=0),1,"")</x:f>
      </x:c>
      <x:c r="U12" s="207" t="str">
        <x:f>IF(AND(ISNUMBER($D12),ISNUMBER($E12),U$4&gt;=$D12,U$4&lt;=$E12,NETWORKDAYS(U$4,U$4,'Sources &amp; Change Log'!$J$2:$J$5)=1,COUNTIFS('Team Calendar'!$A$5:$A$14,$F12,'Team Calendar'!$C$5:$C$14,U$4,'Team Calendar'!$F$5:$F$14,"Personal absence")=0),1,"")</x:f>
      </x:c>
      <x:c r="V12" s="207" t="str">
        <x:f>IF(AND(ISNUMBER($D12),ISNUMBER($E12),V$4&gt;=$D12,V$4&lt;=$E12,NETWORKDAYS(V$4,V$4,'Sources &amp; Change Log'!$J$2:$J$5)=1,COUNTIFS('Team Calendar'!$A$5:$A$14,$F12,'Team Calendar'!$C$5:$C$14,V$4,'Team Calendar'!$F$5:$F$14,"Personal absence")=0),1,"")</x:f>
      </x:c>
      <x:c r="W12" s="207" t="str">
        <x:f>IF(AND(ISNUMBER($D12),ISNUMBER($E12),W$4&gt;=$D12,W$4&lt;=$E12,NETWORKDAYS(W$4,W$4,'Sources &amp; Change Log'!$J$2:$J$5)=1,COUNTIFS('Team Calendar'!$A$5:$A$14,$F12,'Team Calendar'!$C$5:$C$14,W$4,'Team Calendar'!$F$5:$F$14,"Personal absence")=0),1,"")</x:f>
      </x:c>
      <x:c r="X12" s="207" t="str">
        <x:f>IF(AND(ISNUMBER($D12),ISNUMBER($E12),X$4&gt;=$D12,X$4&lt;=$E12,NETWORKDAYS(X$4,X$4,'Sources &amp; Change Log'!$J$2:$J$5)=1,COUNTIFS('Team Calendar'!$A$5:$A$14,$F12,'Team Calendar'!$C$5:$C$14,X$4,'Team Calendar'!$F$5:$F$14,"Personal absence")=0),1,"")</x:f>
      </x:c>
      <x:c r="Y12" s="207" t="n">
        <x:f>IF(AND(ISNUMBER($D12),ISNUMBER($E12),Y$4&gt;=$D12,Y$4&lt;=$E12,NETWORKDAYS(Y$4,Y$4,'Sources &amp; Change Log'!$J$2:$J$5)=1,COUNTIFS('Team Calendar'!$A$5:$A$14,$F12,'Team Calendar'!$C$5:$C$14,Y$4,'Team Calendar'!$F$5:$F$14,"Personal absence")=0),1,"")</x:f>
        <x:v>1</x:v>
      </x:c>
      <x:c r="Z12" s="207" t="str">
        <x:f>IF(AND(ISNUMBER($D12),ISNUMBER($E12),Z$4&gt;=$D12,Z$4&lt;=$E12,NETWORKDAYS(Z$4,Z$4,'Sources &amp; Change Log'!$J$2:$J$5)=1,COUNTIFS('Team Calendar'!$A$5:$A$14,$F12,'Team Calendar'!$C$5:$C$14,Z$4,'Team Calendar'!$F$5:$F$14,"Personal absence")=0),1,"")</x:f>
      </x:c>
      <x:c r="AA12" s="207" t="str">
        <x:f>IF(AND(ISNUMBER($D12),ISNUMBER($E12),AA$4&gt;=$D12,AA$4&lt;=$E12,NETWORKDAYS(AA$4,AA$4,'Sources &amp; Change Log'!$J$2:$J$5)=1,COUNTIFS('Team Calendar'!$A$5:$A$14,$F12,'Team Calendar'!$C$5:$C$14,AA$4,'Team Calendar'!$F$5:$F$14,"Personal absence")=0),1,"")</x:f>
      </x:c>
      <x:c r="AB12" s="207" t="str">
        <x:f>IF(AND(ISNUMBER($D12),ISNUMBER($E12),AB$4&gt;=$D12,AB$4&lt;=$E12,NETWORKDAYS(AB$4,AB$4,'Sources &amp; Change Log'!$J$2:$J$5)=1,COUNTIFS('Team Calendar'!$A$5:$A$14,$F12,'Team Calendar'!$C$5:$C$14,AB$4,'Team Calendar'!$F$5:$F$14,"Personal absence")=0),1,"")</x:f>
      </x:c>
      <x:c r="AC12" s="207" t="str">
        <x:f>IF(AND(ISNUMBER($D12),ISNUMBER($E12),AC$4&gt;=$D12,AC$4&lt;=$E12,NETWORKDAYS(AC$4,AC$4,'Sources &amp; Change Log'!$J$2:$J$5)=1,COUNTIFS('Team Calendar'!$A$5:$A$14,$F12,'Team Calendar'!$C$5:$C$14,AC$4,'Team Calendar'!$F$5:$F$14,"Personal absence")=0),1,"")</x:f>
      </x:c>
      <x:c r="AD12" s="207" t="str">
        <x:f>IF(AND(ISNUMBER($D12),ISNUMBER($E12),AD$4&gt;=$D12,AD$4&lt;=$E12,NETWORKDAYS(AD$4,AD$4,'Sources &amp; Change Log'!$J$2:$J$5)=1,COUNTIFS('Team Calendar'!$A$5:$A$14,$F12,'Team Calendar'!$C$5:$C$14,AD$4,'Team Calendar'!$F$5:$F$14,"Personal absence")=0),1,"")</x:f>
      </x:c>
      <x:c r="AE12" s="207" t="str">
        <x:f>IF(AND(ISNUMBER($D12),ISNUMBER($E12),AE$4&gt;=$D12,AE$4&lt;=$E12,NETWORKDAYS(AE$4,AE$4,'Sources &amp; Change Log'!$J$2:$J$5)=1,COUNTIFS('Team Calendar'!$A$5:$A$14,$F12,'Team Calendar'!$C$5:$C$14,AE$4,'Team Calendar'!$F$5:$F$14,"Personal absence")=0),1,"")</x:f>
      </x:c>
      <x:c r="AF12" s="207" t="str">
        <x:f>IF(AND(ISNUMBER($D12),ISNUMBER($E12),AF$4&gt;=$D12,AF$4&lt;=$E12,NETWORKDAYS(AF$4,AF$4,'Sources &amp; Change Log'!$J$2:$J$5)=1,COUNTIFS('Team Calendar'!$A$5:$A$14,$F12,'Team Calendar'!$C$5:$C$14,AF$4,'Team Calendar'!$F$5:$F$14,"Personal absence")=0),1,"")</x:f>
      </x:c>
      <x:c r="AG12" s="207" t="str">
        <x:f>IF(AND(ISNUMBER($D12),ISNUMBER($E12),AG$4&gt;=$D12,AG$4&lt;=$E12,NETWORKDAYS(AG$4,AG$4,'Sources &amp; Change Log'!$J$2:$J$5)=1,COUNTIFS('Team Calendar'!$A$5:$A$14,$F12,'Team Calendar'!$C$5:$C$14,AG$4,'Team Calendar'!$F$5:$F$14,"Personal absence")=0),1,"")</x:f>
      </x:c>
      <x:c r="AH12" s="207" t="str">
        <x:f>IF(AND(ISNUMBER($D12),ISNUMBER($E12),AH$4&gt;=$D12,AH$4&lt;=$E12,NETWORKDAYS(AH$4,AH$4,'Sources &amp; Change Log'!$J$2:$J$5)=1,COUNTIFS('Team Calendar'!$A$5:$A$14,$F12,'Team Calendar'!$C$5:$C$14,AH$4,'Team Calendar'!$F$5:$F$14,"Personal absence")=0),1,"")</x:f>
      </x:c>
      <x:c r="AI12" s="207" t="str">
        <x:f>IF(AND(ISNUMBER($D12),ISNUMBER($E12),AI$4&gt;=$D12,AI$4&lt;=$E12,NETWORKDAYS(AI$4,AI$4,'Sources &amp; Change Log'!$J$2:$J$5)=1,COUNTIFS('Team Calendar'!$A$5:$A$14,$F12,'Team Calendar'!$C$5:$C$14,AI$4,'Team Calendar'!$F$5:$F$14,"Personal absence")=0),1,"")</x:f>
      </x:c>
      <x:c r="AJ12" s="206"/>
      <x:c r="AK12" s="206"/>
      <x:c r="AL12" s="206"/>
      <x:c r="AM12" s="206"/>
      <x:c r="AN12" s="206"/>
      <x:c r="AO12" s="206"/>
      <x:c r="AP12" s="206"/>
      <x:c r="AQ12" s="206"/>
      <x:c r="AR12" s="206"/>
      <x:c r="AS12" s="206"/>
      <x:c r="AT12" s="206"/>
      <x:c r="AU12" s="206"/>
      <x:c r="AV12" s="206"/>
      <x:c r="AW12" s="206"/>
      <x:c r="AX12" s="206"/>
      <x:c r="AY12" s="206"/>
      <x:c r="AZ12" s="206"/>
    </x:row>
    <x:row r="13" ht="30" customHeight="1">
      <x:c r="A13" s="195" t="str">
        <x:f>WBS!A39</x:f>
        <x:v>DEC-P2-OP-01</x:v>
      </x:c>
      <x:c r="B13" s="195" t="str">
        <x:f>WBS!B39</x:f>
        <x:v>Operator Supply Chain Scope Decision</x:v>
      </x:c>
      <x:c r="C13" s="195" t="str">
        <x:f>WBS!G39</x:f>
        <x:v>To Do</x:v>
      </x:c>
      <x:c r="D13" s="225" t="n">
        <x:f>WBS!H39</x:f>
        <x:v>0</x:v>
      </x:c>
      <x:c r="E13" s="225" t="n">
        <x:f>WBS!I39</x:f>
        <x:v>0</x:v>
      </x:c>
      <x:c r="F13" s="13" t="str">
        <x:f>WBS!L39</x:f>
        <x:v>이하영</x:v>
      </x:c>
      <x:c r="G13" s="207" t="str">
        <x:f>IF(AND(ISNUMBER($D13),ISNUMBER($E13),G$4&gt;=$D13,G$4&lt;=$E13,NETWORKDAYS(G$4,G$4,'Sources &amp; Change Log'!$J$2:$J$5)=1,COUNTIFS('Team Calendar'!$A$5:$A$14,$F13,'Team Calendar'!$C$5:$C$14,G$4,'Team Calendar'!$F$5:$F$14,"Personal absence")=0),1,"")</x:f>
      </x:c>
      <x:c r="H13" s="207" t="str">
        <x:f>IF(AND(ISNUMBER($D13),ISNUMBER($E13),H$4&gt;=$D13,H$4&lt;=$E13,NETWORKDAYS(H$4,H$4,'Sources &amp; Change Log'!$J$2:$J$5)=1,COUNTIFS('Team Calendar'!$A$5:$A$14,$F13,'Team Calendar'!$C$5:$C$14,H$4,'Team Calendar'!$F$5:$F$14,"Personal absence")=0),1,"")</x:f>
      </x:c>
      <x:c r="I13" s="207" t="str">
        <x:f>IF(AND(ISNUMBER($D13),ISNUMBER($E13),I$4&gt;=$D13,I$4&lt;=$E13,NETWORKDAYS(I$4,I$4,'Sources &amp; Change Log'!$J$2:$J$5)=1,COUNTIFS('Team Calendar'!$A$5:$A$14,$F13,'Team Calendar'!$C$5:$C$14,I$4,'Team Calendar'!$F$5:$F$14,"Personal absence")=0),1,"")</x:f>
      </x:c>
      <x:c r="J13" s="207" t="str">
        <x:f>IF(AND(ISNUMBER($D13),ISNUMBER($E13),J$4&gt;=$D13,J$4&lt;=$E13,NETWORKDAYS(J$4,J$4,'Sources &amp; Change Log'!$J$2:$J$5)=1,COUNTIFS('Team Calendar'!$A$5:$A$14,$F13,'Team Calendar'!$C$5:$C$14,J$4,'Team Calendar'!$F$5:$F$14,"Personal absence")=0),1,"")</x:f>
      </x:c>
      <x:c r="K13" s="207" t="str">
        <x:f>IF(AND(ISNUMBER($D13),ISNUMBER($E13),K$4&gt;=$D13,K$4&lt;=$E13,NETWORKDAYS(K$4,K$4,'Sources &amp; Change Log'!$J$2:$J$5)=1,COUNTIFS('Team Calendar'!$A$5:$A$14,$F13,'Team Calendar'!$C$5:$C$14,K$4,'Team Calendar'!$F$5:$F$14,"Personal absence")=0),1,"")</x:f>
      </x:c>
      <x:c r="L13" s="207" t="str">
        <x:f>IF(AND(ISNUMBER($D13),ISNUMBER($E13),L$4&gt;=$D13,L$4&lt;=$E13,NETWORKDAYS(L$4,L$4,'Sources &amp; Change Log'!$J$2:$J$5)=1,COUNTIFS('Team Calendar'!$A$5:$A$14,$F13,'Team Calendar'!$C$5:$C$14,L$4,'Team Calendar'!$F$5:$F$14,"Personal absence")=0),1,"")</x:f>
      </x:c>
      <x:c r="M13" s="207" t="str">
        <x:f>IF(AND(ISNUMBER($D13),ISNUMBER($E13),M$4&gt;=$D13,M$4&lt;=$E13,NETWORKDAYS(M$4,M$4,'Sources &amp; Change Log'!$J$2:$J$5)=1,COUNTIFS('Team Calendar'!$A$5:$A$14,$F13,'Team Calendar'!$C$5:$C$14,M$4,'Team Calendar'!$F$5:$F$14,"Personal absence")=0),1,"")</x:f>
      </x:c>
      <x:c r="N13" s="207" t="str">
        <x:f>IF(AND(ISNUMBER($D13),ISNUMBER($E13),N$4&gt;=$D13,N$4&lt;=$E13,NETWORKDAYS(N$4,N$4,'Sources &amp; Change Log'!$J$2:$J$5)=1,COUNTIFS('Team Calendar'!$A$5:$A$14,$F13,'Team Calendar'!$C$5:$C$14,N$4,'Team Calendar'!$F$5:$F$14,"Personal absence")=0),1,"")</x:f>
      </x:c>
      <x:c r="O13" s="207" t="str">
        <x:f>IF(AND(ISNUMBER($D13),ISNUMBER($E13),O$4&gt;=$D13,O$4&lt;=$E13,NETWORKDAYS(O$4,O$4,'Sources &amp; Change Log'!$J$2:$J$5)=1,COUNTIFS('Team Calendar'!$A$5:$A$14,$F13,'Team Calendar'!$C$5:$C$14,O$4,'Team Calendar'!$F$5:$F$14,"Personal absence")=0),1,"")</x:f>
      </x:c>
      <x:c r="P13" s="207" t="str">
        <x:f>IF(AND(ISNUMBER($D13),ISNUMBER($E13),P$4&gt;=$D13,P$4&lt;=$E13,NETWORKDAYS(P$4,P$4,'Sources &amp; Change Log'!$J$2:$J$5)=1,COUNTIFS('Team Calendar'!$A$5:$A$14,$F13,'Team Calendar'!$C$5:$C$14,P$4,'Team Calendar'!$F$5:$F$14,"Personal absence")=0),1,"")</x:f>
      </x:c>
      <x:c r="Q13" s="207" t="str">
        <x:f>IF(AND(ISNUMBER($D13),ISNUMBER($E13),Q$4&gt;=$D13,Q$4&lt;=$E13,NETWORKDAYS(Q$4,Q$4,'Sources &amp; Change Log'!$J$2:$J$5)=1,COUNTIFS('Team Calendar'!$A$5:$A$14,$F13,'Team Calendar'!$C$5:$C$14,Q$4,'Team Calendar'!$F$5:$F$14,"Personal absence")=0),1,"")</x:f>
      </x:c>
      <x:c r="R13" s="207" t="str">
        <x:f>IF(AND(ISNUMBER($D13),ISNUMBER($E13),R$4&gt;=$D13,R$4&lt;=$E13,NETWORKDAYS(R$4,R$4,'Sources &amp; Change Log'!$J$2:$J$5)=1,COUNTIFS('Team Calendar'!$A$5:$A$14,$F13,'Team Calendar'!$C$5:$C$14,R$4,'Team Calendar'!$F$5:$F$14,"Personal absence")=0),1,"")</x:f>
      </x:c>
      <x:c r="S13" s="207" t="str">
        <x:f>IF(AND(ISNUMBER($D13),ISNUMBER($E13),S$4&gt;=$D13,S$4&lt;=$E13,NETWORKDAYS(S$4,S$4,'Sources &amp; Change Log'!$J$2:$J$5)=1,COUNTIFS('Team Calendar'!$A$5:$A$14,$F13,'Team Calendar'!$C$5:$C$14,S$4,'Team Calendar'!$F$5:$F$14,"Personal absence")=0),1,"")</x:f>
      </x:c>
      <x:c r="T13" s="207" t="str">
        <x:f>IF(AND(ISNUMBER($D13),ISNUMBER($E13),T$4&gt;=$D13,T$4&lt;=$E13,NETWORKDAYS(T$4,T$4,'Sources &amp; Change Log'!$J$2:$J$5)=1,COUNTIFS('Team Calendar'!$A$5:$A$14,$F13,'Team Calendar'!$C$5:$C$14,T$4,'Team Calendar'!$F$5:$F$14,"Personal absence")=0),1,"")</x:f>
      </x:c>
      <x:c r="U13" s="207" t="str">
        <x:f>IF(AND(ISNUMBER($D13),ISNUMBER($E13),U$4&gt;=$D13,U$4&lt;=$E13,NETWORKDAYS(U$4,U$4,'Sources &amp; Change Log'!$J$2:$J$5)=1,COUNTIFS('Team Calendar'!$A$5:$A$14,$F13,'Team Calendar'!$C$5:$C$14,U$4,'Team Calendar'!$F$5:$F$14,"Personal absence")=0),1,"")</x:f>
      </x:c>
      <x:c r="V13" s="207" t="str">
        <x:f>IF(AND(ISNUMBER($D13),ISNUMBER($E13),V$4&gt;=$D13,V$4&lt;=$E13,NETWORKDAYS(V$4,V$4,'Sources &amp; Change Log'!$J$2:$J$5)=1,COUNTIFS('Team Calendar'!$A$5:$A$14,$F13,'Team Calendar'!$C$5:$C$14,V$4,'Team Calendar'!$F$5:$F$14,"Personal absence")=0),1,"")</x:f>
      </x:c>
      <x:c r="W13" s="207" t="str">
        <x:f>IF(AND(ISNUMBER($D13),ISNUMBER($E13),W$4&gt;=$D13,W$4&lt;=$E13,NETWORKDAYS(W$4,W$4,'Sources &amp; Change Log'!$J$2:$J$5)=1,COUNTIFS('Team Calendar'!$A$5:$A$14,$F13,'Team Calendar'!$C$5:$C$14,W$4,'Team Calendar'!$F$5:$F$14,"Personal absence")=0),1,"")</x:f>
      </x:c>
      <x:c r="X13" s="207" t="str">
        <x:f>IF(AND(ISNUMBER($D13),ISNUMBER($E13),X$4&gt;=$D13,X$4&lt;=$E13,NETWORKDAYS(X$4,X$4,'Sources &amp; Change Log'!$J$2:$J$5)=1,COUNTIFS('Team Calendar'!$A$5:$A$14,$F13,'Team Calendar'!$C$5:$C$14,X$4,'Team Calendar'!$F$5:$F$14,"Personal absence")=0),1,"")</x:f>
      </x:c>
      <x:c r="Y13" s="207" t="str">
        <x:f>IF(AND(ISNUMBER($D13),ISNUMBER($E13),Y$4&gt;=$D13,Y$4&lt;=$E13,NETWORKDAYS(Y$4,Y$4,'Sources &amp; Change Log'!$J$2:$J$5)=1,COUNTIFS('Team Calendar'!$A$5:$A$14,$F13,'Team Calendar'!$C$5:$C$14,Y$4,'Team Calendar'!$F$5:$F$14,"Personal absence")=0),1,"")</x:f>
      </x:c>
      <x:c r="Z13" s="207" t="str">
        <x:f>IF(AND(ISNUMBER($D13),ISNUMBER($E13),Z$4&gt;=$D13,Z$4&lt;=$E13,NETWORKDAYS(Z$4,Z$4,'Sources &amp; Change Log'!$J$2:$J$5)=1,COUNTIFS('Team Calendar'!$A$5:$A$14,$F13,'Team Calendar'!$C$5:$C$14,Z$4,'Team Calendar'!$F$5:$F$14,"Personal absence")=0),1,"")</x:f>
      </x:c>
      <x:c r="AA13" s="207" t="str">
        <x:f>IF(AND(ISNUMBER($D13),ISNUMBER($E13),AA$4&gt;=$D13,AA$4&lt;=$E13,NETWORKDAYS(AA$4,AA$4,'Sources &amp; Change Log'!$J$2:$J$5)=1,COUNTIFS('Team Calendar'!$A$5:$A$14,$F13,'Team Calendar'!$C$5:$C$14,AA$4,'Team Calendar'!$F$5:$F$14,"Personal absence")=0),1,"")</x:f>
      </x:c>
      <x:c r="AB13" s="207" t="str">
        <x:f>IF(AND(ISNUMBER($D13),ISNUMBER($E13),AB$4&gt;=$D13,AB$4&lt;=$E13,NETWORKDAYS(AB$4,AB$4,'Sources &amp; Change Log'!$J$2:$J$5)=1,COUNTIFS('Team Calendar'!$A$5:$A$14,$F13,'Team Calendar'!$C$5:$C$14,AB$4,'Team Calendar'!$F$5:$F$14,"Personal absence")=0),1,"")</x:f>
      </x:c>
      <x:c r="AC13" s="207" t="str">
        <x:f>IF(AND(ISNUMBER($D13),ISNUMBER($E13),AC$4&gt;=$D13,AC$4&lt;=$E13,NETWORKDAYS(AC$4,AC$4,'Sources &amp; Change Log'!$J$2:$J$5)=1,COUNTIFS('Team Calendar'!$A$5:$A$14,$F13,'Team Calendar'!$C$5:$C$14,AC$4,'Team Calendar'!$F$5:$F$14,"Personal absence")=0),1,"")</x:f>
      </x:c>
      <x:c r="AD13" s="207" t="str">
        <x:f>IF(AND(ISNUMBER($D13),ISNUMBER($E13),AD$4&gt;=$D13,AD$4&lt;=$E13,NETWORKDAYS(AD$4,AD$4,'Sources &amp; Change Log'!$J$2:$J$5)=1,COUNTIFS('Team Calendar'!$A$5:$A$14,$F13,'Team Calendar'!$C$5:$C$14,AD$4,'Team Calendar'!$F$5:$F$14,"Personal absence")=0),1,"")</x:f>
      </x:c>
      <x:c r="AE13" s="207" t="str">
        <x:f>IF(AND(ISNUMBER($D13),ISNUMBER($E13),AE$4&gt;=$D13,AE$4&lt;=$E13,NETWORKDAYS(AE$4,AE$4,'Sources &amp; Change Log'!$J$2:$J$5)=1,COUNTIFS('Team Calendar'!$A$5:$A$14,$F13,'Team Calendar'!$C$5:$C$14,AE$4,'Team Calendar'!$F$5:$F$14,"Personal absence")=0),1,"")</x:f>
      </x:c>
      <x:c r="AF13" s="207" t="str">
        <x:f>IF(AND(ISNUMBER($D13),ISNUMBER($E13),AF$4&gt;=$D13,AF$4&lt;=$E13,NETWORKDAYS(AF$4,AF$4,'Sources &amp; Change Log'!$J$2:$J$5)=1,COUNTIFS('Team Calendar'!$A$5:$A$14,$F13,'Team Calendar'!$C$5:$C$14,AF$4,'Team Calendar'!$F$5:$F$14,"Personal absence")=0),1,"")</x:f>
      </x:c>
      <x:c r="AG13" s="207" t="str">
        <x:f>IF(AND(ISNUMBER($D13),ISNUMBER($E13),AG$4&gt;=$D13,AG$4&lt;=$E13,NETWORKDAYS(AG$4,AG$4,'Sources &amp; Change Log'!$J$2:$J$5)=1,COUNTIFS('Team Calendar'!$A$5:$A$14,$F13,'Team Calendar'!$C$5:$C$14,AG$4,'Team Calendar'!$F$5:$F$14,"Personal absence")=0),1,"")</x:f>
      </x:c>
      <x:c r="AH13" s="207" t="str">
        <x:f>IF(AND(ISNUMBER($D13),ISNUMBER($E13),AH$4&gt;=$D13,AH$4&lt;=$E13,NETWORKDAYS(AH$4,AH$4,'Sources &amp; Change Log'!$J$2:$J$5)=1,COUNTIFS('Team Calendar'!$A$5:$A$14,$F13,'Team Calendar'!$C$5:$C$14,AH$4,'Team Calendar'!$F$5:$F$14,"Personal absence")=0),1,"")</x:f>
      </x:c>
      <x:c r="AI13" s="207" t="str">
        <x:f>IF(AND(ISNUMBER($D13),ISNUMBER($E13),AI$4&gt;=$D13,AI$4&lt;=$E13,NETWORKDAYS(AI$4,AI$4,'Sources &amp; Change Log'!$J$2:$J$5)=1,COUNTIFS('Team Calendar'!$A$5:$A$14,$F13,'Team Calendar'!$C$5:$C$14,AI$4,'Team Calendar'!$F$5:$F$14,"Personal absence")=0),1,"")</x:f>
      </x:c>
      <x:c r="AJ13" s="206"/>
      <x:c r="AK13" s="206"/>
      <x:c r="AL13" s="206"/>
      <x:c r="AM13" s="206"/>
      <x:c r="AN13" s="206"/>
      <x:c r="AO13" s="206"/>
      <x:c r="AP13" s="206"/>
      <x:c r="AQ13" s="206"/>
      <x:c r="AR13" s="206"/>
      <x:c r="AS13" s="206"/>
      <x:c r="AT13" s="206"/>
      <x:c r="AU13" s="206"/>
      <x:c r="AV13" s="206"/>
      <x:c r="AW13" s="206"/>
      <x:c r="AX13" s="206"/>
      <x:c r="AY13" s="206"/>
      <x:c r="AZ13" s="206"/>
    </x:row>
    <x:row r="14" ht="30" customHeight="1">
      <x:c r="A14" s="195" t="str">
        <x:f>WBS!A40</x:f>
        <x:v>DEC-P2-REG-01</x:v>
      </x:c>
      <x:c r="B14" s="195" t="str">
        <x:f>WBS!B40</x:f>
        <x:v>ROSA Image Registry Source Decision</x:v>
      </x:c>
      <x:c r="C14" s="195" t="str">
        <x:f>WBS!G40</x:f>
        <x:v>To Do</x:v>
      </x:c>
      <x:c r="D14" s="225" t="n">
        <x:f>WBS!H40</x:f>
        <x:v>46310</x:v>
      </x:c>
      <x:c r="E14" s="225" t="n">
        <x:f>WBS!I40</x:f>
        <x:v>46310</x:v>
      </x:c>
      <x:c r="F14" s="13" t="str">
        <x:f>WBS!L40</x:f>
        <x:v>이권욱</x:v>
      </x:c>
      <x:c r="G14" s="207" t="str">
        <x:f>IF(AND(ISNUMBER($D14),ISNUMBER($E14),G$4&gt;=$D14,G$4&lt;=$E14,NETWORKDAYS(G$4,G$4,'Sources &amp; Change Log'!$J$2:$J$5)=1,COUNTIFS('Team Calendar'!$A$5:$A$14,$F14,'Team Calendar'!$C$5:$C$14,G$4,'Team Calendar'!$F$5:$F$14,"Personal absence")=0),1,"")</x:f>
      </x:c>
      <x:c r="H14" s="207" t="str">
        <x:f>IF(AND(ISNUMBER($D14),ISNUMBER($E14),H$4&gt;=$D14,H$4&lt;=$E14,NETWORKDAYS(H$4,H$4,'Sources &amp; Change Log'!$J$2:$J$5)=1,COUNTIFS('Team Calendar'!$A$5:$A$14,$F14,'Team Calendar'!$C$5:$C$14,H$4,'Team Calendar'!$F$5:$F$14,"Personal absence")=0),1,"")</x:f>
      </x:c>
      <x:c r="I14" s="207" t="str">
        <x:f>IF(AND(ISNUMBER($D14),ISNUMBER($E14),I$4&gt;=$D14,I$4&lt;=$E14,NETWORKDAYS(I$4,I$4,'Sources &amp; Change Log'!$J$2:$J$5)=1,COUNTIFS('Team Calendar'!$A$5:$A$14,$F14,'Team Calendar'!$C$5:$C$14,I$4,'Team Calendar'!$F$5:$F$14,"Personal absence")=0),1,"")</x:f>
      </x:c>
      <x:c r="J14" s="207" t="str">
        <x:f>IF(AND(ISNUMBER($D14),ISNUMBER($E14),J$4&gt;=$D14,J$4&lt;=$E14,NETWORKDAYS(J$4,J$4,'Sources &amp; Change Log'!$J$2:$J$5)=1,COUNTIFS('Team Calendar'!$A$5:$A$14,$F14,'Team Calendar'!$C$5:$C$14,J$4,'Team Calendar'!$F$5:$F$14,"Personal absence")=0),1,"")</x:f>
      </x:c>
      <x:c r="K14" s="207" t="str">
        <x:f>IF(AND(ISNUMBER($D14),ISNUMBER($E14),K$4&gt;=$D14,K$4&lt;=$E14,NETWORKDAYS(K$4,K$4,'Sources &amp; Change Log'!$J$2:$J$5)=1,COUNTIFS('Team Calendar'!$A$5:$A$14,$F14,'Team Calendar'!$C$5:$C$14,K$4,'Team Calendar'!$F$5:$F$14,"Personal absence")=0),1,"")</x:f>
      </x:c>
      <x:c r="L14" s="207" t="str">
        <x:f>IF(AND(ISNUMBER($D14),ISNUMBER($E14),L$4&gt;=$D14,L$4&lt;=$E14,NETWORKDAYS(L$4,L$4,'Sources &amp; Change Log'!$J$2:$J$5)=1,COUNTIFS('Team Calendar'!$A$5:$A$14,$F14,'Team Calendar'!$C$5:$C$14,L$4,'Team Calendar'!$F$5:$F$14,"Personal absence")=0),1,"")</x:f>
      </x:c>
      <x:c r="M14" s="207" t="str">
        <x:f>IF(AND(ISNUMBER($D14),ISNUMBER($E14),M$4&gt;=$D14,M$4&lt;=$E14,NETWORKDAYS(M$4,M$4,'Sources &amp; Change Log'!$J$2:$J$5)=1,COUNTIFS('Team Calendar'!$A$5:$A$14,$F14,'Team Calendar'!$C$5:$C$14,M$4,'Team Calendar'!$F$5:$F$14,"Personal absence")=0),1,"")</x:f>
      </x:c>
      <x:c r="N14" s="207" t="str">
        <x:f>IF(AND(ISNUMBER($D14),ISNUMBER($E14),N$4&gt;=$D14,N$4&lt;=$E14,NETWORKDAYS(N$4,N$4,'Sources &amp; Change Log'!$J$2:$J$5)=1,COUNTIFS('Team Calendar'!$A$5:$A$14,$F14,'Team Calendar'!$C$5:$C$14,N$4,'Team Calendar'!$F$5:$F$14,"Personal absence")=0),1,"")</x:f>
      </x:c>
      <x:c r="O14" s="207" t="str">
        <x:f>IF(AND(ISNUMBER($D14),ISNUMBER($E14),O$4&gt;=$D14,O$4&lt;=$E14,NETWORKDAYS(O$4,O$4,'Sources &amp; Change Log'!$J$2:$J$5)=1,COUNTIFS('Team Calendar'!$A$5:$A$14,$F14,'Team Calendar'!$C$5:$C$14,O$4,'Team Calendar'!$F$5:$F$14,"Personal absence")=0),1,"")</x:f>
      </x:c>
      <x:c r="P14" s="207" t="str">
        <x:f>IF(AND(ISNUMBER($D14),ISNUMBER($E14),P$4&gt;=$D14,P$4&lt;=$E14,NETWORKDAYS(P$4,P$4,'Sources &amp; Change Log'!$J$2:$J$5)=1,COUNTIFS('Team Calendar'!$A$5:$A$14,$F14,'Team Calendar'!$C$5:$C$14,P$4,'Team Calendar'!$F$5:$F$14,"Personal absence")=0),1,"")</x:f>
      </x:c>
      <x:c r="Q14" s="207" t="str">
        <x:f>IF(AND(ISNUMBER($D14),ISNUMBER($E14),Q$4&gt;=$D14,Q$4&lt;=$E14,NETWORKDAYS(Q$4,Q$4,'Sources &amp; Change Log'!$J$2:$J$5)=1,COUNTIFS('Team Calendar'!$A$5:$A$14,$F14,'Team Calendar'!$C$5:$C$14,Q$4,'Team Calendar'!$F$5:$F$14,"Personal absence")=0),1,"")</x:f>
      </x:c>
      <x:c r="R14" s="207" t="str">
        <x:f>IF(AND(ISNUMBER($D14),ISNUMBER($E14),R$4&gt;=$D14,R$4&lt;=$E14,NETWORKDAYS(R$4,R$4,'Sources &amp; Change Log'!$J$2:$J$5)=1,COUNTIFS('Team Calendar'!$A$5:$A$14,$F14,'Team Calendar'!$C$5:$C$14,R$4,'Team Calendar'!$F$5:$F$14,"Personal absence")=0),1,"")</x:f>
      </x:c>
      <x:c r="S14" s="207" t="str">
        <x:f>IF(AND(ISNUMBER($D14),ISNUMBER($E14),S$4&gt;=$D14,S$4&lt;=$E14,NETWORKDAYS(S$4,S$4,'Sources &amp; Change Log'!$J$2:$J$5)=1,COUNTIFS('Team Calendar'!$A$5:$A$14,$F14,'Team Calendar'!$C$5:$C$14,S$4,'Team Calendar'!$F$5:$F$14,"Personal absence")=0),1,"")</x:f>
      </x:c>
      <x:c r="T14" s="207" t="str">
        <x:f>IF(AND(ISNUMBER($D14),ISNUMBER($E14),T$4&gt;=$D14,T$4&lt;=$E14,NETWORKDAYS(T$4,T$4,'Sources &amp; Change Log'!$J$2:$J$5)=1,COUNTIFS('Team Calendar'!$A$5:$A$14,$F14,'Team Calendar'!$C$5:$C$14,T$4,'Team Calendar'!$F$5:$F$14,"Personal absence")=0),1,"")</x:f>
      </x:c>
      <x:c r="U14" s="207" t="str">
        <x:f>IF(AND(ISNUMBER($D14),ISNUMBER($E14),U$4&gt;=$D14,U$4&lt;=$E14,NETWORKDAYS(U$4,U$4,'Sources &amp; Change Log'!$J$2:$J$5)=1,COUNTIFS('Team Calendar'!$A$5:$A$14,$F14,'Team Calendar'!$C$5:$C$14,U$4,'Team Calendar'!$F$5:$F$14,"Personal absence")=0),1,"")</x:f>
      </x:c>
      <x:c r="V14" s="207" t="str">
        <x:f>IF(AND(ISNUMBER($D14),ISNUMBER($E14),V$4&gt;=$D14,V$4&lt;=$E14,NETWORKDAYS(V$4,V$4,'Sources &amp; Change Log'!$J$2:$J$5)=1,COUNTIFS('Team Calendar'!$A$5:$A$14,$F14,'Team Calendar'!$C$5:$C$14,V$4,'Team Calendar'!$F$5:$F$14,"Personal absence")=0),1,"")</x:f>
      </x:c>
      <x:c r="W14" s="207" t="str">
        <x:f>IF(AND(ISNUMBER($D14),ISNUMBER($E14),W$4&gt;=$D14,W$4&lt;=$E14,NETWORKDAYS(W$4,W$4,'Sources &amp; Change Log'!$J$2:$J$5)=1,COUNTIFS('Team Calendar'!$A$5:$A$14,$F14,'Team Calendar'!$C$5:$C$14,W$4,'Team Calendar'!$F$5:$F$14,"Personal absence")=0),1,"")</x:f>
      </x:c>
      <x:c r="X14" s="207" t="n">
        <x:f>IF(AND(ISNUMBER($D14),ISNUMBER($E14),X$4&gt;=$D14,X$4&lt;=$E14,NETWORKDAYS(X$4,X$4,'Sources &amp; Change Log'!$J$2:$J$5)=1,COUNTIFS('Team Calendar'!$A$5:$A$14,$F14,'Team Calendar'!$C$5:$C$14,X$4,'Team Calendar'!$F$5:$F$14,"Personal absence")=0),1,"")</x:f>
        <x:v>1</x:v>
      </x:c>
      <x:c r="Y14" s="207" t="str">
        <x:f>IF(AND(ISNUMBER($D14),ISNUMBER($E14),Y$4&gt;=$D14,Y$4&lt;=$E14,NETWORKDAYS(Y$4,Y$4,'Sources &amp; Change Log'!$J$2:$J$5)=1,COUNTIFS('Team Calendar'!$A$5:$A$14,$F14,'Team Calendar'!$C$5:$C$14,Y$4,'Team Calendar'!$F$5:$F$14,"Personal absence")=0),1,"")</x:f>
      </x:c>
      <x:c r="Z14" s="207" t="str">
        <x:f>IF(AND(ISNUMBER($D14),ISNUMBER($E14),Z$4&gt;=$D14,Z$4&lt;=$E14,NETWORKDAYS(Z$4,Z$4,'Sources &amp; Change Log'!$J$2:$J$5)=1,COUNTIFS('Team Calendar'!$A$5:$A$14,$F14,'Team Calendar'!$C$5:$C$14,Z$4,'Team Calendar'!$F$5:$F$14,"Personal absence")=0),1,"")</x:f>
      </x:c>
      <x:c r="AA14" s="207" t="str">
        <x:f>IF(AND(ISNUMBER($D14),ISNUMBER($E14),AA$4&gt;=$D14,AA$4&lt;=$E14,NETWORKDAYS(AA$4,AA$4,'Sources &amp; Change Log'!$J$2:$J$5)=1,COUNTIFS('Team Calendar'!$A$5:$A$14,$F14,'Team Calendar'!$C$5:$C$14,AA$4,'Team Calendar'!$F$5:$F$14,"Personal absence")=0),1,"")</x:f>
      </x:c>
      <x:c r="AB14" s="207" t="str">
        <x:f>IF(AND(ISNUMBER($D14),ISNUMBER($E14),AB$4&gt;=$D14,AB$4&lt;=$E14,NETWORKDAYS(AB$4,AB$4,'Sources &amp; Change Log'!$J$2:$J$5)=1,COUNTIFS('Team Calendar'!$A$5:$A$14,$F14,'Team Calendar'!$C$5:$C$14,AB$4,'Team Calendar'!$F$5:$F$14,"Personal absence")=0),1,"")</x:f>
      </x:c>
      <x:c r="AC14" s="207" t="str">
        <x:f>IF(AND(ISNUMBER($D14),ISNUMBER($E14),AC$4&gt;=$D14,AC$4&lt;=$E14,NETWORKDAYS(AC$4,AC$4,'Sources &amp; Change Log'!$J$2:$J$5)=1,COUNTIFS('Team Calendar'!$A$5:$A$14,$F14,'Team Calendar'!$C$5:$C$14,AC$4,'Team Calendar'!$F$5:$F$14,"Personal absence")=0),1,"")</x:f>
      </x:c>
      <x:c r="AD14" s="207" t="str">
        <x:f>IF(AND(ISNUMBER($D14),ISNUMBER($E14),AD$4&gt;=$D14,AD$4&lt;=$E14,NETWORKDAYS(AD$4,AD$4,'Sources &amp; Change Log'!$J$2:$J$5)=1,COUNTIFS('Team Calendar'!$A$5:$A$14,$F14,'Team Calendar'!$C$5:$C$14,AD$4,'Team Calendar'!$F$5:$F$14,"Personal absence")=0),1,"")</x:f>
      </x:c>
      <x:c r="AE14" s="207" t="str">
        <x:f>IF(AND(ISNUMBER($D14),ISNUMBER($E14),AE$4&gt;=$D14,AE$4&lt;=$E14,NETWORKDAYS(AE$4,AE$4,'Sources &amp; Change Log'!$J$2:$J$5)=1,COUNTIFS('Team Calendar'!$A$5:$A$14,$F14,'Team Calendar'!$C$5:$C$14,AE$4,'Team Calendar'!$F$5:$F$14,"Personal absence")=0),1,"")</x:f>
      </x:c>
      <x:c r="AF14" s="207" t="str">
        <x:f>IF(AND(ISNUMBER($D14),ISNUMBER($E14),AF$4&gt;=$D14,AF$4&lt;=$E14,NETWORKDAYS(AF$4,AF$4,'Sources &amp; Change Log'!$J$2:$J$5)=1,COUNTIFS('Team Calendar'!$A$5:$A$14,$F14,'Team Calendar'!$C$5:$C$14,AF$4,'Team Calendar'!$F$5:$F$14,"Personal absence")=0),1,"")</x:f>
      </x:c>
      <x:c r="AG14" s="207" t="str">
        <x:f>IF(AND(ISNUMBER($D14),ISNUMBER($E14),AG$4&gt;=$D14,AG$4&lt;=$E14,NETWORKDAYS(AG$4,AG$4,'Sources &amp; Change Log'!$J$2:$J$5)=1,COUNTIFS('Team Calendar'!$A$5:$A$14,$F14,'Team Calendar'!$C$5:$C$14,AG$4,'Team Calendar'!$F$5:$F$14,"Personal absence")=0),1,"")</x:f>
      </x:c>
      <x:c r="AH14" s="207" t="str">
        <x:f>IF(AND(ISNUMBER($D14),ISNUMBER($E14),AH$4&gt;=$D14,AH$4&lt;=$E14,NETWORKDAYS(AH$4,AH$4,'Sources &amp; Change Log'!$J$2:$J$5)=1,COUNTIFS('Team Calendar'!$A$5:$A$14,$F14,'Team Calendar'!$C$5:$C$14,AH$4,'Team Calendar'!$F$5:$F$14,"Personal absence")=0),1,"")</x:f>
      </x:c>
      <x:c r="AI14" s="207" t="str">
        <x:f>IF(AND(ISNUMBER($D14),ISNUMBER($E14),AI$4&gt;=$D14,AI$4&lt;=$E14,NETWORKDAYS(AI$4,AI$4,'Sources &amp; Change Log'!$J$2:$J$5)=1,COUNTIFS('Team Calendar'!$A$5:$A$14,$F14,'Team Calendar'!$C$5:$C$14,AI$4,'Team Calendar'!$F$5:$F$14,"Personal absence")=0),1,"")</x:f>
      </x:c>
      <x:c r="AJ14" s="206"/>
      <x:c r="AK14" s="206"/>
      <x:c r="AL14" s="206"/>
      <x:c r="AM14" s="206"/>
      <x:c r="AN14" s="206"/>
      <x:c r="AO14" s="206"/>
      <x:c r="AP14" s="206"/>
      <x:c r="AQ14" s="206"/>
      <x:c r="AR14" s="206"/>
      <x:c r="AS14" s="206"/>
      <x:c r="AT14" s="206"/>
      <x:c r="AU14" s="206"/>
      <x:c r="AV14" s="206"/>
      <x:c r="AW14" s="206"/>
      <x:c r="AX14" s="206"/>
      <x:c r="AY14" s="206"/>
      <x:c r="AZ14" s="206"/>
    </x:row>
    <x:row r="15" ht="30" customHeight="1">
      <x:c r="A15" s="195" t="str">
        <x:f>WBS!A41</x:f>
        <x:v>P2-APP-01</x:v>
      </x:c>
      <x:c r="B15" s="195" t="str">
        <x:f>WBS!B41</x:f>
        <x:v>ROSA Application Deployment</x:v>
      </x:c>
      <x:c r="C15" s="195" t="str">
        <x:f>WBS!G41</x:f>
        <x:v>To Do</x:v>
      </x:c>
      <x:c r="D15" s="225" t="n">
        <x:f>WBS!H41</x:f>
        <x:v>46311</x:v>
      </x:c>
      <x:c r="E15" s="225" t="n">
        <x:f>WBS!I41</x:f>
        <x:v>46314</x:v>
      </x:c>
      <x:c r="F15" s="13" t="str">
        <x:f>WBS!L41</x:f>
        <x:v>이재환</x:v>
      </x:c>
      <x:c r="G15" s="207" t="str">
        <x:f>IF(AND(ISNUMBER($D15),ISNUMBER($E15),G$4&gt;=$D15,G$4&lt;=$E15,NETWORKDAYS(G$4,G$4,'Sources &amp; Change Log'!$J$2:$J$5)=1,COUNTIFS('Team Calendar'!$A$5:$A$14,$F15,'Team Calendar'!$C$5:$C$14,G$4,'Team Calendar'!$F$5:$F$14,"Personal absence")=0),1,"")</x:f>
      </x:c>
      <x:c r="H15" s="207" t="str">
        <x:f>IF(AND(ISNUMBER($D15),ISNUMBER($E15),H$4&gt;=$D15,H$4&lt;=$E15,NETWORKDAYS(H$4,H$4,'Sources &amp; Change Log'!$J$2:$J$5)=1,COUNTIFS('Team Calendar'!$A$5:$A$14,$F15,'Team Calendar'!$C$5:$C$14,H$4,'Team Calendar'!$F$5:$F$14,"Personal absence")=0),1,"")</x:f>
      </x:c>
      <x:c r="I15" s="207" t="str">
        <x:f>IF(AND(ISNUMBER($D15),ISNUMBER($E15),I$4&gt;=$D15,I$4&lt;=$E15,NETWORKDAYS(I$4,I$4,'Sources &amp; Change Log'!$J$2:$J$5)=1,COUNTIFS('Team Calendar'!$A$5:$A$14,$F15,'Team Calendar'!$C$5:$C$14,I$4,'Team Calendar'!$F$5:$F$14,"Personal absence")=0),1,"")</x:f>
      </x:c>
      <x:c r="J15" s="207" t="str">
        <x:f>IF(AND(ISNUMBER($D15),ISNUMBER($E15),J$4&gt;=$D15,J$4&lt;=$E15,NETWORKDAYS(J$4,J$4,'Sources &amp; Change Log'!$J$2:$J$5)=1,COUNTIFS('Team Calendar'!$A$5:$A$14,$F15,'Team Calendar'!$C$5:$C$14,J$4,'Team Calendar'!$F$5:$F$14,"Personal absence")=0),1,"")</x:f>
      </x:c>
      <x:c r="K15" s="207" t="str">
        <x:f>IF(AND(ISNUMBER($D15),ISNUMBER($E15),K$4&gt;=$D15,K$4&lt;=$E15,NETWORKDAYS(K$4,K$4,'Sources &amp; Change Log'!$J$2:$J$5)=1,COUNTIFS('Team Calendar'!$A$5:$A$14,$F15,'Team Calendar'!$C$5:$C$14,K$4,'Team Calendar'!$F$5:$F$14,"Personal absence")=0),1,"")</x:f>
      </x:c>
      <x:c r="L15" s="207" t="str">
        <x:f>IF(AND(ISNUMBER($D15),ISNUMBER($E15),L$4&gt;=$D15,L$4&lt;=$E15,NETWORKDAYS(L$4,L$4,'Sources &amp; Change Log'!$J$2:$J$5)=1,COUNTIFS('Team Calendar'!$A$5:$A$14,$F15,'Team Calendar'!$C$5:$C$14,L$4,'Team Calendar'!$F$5:$F$14,"Personal absence")=0),1,"")</x:f>
      </x:c>
      <x:c r="M15" s="207" t="str">
        <x:f>IF(AND(ISNUMBER($D15),ISNUMBER($E15),M$4&gt;=$D15,M$4&lt;=$E15,NETWORKDAYS(M$4,M$4,'Sources &amp; Change Log'!$J$2:$J$5)=1,COUNTIFS('Team Calendar'!$A$5:$A$14,$F15,'Team Calendar'!$C$5:$C$14,M$4,'Team Calendar'!$F$5:$F$14,"Personal absence")=0),1,"")</x:f>
      </x:c>
      <x:c r="N15" s="207" t="str">
        <x:f>IF(AND(ISNUMBER($D15),ISNUMBER($E15),N$4&gt;=$D15,N$4&lt;=$E15,NETWORKDAYS(N$4,N$4,'Sources &amp; Change Log'!$J$2:$J$5)=1,COUNTIFS('Team Calendar'!$A$5:$A$14,$F15,'Team Calendar'!$C$5:$C$14,N$4,'Team Calendar'!$F$5:$F$14,"Personal absence")=0),1,"")</x:f>
      </x:c>
      <x:c r="O15" s="207" t="str">
        <x:f>IF(AND(ISNUMBER($D15),ISNUMBER($E15),O$4&gt;=$D15,O$4&lt;=$E15,NETWORKDAYS(O$4,O$4,'Sources &amp; Change Log'!$J$2:$J$5)=1,COUNTIFS('Team Calendar'!$A$5:$A$14,$F15,'Team Calendar'!$C$5:$C$14,O$4,'Team Calendar'!$F$5:$F$14,"Personal absence")=0),1,"")</x:f>
      </x:c>
      <x:c r="P15" s="207" t="str">
        <x:f>IF(AND(ISNUMBER($D15),ISNUMBER($E15),P$4&gt;=$D15,P$4&lt;=$E15,NETWORKDAYS(P$4,P$4,'Sources &amp; Change Log'!$J$2:$J$5)=1,COUNTIFS('Team Calendar'!$A$5:$A$14,$F15,'Team Calendar'!$C$5:$C$14,P$4,'Team Calendar'!$F$5:$F$14,"Personal absence")=0),1,"")</x:f>
      </x:c>
      <x:c r="Q15" s="207" t="str">
        <x:f>IF(AND(ISNUMBER($D15),ISNUMBER($E15),Q$4&gt;=$D15,Q$4&lt;=$E15,NETWORKDAYS(Q$4,Q$4,'Sources &amp; Change Log'!$J$2:$J$5)=1,COUNTIFS('Team Calendar'!$A$5:$A$14,$F15,'Team Calendar'!$C$5:$C$14,Q$4,'Team Calendar'!$F$5:$F$14,"Personal absence")=0),1,"")</x:f>
      </x:c>
      <x:c r="R15" s="207" t="str">
        <x:f>IF(AND(ISNUMBER($D15),ISNUMBER($E15),R$4&gt;=$D15,R$4&lt;=$E15,NETWORKDAYS(R$4,R$4,'Sources &amp; Change Log'!$J$2:$J$5)=1,COUNTIFS('Team Calendar'!$A$5:$A$14,$F15,'Team Calendar'!$C$5:$C$14,R$4,'Team Calendar'!$F$5:$F$14,"Personal absence")=0),1,"")</x:f>
      </x:c>
      <x:c r="S15" s="207" t="str">
        <x:f>IF(AND(ISNUMBER($D15),ISNUMBER($E15),S$4&gt;=$D15,S$4&lt;=$E15,NETWORKDAYS(S$4,S$4,'Sources &amp; Change Log'!$J$2:$J$5)=1,COUNTIFS('Team Calendar'!$A$5:$A$14,$F15,'Team Calendar'!$C$5:$C$14,S$4,'Team Calendar'!$F$5:$F$14,"Personal absence")=0),1,"")</x:f>
      </x:c>
      <x:c r="T15" s="207" t="str">
        <x:f>IF(AND(ISNUMBER($D15),ISNUMBER($E15),T$4&gt;=$D15,T$4&lt;=$E15,NETWORKDAYS(T$4,T$4,'Sources &amp; Change Log'!$J$2:$J$5)=1,COUNTIFS('Team Calendar'!$A$5:$A$14,$F15,'Team Calendar'!$C$5:$C$14,T$4,'Team Calendar'!$F$5:$F$14,"Personal absence")=0),1,"")</x:f>
      </x:c>
      <x:c r="U15" s="207" t="str">
        <x:f>IF(AND(ISNUMBER($D15),ISNUMBER($E15),U$4&gt;=$D15,U$4&lt;=$E15,NETWORKDAYS(U$4,U$4,'Sources &amp; Change Log'!$J$2:$J$5)=1,COUNTIFS('Team Calendar'!$A$5:$A$14,$F15,'Team Calendar'!$C$5:$C$14,U$4,'Team Calendar'!$F$5:$F$14,"Personal absence")=0),1,"")</x:f>
      </x:c>
      <x:c r="V15" s="207" t="str">
        <x:f>IF(AND(ISNUMBER($D15),ISNUMBER($E15),V$4&gt;=$D15,V$4&lt;=$E15,NETWORKDAYS(V$4,V$4,'Sources &amp; Change Log'!$J$2:$J$5)=1,COUNTIFS('Team Calendar'!$A$5:$A$14,$F15,'Team Calendar'!$C$5:$C$14,V$4,'Team Calendar'!$F$5:$F$14,"Personal absence")=0),1,"")</x:f>
      </x:c>
      <x:c r="W15" s="207" t="str">
        <x:f>IF(AND(ISNUMBER($D15),ISNUMBER($E15),W$4&gt;=$D15,W$4&lt;=$E15,NETWORKDAYS(W$4,W$4,'Sources &amp; Change Log'!$J$2:$J$5)=1,COUNTIFS('Team Calendar'!$A$5:$A$14,$F15,'Team Calendar'!$C$5:$C$14,W$4,'Team Calendar'!$F$5:$F$14,"Personal absence")=0),1,"")</x:f>
      </x:c>
      <x:c r="X15" s="207" t="str">
        <x:f>IF(AND(ISNUMBER($D15),ISNUMBER($E15),X$4&gt;=$D15,X$4&lt;=$E15,NETWORKDAYS(X$4,X$4,'Sources &amp; Change Log'!$J$2:$J$5)=1,COUNTIFS('Team Calendar'!$A$5:$A$14,$F15,'Team Calendar'!$C$5:$C$14,X$4,'Team Calendar'!$F$5:$F$14,"Personal absence")=0),1,"")</x:f>
      </x:c>
      <x:c r="Y15" s="207" t="n">
        <x:f>IF(AND(ISNUMBER($D15),ISNUMBER($E15),Y$4&gt;=$D15,Y$4&lt;=$E15,NETWORKDAYS(Y$4,Y$4,'Sources &amp; Change Log'!$J$2:$J$5)=1,COUNTIFS('Team Calendar'!$A$5:$A$14,$F15,'Team Calendar'!$C$5:$C$14,Y$4,'Team Calendar'!$F$5:$F$14,"Personal absence")=0),1,"")</x:f>
        <x:v>1</x:v>
      </x:c>
      <x:c r="Z15" s="207" t="str">
        <x:f>IF(AND(ISNUMBER($D15),ISNUMBER($E15),Z$4&gt;=$D15,Z$4&lt;=$E15,NETWORKDAYS(Z$4,Z$4,'Sources &amp; Change Log'!$J$2:$J$5)=1,COUNTIFS('Team Calendar'!$A$5:$A$14,$F15,'Team Calendar'!$C$5:$C$14,Z$4,'Team Calendar'!$F$5:$F$14,"Personal absence")=0),1,"")</x:f>
      </x:c>
      <x:c r="AA15" s="207" t="str">
        <x:f>IF(AND(ISNUMBER($D15),ISNUMBER($E15),AA$4&gt;=$D15,AA$4&lt;=$E15,NETWORKDAYS(AA$4,AA$4,'Sources &amp; Change Log'!$J$2:$J$5)=1,COUNTIFS('Team Calendar'!$A$5:$A$14,$F15,'Team Calendar'!$C$5:$C$14,AA$4,'Team Calendar'!$F$5:$F$14,"Personal absence")=0),1,"")</x:f>
      </x:c>
      <x:c r="AB15" s="207" t="n">
        <x:f>IF(AND(ISNUMBER($D15),ISNUMBER($E15),AB$4&gt;=$D15,AB$4&lt;=$E15,NETWORKDAYS(AB$4,AB$4,'Sources &amp; Change Log'!$J$2:$J$5)=1,COUNTIFS('Team Calendar'!$A$5:$A$14,$F15,'Team Calendar'!$C$5:$C$14,AB$4,'Team Calendar'!$F$5:$F$14,"Personal absence")=0),1,"")</x:f>
        <x:v>1</x:v>
      </x:c>
      <x:c r="AC15" s="207" t="str">
        <x:f>IF(AND(ISNUMBER($D15),ISNUMBER($E15),AC$4&gt;=$D15,AC$4&lt;=$E15,NETWORKDAYS(AC$4,AC$4,'Sources &amp; Change Log'!$J$2:$J$5)=1,COUNTIFS('Team Calendar'!$A$5:$A$14,$F15,'Team Calendar'!$C$5:$C$14,AC$4,'Team Calendar'!$F$5:$F$14,"Personal absence")=0),1,"")</x:f>
      </x:c>
      <x:c r="AD15" s="207" t="str">
        <x:f>IF(AND(ISNUMBER($D15),ISNUMBER($E15),AD$4&gt;=$D15,AD$4&lt;=$E15,NETWORKDAYS(AD$4,AD$4,'Sources &amp; Change Log'!$J$2:$J$5)=1,COUNTIFS('Team Calendar'!$A$5:$A$14,$F15,'Team Calendar'!$C$5:$C$14,AD$4,'Team Calendar'!$F$5:$F$14,"Personal absence")=0),1,"")</x:f>
      </x:c>
      <x:c r="AE15" s="207" t="str">
        <x:f>IF(AND(ISNUMBER($D15),ISNUMBER($E15),AE$4&gt;=$D15,AE$4&lt;=$E15,NETWORKDAYS(AE$4,AE$4,'Sources &amp; Change Log'!$J$2:$J$5)=1,COUNTIFS('Team Calendar'!$A$5:$A$14,$F15,'Team Calendar'!$C$5:$C$14,AE$4,'Team Calendar'!$F$5:$F$14,"Personal absence")=0),1,"")</x:f>
      </x:c>
      <x:c r="AF15" s="207" t="str">
        <x:f>IF(AND(ISNUMBER($D15),ISNUMBER($E15),AF$4&gt;=$D15,AF$4&lt;=$E15,NETWORKDAYS(AF$4,AF$4,'Sources &amp; Change Log'!$J$2:$J$5)=1,COUNTIFS('Team Calendar'!$A$5:$A$14,$F15,'Team Calendar'!$C$5:$C$14,AF$4,'Team Calendar'!$F$5:$F$14,"Personal absence")=0),1,"")</x:f>
      </x:c>
      <x:c r="AG15" s="207" t="str">
        <x:f>IF(AND(ISNUMBER($D15),ISNUMBER($E15),AG$4&gt;=$D15,AG$4&lt;=$E15,NETWORKDAYS(AG$4,AG$4,'Sources &amp; Change Log'!$J$2:$J$5)=1,COUNTIFS('Team Calendar'!$A$5:$A$14,$F15,'Team Calendar'!$C$5:$C$14,AG$4,'Team Calendar'!$F$5:$F$14,"Personal absence")=0),1,"")</x:f>
      </x:c>
      <x:c r="AH15" s="207" t="str">
        <x:f>IF(AND(ISNUMBER($D15),ISNUMBER($E15),AH$4&gt;=$D15,AH$4&lt;=$E15,NETWORKDAYS(AH$4,AH$4,'Sources &amp; Change Log'!$J$2:$J$5)=1,COUNTIFS('Team Calendar'!$A$5:$A$14,$F15,'Team Calendar'!$C$5:$C$14,AH$4,'Team Calendar'!$F$5:$F$14,"Personal absence")=0),1,"")</x:f>
      </x:c>
      <x:c r="AI15" s="207" t="str">
        <x:f>IF(AND(ISNUMBER($D15),ISNUMBER($E15),AI$4&gt;=$D15,AI$4&lt;=$E15,NETWORKDAYS(AI$4,AI$4,'Sources &amp; Change Log'!$J$2:$J$5)=1,COUNTIFS('Team Calendar'!$A$5:$A$14,$F15,'Team Calendar'!$C$5:$C$14,AI$4,'Team Calendar'!$F$5:$F$14,"Personal absence")=0),1,"")</x:f>
      </x:c>
      <x:c r="AJ15" s="206"/>
      <x:c r="AK15" s="206"/>
      <x:c r="AL15" s="206"/>
      <x:c r="AM15" s="206"/>
      <x:c r="AN15" s="206"/>
      <x:c r="AO15" s="206"/>
      <x:c r="AP15" s="206"/>
      <x:c r="AQ15" s="206"/>
      <x:c r="AR15" s="206"/>
      <x:c r="AS15" s="206"/>
      <x:c r="AT15" s="206"/>
      <x:c r="AU15" s="206"/>
      <x:c r="AV15" s="206"/>
      <x:c r="AW15" s="206"/>
      <x:c r="AX15" s="206"/>
      <x:c r="AY15" s="206"/>
      <x:c r="AZ15" s="206"/>
    </x:row>
    <x:row r="16" ht="30" customHeight="1">
      <x:c r="A16" s="195" t="str">
        <x:f>WBS!A42</x:f>
        <x:v>P2-OADP-01</x:v>
      </x:c>
      <x:c r="B16" s="195" t="str">
        <x:f>WBS!B42</x:f>
        <x:v>OADP / S3 Backup</x:v>
      </x:c>
      <x:c r="C16" s="195" t="str">
        <x:f>WBS!G42</x:f>
        <x:v>To Do</x:v>
      </x:c>
      <x:c r="D16" s="225" t="n">
        <x:f>WBS!H42</x:f>
        <x:v>0</x:v>
      </x:c>
      <x:c r="E16" s="225" t="n">
        <x:f>WBS!I42</x:f>
        <x:v>0</x:v>
      </x:c>
      <x:c r="F16" s="13" t="str">
        <x:f>WBS!L42</x:f>
        <x:v>이하영</x:v>
      </x:c>
      <x:c r="G16" s="207" t="str">
        <x:f>IF(AND(ISNUMBER($D16),ISNUMBER($E16),G$4&gt;=$D16,G$4&lt;=$E16,NETWORKDAYS(G$4,G$4,'Sources &amp; Change Log'!$J$2:$J$5)=1,COUNTIFS('Team Calendar'!$A$5:$A$14,$F16,'Team Calendar'!$C$5:$C$14,G$4,'Team Calendar'!$F$5:$F$14,"Personal absence")=0),1,"")</x:f>
      </x:c>
      <x:c r="H16" s="207" t="str">
        <x:f>IF(AND(ISNUMBER($D16),ISNUMBER($E16),H$4&gt;=$D16,H$4&lt;=$E16,NETWORKDAYS(H$4,H$4,'Sources &amp; Change Log'!$J$2:$J$5)=1,COUNTIFS('Team Calendar'!$A$5:$A$14,$F16,'Team Calendar'!$C$5:$C$14,H$4,'Team Calendar'!$F$5:$F$14,"Personal absence")=0),1,"")</x:f>
      </x:c>
      <x:c r="I16" s="207" t="str">
        <x:f>IF(AND(ISNUMBER($D16),ISNUMBER($E16),I$4&gt;=$D16,I$4&lt;=$E16,NETWORKDAYS(I$4,I$4,'Sources &amp; Change Log'!$J$2:$J$5)=1,COUNTIFS('Team Calendar'!$A$5:$A$14,$F16,'Team Calendar'!$C$5:$C$14,I$4,'Team Calendar'!$F$5:$F$14,"Personal absence")=0),1,"")</x:f>
      </x:c>
      <x:c r="J16" s="207" t="str">
        <x:f>IF(AND(ISNUMBER($D16),ISNUMBER($E16),J$4&gt;=$D16,J$4&lt;=$E16,NETWORKDAYS(J$4,J$4,'Sources &amp; Change Log'!$J$2:$J$5)=1,COUNTIFS('Team Calendar'!$A$5:$A$14,$F16,'Team Calendar'!$C$5:$C$14,J$4,'Team Calendar'!$F$5:$F$14,"Personal absence")=0),1,"")</x:f>
      </x:c>
      <x:c r="K16" s="207" t="str">
        <x:f>IF(AND(ISNUMBER($D16),ISNUMBER($E16),K$4&gt;=$D16,K$4&lt;=$E16,NETWORKDAYS(K$4,K$4,'Sources &amp; Change Log'!$J$2:$J$5)=1,COUNTIFS('Team Calendar'!$A$5:$A$14,$F16,'Team Calendar'!$C$5:$C$14,K$4,'Team Calendar'!$F$5:$F$14,"Personal absence")=0),1,"")</x:f>
      </x:c>
      <x:c r="L16" s="207" t="str">
        <x:f>IF(AND(ISNUMBER($D16),ISNUMBER($E16),L$4&gt;=$D16,L$4&lt;=$E16,NETWORKDAYS(L$4,L$4,'Sources &amp; Change Log'!$J$2:$J$5)=1,COUNTIFS('Team Calendar'!$A$5:$A$14,$F16,'Team Calendar'!$C$5:$C$14,L$4,'Team Calendar'!$F$5:$F$14,"Personal absence")=0),1,"")</x:f>
      </x:c>
      <x:c r="M16" s="207" t="str">
        <x:f>IF(AND(ISNUMBER($D16),ISNUMBER($E16),M$4&gt;=$D16,M$4&lt;=$E16,NETWORKDAYS(M$4,M$4,'Sources &amp; Change Log'!$J$2:$J$5)=1,COUNTIFS('Team Calendar'!$A$5:$A$14,$F16,'Team Calendar'!$C$5:$C$14,M$4,'Team Calendar'!$F$5:$F$14,"Personal absence")=0),1,"")</x:f>
      </x:c>
      <x:c r="N16" s="207" t="str">
        <x:f>IF(AND(ISNUMBER($D16),ISNUMBER($E16),N$4&gt;=$D16,N$4&lt;=$E16,NETWORKDAYS(N$4,N$4,'Sources &amp; Change Log'!$J$2:$J$5)=1,COUNTIFS('Team Calendar'!$A$5:$A$14,$F16,'Team Calendar'!$C$5:$C$14,N$4,'Team Calendar'!$F$5:$F$14,"Personal absence")=0),1,"")</x:f>
      </x:c>
      <x:c r="O16" s="207" t="str">
        <x:f>IF(AND(ISNUMBER($D16),ISNUMBER($E16),O$4&gt;=$D16,O$4&lt;=$E16,NETWORKDAYS(O$4,O$4,'Sources &amp; Change Log'!$J$2:$J$5)=1,COUNTIFS('Team Calendar'!$A$5:$A$14,$F16,'Team Calendar'!$C$5:$C$14,O$4,'Team Calendar'!$F$5:$F$14,"Personal absence")=0),1,"")</x:f>
      </x:c>
      <x:c r="P16" s="207" t="str">
        <x:f>IF(AND(ISNUMBER($D16),ISNUMBER($E16),P$4&gt;=$D16,P$4&lt;=$E16,NETWORKDAYS(P$4,P$4,'Sources &amp; Change Log'!$J$2:$J$5)=1,COUNTIFS('Team Calendar'!$A$5:$A$14,$F16,'Team Calendar'!$C$5:$C$14,P$4,'Team Calendar'!$F$5:$F$14,"Personal absence")=0),1,"")</x:f>
      </x:c>
      <x:c r="Q16" s="207" t="str">
        <x:f>IF(AND(ISNUMBER($D16),ISNUMBER($E16),Q$4&gt;=$D16,Q$4&lt;=$E16,NETWORKDAYS(Q$4,Q$4,'Sources &amp; Change Log'!$J$2:$J$5)=1,COUNTIFS('Team Calendar'!$A$5:$A$14,$F16,'Team Calendar'!$C$5:$C$14,Q$4,'Team Calendar'!$F$5:$F$14,"Personal absence")=0),1,"")</x:f>
      </x:c>
      <x:c r="R16" s="207" t="str">
        <x:f>IF(AND(ISNUMBER($D16),ISNUMBER($E16),R$4&gt;=$D16,R$4&lt;=$E16,NETWORKDAYS(R$4,R$4,'Sources &amp; Change Log'!$J$2:$J$5)=1,COUNTIFS('Team Calendar'!$A$5:$A$14,$F16,'Team Calendar'!$C$5:$C$14,R$4,'Team Calendar'!$F$5:$F$14,"Personal absence")=0),1,"")</x:f>
      </x:c>
      <x:c r="S16" s="207" t="str">
        <x:f>IF(AND(ISNUMBER($D16),ISNUMBER($E16),S$4&gt;=$D16,S$4&lt;=$E16,NETWORKDAYS(S$4,S$4,'Sources &amp; Change Log'!$J$2:$J$5)=1,COUNTIFS('Team Calendar'!$A$5:$A$14,$F16,'Team Calendar'!$C$5:$C$14,S$4,'Team Calendar'!$F$5:$F$14,"Personal absence")=0),1,"")</x:f>
      </x:c>
      <x:c r="T16" s="207" t="str">
        <x:f>IF(AND(ISNUMBER($D16),ISNUMBER($E16),T$4&gt;=$D16,T$4&lt;=$E16,NETWORKDAYS(T$4,T$4,'Sources &amp; Change Log'!$J$2:$J$5)=1,COUNTIFS('Team Calendar'!$A$5:$A$14,$F16,'Team Calendar'!$C$5:$C$14,T$4,'Team Calendar'!$F$5:$F$14,"Personal absence")=0),1,"")</x:f>
      </x:c>
      <x:c r="U16" s="207" t="str">
        <x:f>IF(AND(ISNUMBER($D16),ISNUMBER($E16),U$4&gt;=$D16,U$4&lt;=$E16,NETWORKDAYS(U$4,U$4,'Sources &amp; Change Log'!$J$2:$J$5)=1,COUNTIFS('Team Calendar'!$A$5:$A$14,$F16,'Team Calendar'!$C$5:$C$14,U$4,'Team Calendar'!$F$5:$F$14,"Personal absence")=0),1,"")</x:f>
      </x:c>
      <x:c r="V16" s="207" t="str">
        <x:f>IF(AND(ISNUMBER($D16),ISNUMBER($E16),V$4&gt;=$D16,V$4&lt;=$E16,NETWORKDAYS(V$4,V$4,'Sources &amp; Change Log'!$J$2:$J$5)=1,COUNTIFS('Team Calendar'!$A$5:$A$14,$F16,'Team Calendar'!$C$5:$C$14,V$4,'Team Calendar'!$F$5:$F$14,"Personal absence")=0),1,"")</x:f>
      </x:c>
      <x:c r="W16" s="207" t="str">
        <x:f>IF(AND(ISNUMBER($D16),ISNUMBER($E16),W$4&gt;=$D16,W$4&lt;=$E16,NETWORKDAYS(W$4,W$4,'Sources &amp; Change Log'!$J$2:$J$5)=1,COUNTIFS('Team Calendar'!$A$5:$A$14,$F16,'Team Calendar'!$C$5:$C$14,W$4,'Team Calendar'!$F$5:$F$14,"Personal absence")=0),1,"")</x:f>
      </x:c>
      <x:c r="X16" s="207" t="str">
        <x:f>IF(AND(ISNUMBER($D16),ISNUMBER($E16),X$4&gt;=$D16,X$4&lt;=$E16,NETWORKDAYS(X$4,X$4,'Sources &amp; Change Log'!$J$2:$J$5)=1,COUNTIFS('Team Calendar'!$A$5:$A$14,$F16,'Team Calendar'!$C$5:$C$14,X$4,'Team Calendar'!$F$5:$F$14,"Personal absence")=0),1,"")</x:f>
      </x:c>
      <x:c r="Y16" s="207" t="str">
        <x:f>IF(AND(ISNUMBER($D16),ISNUMBER($E16),Y$4&gt;=$D16,Y$4&lt;=$E16,NETWORKDAYS(Y$4,Y$4,'Sources &amp; Change Log'!$J$2:$J$5)=1,COUNTIFS('Team Calendar'!$A$5:$A$14,$F16,'Team Calendar'!$C$5:$C$14,Y$4,'Team Calendar'!$F$5:$F$14,"Personal absence")=0),1,"")</x:f>
      </x:c>
      <x:c r="Z16" s="207" t="str">
        <x:f>IF(AND(ISNUMBER($D16),ISNUMBER($E16),Z$4&gt;=$D16,Z$4&lt;=$E16,NETWORKDAYS(Z$4,Z$4,'Sources &amp; Change Log'!$J$2:$J$5)=1,COUNTIFS('Team Calendar'!$A$5:$A$14,$F16,'Team Calendar'!$C$5:$C$14,Z$4,'Team Calendar'!$F$5:$F$14,"Personal absence")=0),1,"")</x:f>
      </x:c>
      <x:c r="AA16" s="207" t="str">
        <x:f>IF(AND(ISNUMBER($D16),ISNUMBER($E16),AA$4&gt;=$D16,AA$4&lt;=$E16,NETWORKDAYS(AA$4,AA$4,'Sources &amp; Change Log'!$J$2:$J$5)=1,COUNTIFS('Team Calendar'!$A$5:$A$14,$F16,'Team Calendar'!$C$5:$C$14,AA$4,'Team Calendar'!$F$5:$F$14,"Personal absence")=0),1,"")</x:f>
      </x:c>
      <x:c r="AB16" s="207" t="str">
        <x:f>IF(AND(ISNUMBER($D16),ISNUMBER($E16),AB$4&gt;=$D16,AB$4&lt;=$E16,NETWORKDAYS(AB$4,AB$4,'Sources &amp; Change Log'!$J$2:$J$5)=1,COUNTIFS('Team Calendar'!$A$5:$A$14,$F16,'Team Calendar'!$C$5:$C$14,AB$4,'Team Calendar'!$F$5:$F$14,"Personal absence")=0),1,"")</x:f>
      </x:c>
      <x:c r="AC16" s="207" t="str">
        <x:f>IF(AND(ISNUMBER($D16),ISNUMBER($E16),AC$4&gt;=$D16,AC$4&lt;=$E16,NETWORKDAYS(AC$4,AC$4,'Sources &amp; Change Log'!$J$2:$J$5)=1,COUNTIFS('Team Calendar'!$A$5:$A$14,$F16,'Team Calendar'!$C$5:$C$14,AC$4,'Team Calendar'!$F$5:$F$14,"Personal absence")=0),1,"")</x:f>
      </x:c>
      <x:c r="AD16" s="207" t="str">
        <x:f>IF(AND(ISNUMBER($D16),ISNUMBER($E16),AD$4&gt;=$D16,AD$4&lt;=$E16,NETWORKDAYS(AD$4,AD$4,'Sources &amp; Change Log'!$J$2:$J$5)=1,COUNTIFS('Team Calendar'!$A$5:$A$14,$F16,'Team Calendar'!$C$5:$C$14,AD$4,'Team Calendar'!$F$5:$F$14,"Personal absence")=0),1,"")</x:f>
      </x:c>
      <x:c r="AE16" s="207" t="str">
        <x:f>IF(AND(ISNUMBER($D16),ISNUMBER($E16),AE$4&gt;=$D16,AE$4&lt;=$E16,NETWORKDAYS(AE$4,AE$4,'Sources &amp; Change Log'!$J$2:$J$5)=1,COUNTIFS('Team Calendar'!$A$5:$A$14,$F16,'Team Calendar'!$C$5:$C$14,AE$4,'Team Calendar'!$F$5:$F$14,"Personal absence")=0),1,"")</x:f>
      </x:c>
      <x:c r="AF16" s="207" t="str">
        <x:f>IF(AND(ISNUMBER($D16),ISNUMBER($E16),AF$4&gt;=$D16,AF$4&lt;=$E16,NETWORKDAYS(AF$4,AF$4,'Sources &amp; Change Log'!$J$2:$J$5)=1,COUNTIFS('Team Calendar'!$A$5:$A$14,$F16,'Team Calendar'!$C$5:$C$14,AF$4,'Team Calendar'!$F$5:$F$14,"Personal absence")=0),1,"")</x:f>
      </x:c>
      <x:c r="AG16" s="207" t="str">
        <x:f>IF(AND(ISNUMBER($D16),ISNUMBER($E16),AG$4&gt;=$D16,AG$4&lt;=$E16,NETWORKDAYS(AG$4,AG$4,'Sources &amp; Change Log'!$J$2:$J$5)=1,COUNTIFS('Team Calendar'!$A$5:$A$14,$F16,'Team Calendar'!$C$5:$C$14,AG$4,'Team Calendar'!$F$5:$F$14,"Personal absence")=0),1,"")</x:f>
      </x:c>
      <x:c r="AH16" s="207" t="str">
        <x:f>IF(AND(ISNUMBER($D16),ISNUMBER($E16),AH$4&gt;=$D16,AH$4&lt;=$E16,NETWORKDAYS(AH$4,AH$4,'Sources &amp; Change Log'!$J$2:$J$5)=1,COUNTIFS('Team Calendar'!$A$5:$A$14,$F16,'Team Calendar'!$C$5:$C$14,AH$4,'Team Calendar'!$F$5:$F$14,"Personal absence")=0),1,"")</x:f>
      </x:c>
      <x:c r="AI16" s="207" t="str">
        <x:f>IF(AND(ISNUMBER($D16),ISNUMBER($E16),AI$4&gt;=$D16,AI$4&lt;=$E16,NETWORKDAYS(AI$4,AI$4,'Sources &amp; Change Log'!$J$2:$J$5)=1,COUNTIFS('Team Calendar'!$A$5:$A$14,$F16,'Team Calendar'!$C$5:$C$14,AI$4,'Team Calendar'!$F$5:$F$14,"Personal absence")=0),1,"")</x:f>
      </x:c>
      <x:c r="AJ16" s="206"/>
      <x:c r="AK16" s="206"/>
      <x:c r="AL16" s="206"/>
      <x:c r="AM16" s="206"/>
      <x:c r="AN16" s="206"/>
      <x:c r="AO16" s="206"/>
      <x:c r="AP16" s="206"/>
      <x:c r="AQ16" s="206"/>
      <x:c r="AR16" s="206"/>
      <x:c r="AS16" s="206"/>
      <x:c r="AT16" s="206"/>
      <x:c r="AU16" s="206"/>
      <x:c r="AV16" s="206"/>
      <x:c r="AW16" s="206"/>
      <x:c r="AX16" s="206"/>
      <x:c r="AY16" s="206"/>
      <x:c r="AZ16" s="206"/>
    </x:row>
    <x:row r="17" ht="30" customHeight="1">
      <x:c r="A17" s="195" t="str">
        <x:f>WBS!A43</x:f>
        <x:v>MS-G5-01</x:v>
      </x:c>
      <x:c r="B17" s="195" t="str">
        <x:f>WBS!B43</x:f>
        <x:v>G5 ROSA Application Ready</x:v>
      </x:c>
      <x:c r="C17" s="195" t="str">
        <x:f>WBS!G43</x:f>
        <x:v>To Do</x:v>
      </x:c>
      <x:c r="D17" s="225" t="n">
        <x:f>WBS!H43</x:f>
        <x:v>46315</x:v>
      </x:c>
      <x:c r="E17" s="225" t="n">
        <x:f>WBS!I43</x:f>
        <x:v>46315</x:v>
      </x:c>
      <x:c r="F17" s="13" t="str">
        <x:f>WBS!L43</x:f>
        <x:v>이하영</x:v>
      </x:c>
      <x:c r="G17" s="207" t="str">
        <x:f>IF(AND(ISNUMBER($D17),ISNUMBER($E17),G$4&gt;=$D17,G$4&lt;=$E17,NETWORKDAYS(G$4,G$4,'Sources &amp; Change Log'!$J$2:$J$5)=1,COUNTIFS('Team Calendar'!$A$5:$A$14,$F17,'Team Calendar'!$C$5:$C$14,G$4,'Team Calendar'!$F$5:$F$14,"Personal absence")=0),1,"")</x:f>
      </x:c>
      <x:c r="H17" s="207" t="str">
        <x:f>IF(AND(ISNUMBER($D17),ISNUMBER($E17),H$4&gt;=$D17,H$4&lt;=$E17,NETWORKDAYS(H$4,H$4,'Sources &amp; Change Log'!$J$2:$J$5)=1,COUNTIFS('Team Calendar'!$A$5:$A$14,$F17,'Team Calendar'!$C$5:$C$14,H$4,'Team Calendar'!$F$5:$F$14,"Personal absence")=0),1,"")</x:f>
      </x:c>
      <x:c r="I17" s="207" t="str">
        <x:f>IF(AND(ISNUMBER($D17),ISNUMBER($E17),I$4&gt;=$D17,I$4&lt;=$E17,NETWORKDAYS(I$4,I$4,'Sources &amp; Change Log'!$J$2:$J$5)=1,COUNTIFS('Team Calendar'!$A$5:$A$14,$F17,'Team Calendar'!$C$5:$C$14,I$4,'Team Calendar'!$F$5:$F$14,"Personal absence")=0),1,"")</x:f>
      </x:c>
      <x:c r="J17" s="207" t="str">
        <x:f>IF(AND(ISNUMBER($D17),ISNUMBER($E17),J$4&gt;=$D17,J$4&lt;=$E17,NETWORKDAYS(J$4,J$4,'Sources &amp; Change Log'!$J$2:$J$5)=1,COUNTIFS('Team Calendar'!$A$5:$A$14,$F17,'Team Calendar'!$C$5:$C$14,J$4,'Team Calendar'!$F$5:$F$14,"Personal absence")=0),1,"")</x:f>
      </x:c>
      <x:c r="K17" s="207" t="str">
        <x:f>IF(AND(ISNUMBER($D17),ISNUMBER($E17),K$4&gt;=$D17,K$4&lt;=$E17,NETWORKDAYS(K$4,K$4,'Sources &amp; Change Log'!$J$2:$J$5)=1,COUNTIFS('Team Calendar'!$A$5:$A$14,$F17,'Team Calendar'!$C$5:$C$14,K$4,'Team Calendar'!$F$5:$F$14,"Personal absence")=0),1,"")</x:f>
      </x:c>
      <x:c r="L17" s="207" t="str">
        <x:f>IF(AND(ISNUMBER($D17),ISNUMBER($E17),L$4&gt;=$D17,L$4&lt;=$E17,NETWORKDAYS(L$4,L$4,'Sources &amp; Change Log'!$J$2:$J$5)=1,COUNTIFS('Team Calendar'!$A$5:$A$14,$F17,'Team Calendar'!$C$5:$C$14,L$4,'Team Calendar'!$F$5:$F$14,"Personal absence")=0),1,"")</x:f>
      </x:c>
      <x:c r="M17" s="207" t="str">
        <x:f>IF(AND(ISNUMBER($D17),ISNUMBER($E17),M$4&gt;=$D17,M$4&lt;=$E17,NETWORKDAYS(M$4,M$4,'Sources &amp; Change Log'!$J$2:$J$5)=1,COUNTIFS('Team Calendar'!$A$5:$A$14,$F17,'Team Calendar'!$C$5:$C$14,M$4,'Team Calendar'!$F$5:$F$14,"Personal absence")=0),1,"")</x:f>
      </x:c>
      <x:c r="N17" s="207" t="str">
        <x:f>IF(AND(ISNUMBER($D17),ISNUMBER($E17),N$4&gt;=$D17,N$4&lt;=$E17,NETWORKDAYS(N$4,N$4,'Sources &amp; Change Log'!$J$2:$J$5)=1,COUNTIFS('Team Calendar'!$A$5:$A$14,$F17,'Team Calendar'!$C$5:$C$14,N$4,'Team Calendar'!$F$5:$F$14,"Personal absence")=0),1,"")</x:f>
      </x:c>
      <x:c r="O17" s="207" t="str">
        <x:f>IF(AND(ISNUMBER($D17),ISNUMBER($E17),O$4&gt;=$D17,O$4&lt;=$E17,NETWORKDAYS(O$4,O$4,'Sources &amp; Change Log'!$J$2:$J$5)=1,COUNTIFS('Team Calendar'!$A$5:$A$14,$F17,'Team Calendar'!$C$5:$C$14,O$4,'Team Calendar'!$F$5:$F$14,"Personal absence")=0),1,"")</x:f>
      </x:c>
      <x:c r="P17" s="207" t="str">
        <x:f>IF(AND(ISNUMBER($D17),ISNUMBER($E17),P$4&gt;=$D17,P$4&lt;=$E17,NETWORKDAYS(P$4,P$4,'Sources &amp; Change Log'!$J$2:$J$5)=1,COUNTIFS('Team Calendar'!$A$5:$A$14,$F17,'Team Calendar'!$C$5:$C$14,P$4,'Team Calendar'!$F$5:$F$14,"Personal absence")=0),1,"")</x:f>
      </x:c>
      <x:c r="Q17" s="207" t="str">
        <x:f>IF(AND(ISNUMBER($D17),ISNUMBER($E17),Q$4&gt;=$D17,Q$4&lt;=$E17,NETWORKDAYS(Q$4,Q$4,'Sources &amp; Change Log'!$J$2:$J$5)=1,COUNTIFS('Team Calendar'!$A$5:$A$14,$F17,'Team Calendar'!$C$5:$C$14,Q$4,'Team Calendar'!$F$5:$F$14,"Personal absence")=0),1,"")</x:f>
      </x:c>
      <x:c r="R17" s="207" t="str">
        <x:f>IF(AND(ISNUMBER($D17),ISNUMBER($E17),R$4&gt;=$D17,R$4&lt;=$E17,NETWORKDAYS(R$4,R$4,'Sources &amp; Change Log'!$J$2:$J$5)=1,COUNTIFS('Team Calendar'!$A$5:$A$14,$F17,'Team Calendar'!$C$5:$C$14,R$4,'Team Calendar'!$F$5:$F$14,"Personal absence")=0),1,"")</x:f>
      </x:c>
      <x:c r="S17" s="207" t="str">
        <x:f>IF(AND(ISNUMBER($D17),ISNUMBER($E17),S$4&gt;=$D17,S$4&lt;=$E17,NETWORKDAYS(S$4,S$4,'Sources &amp; Change Log'!$J$2:$J$5)=1,COUNTIFS('Team Calendar'!$A$5:$A$14,$F17,'Team Calendar'!$C$5:$C$14,S$4,'Team Calendar'!$F$5:$F$14,"Personal absence")=0),1,"")</x:f>
      </x:c>
      <x:c r="T17" s="207" t="str">
        <x:f>IF(AND(ISNUMBER($D17),ISNUMBER($E17),T$4&gt;=$D17,T$4&lt;=$E17,NETWORKDAYS(T$4,T$4,'Sources &amp; Change Log'!$J$2:$J$5)=1,COUNTIFS('Team Calendar'!$A$5:$A$14,$F17,'Team Calendar'!$C$5:$C$14,T$4,'Team Calendar'!$F$5:$F$14,"Personal absence")=0),1,"")</x:f>
      </x:c>
      <x:c r="U17" s="207" t="str">
        <x:f>IF(AND(ISNUMBER($D17),ISNUMBER($E17),U$4&gt;=$D17,U$4&lt;=$E17,NETWORKDAYS(U$4,U$4,'Sources &amp; Change Log'!$J$2:$J$5)=1,COUNTIFS('Team Calendar'!$A$5:$A$14,$F17,'Team Calendar'!$C$5:$C$14,U$4,'Team Calendar'!$F$5:$F$14,"Personal absence")=0),1,"")</x:f>
      </x:c>
      <x:c r="V17" s="207" t="str">
        <x:f>IF(AND(ISNUMBER($D17),ISNUMBER($E17),V$4&gt;=$D17,V$4&lt;=$E17,NETWORKDAYS(V$4,V$4,'Sources &amp; Change Log'!$J$2:$J$5)=1,COUNTIFS('Team Calendar'!$A$5:$A$14,$F17,'Team Calendar'!$C$5:$C$14,V$4,'Team Calendar'!$F$5:$F$14,"Personal absence")=0),1,"")</x:f>
      </x:c>
      <x:c r="W17" s="207" t="str">
        <x:f>IF(AND(ISNUMBER($D17),ISNUMBER($E17),W$4&gt;=$D17,W$4&lt;=$E17,NETWORKDAYS(W$4,W$4,'Sources &amp; Change Log'!$J$2:$J$5)=1,COUNTIFS('Team Calendar'!$A$5:$A$14,$F17,'Team Calendar'!$C$5:$C$14,W$4,'Team Calendar'!$F$5:$F$14,"Personal absence")=0),1,"")</x:f>
      </x:c>
      <x:c r="X17" s="207" t="str">
        <x:f>IF(AND(ISNUMBER($D17),ISNUMBER($E17),X$4&gt;=$D17,X$4&lt;=$E17,NETWORKDAYS(X$4,X$4,'Sources &amp; Change Log'!$J$2:$J$5)=1,COUNTIFS('Team Calendar'!$A$5:$A$14,$F17,'Team Calendar'!$C$5:$C$14,X$4,'Team Calendar'!$F$5:$F$14,"Personal absence")=0),1,"")</x:f>
      </x:c>
      <x:c r="Y17" s="207" t="str">
        <x:f>IF(AND(ISNUMBER($D17),ISNUMBER($E17),Y$4&gt;=$D17,Y$4&lt;=$E17,NETWORKDAYS(Y$4,Y$4,'Sources &amp; Change Log'!$J$2:$J$5)=1,COUNTIFS('Team Calendar'!$A$5:$A$14,$F17,'Team Calendar'!$C$5:$C$14,Y$4,'Team Calendar'!$F$5:$F$14,"Personal absence")=0),1,"")</x:f>
      </x:c>
      <x:c r="Z17" s="207" t="str">
        <x:f>IF(AND(ISNUMBER($D17),ISNUMBER($E17),Z$4&gt;=$D17,Z$4&lt;=$E17,NETWORKDAYS(Z$4,Z$4,'Sources &amp; Change Log'!$J$2:$J$5)=1,COUNTIFS('Team Calendar'!$A$5:$A$14,$F17,'Team Calendar'!$C$5:$C$14,Z$4,'Team Calendar'!$F$5:$F$14,"Personal absence")=0),1,"")</x:f>
      </x:c>
      <x:c r="AA17" s="207" t="str">
        <x:f>IF(AND(ISNUMBER($D17),ISNUMBER($E17),AA$4&gt;=$D17,AA$4&lt;=$E17,NETWORKDAYS(AA$4,AA$4,'Sources &amp; Change Log'!$J$2:$J$5)=1,COUNTIFS('Team Calendar'!$A$5:$A$14,$F17,'Team Calendar'!$C$5:$C$14,AA$4,'Team Calendar'!$F$5:$F$14,"Personal absence")=0),1,"")</x:f>
      </x:c>
      <x:c r="AB17" s="207" t="str">
        <x:f>IF(AND(ISNUMBER($D17),ISNUMBER($E17),AB$4&gt;=$D17,AB$4&lt;=$E17,NETWORKDAYS(AB$4,AB$4,'Sources &amp; Change Log'!$J$2:$J$5)=1,COUNTIFS('Team Calendar'!$A$5:$A$14,$F17,'Team Calendar'!$C$5:$C$14,AB$4,'Team Calendar'!$F$5:$F$14,"Personal absence")=0),1,"")</x:f>
      </x:c>
      <x:c r="AC17" s="207" t="n">
        <x:f>IF(AND(ISNUMBER($D17),ISNUMBER($E17),AC$4&gt;=$D17,AC$4&lt;=$E17,NETWORKDAYS(AC$4,AC$4,'Sources &amp; Change Log'!$J$2:$J$5)=1,COUNTIFS('Team Calendar'!$A$5:$A$14,$F17,'Team Calendar'!$C$5:$C$14,AC$4,'Team Calendar'!$F$5:$F$14,"Personal absence")=0),1,"")</x:f>
        <x:v>1</x:v>
      </x:c>
      <x:c r="AD17" s="207" t="str">
        <x:f>IF(AND(ISNUMBER($D17),ISNUMBER($E17),AD$4&gt;=$D17,AD$4&lt;=$E17,NETWORKDAYS(AD$4,AD$4,'Sources &amp; Change Log'!$J$2:$J$5)=1,COUNTIFS('Team Calendar'!$A$5:$A$14,$F17,'Team Calendar'!$C$5:$C$14,AD$4,'Team Calendar'!$F$5:$F$14,"Personal absence")=0),1,"")</x:f>
      </x:c>
      <x:c r="AE17" s="207" t="str">
        <x:f>IF(AND(ISNUMBER($D17),ISNUMBER($E17),AE$4&gt;=$D17,AE$4&lt;=$E17,NETWORKDAYS(AE$4,AE$4,'Sources &amp; Change Log'!$J$2:$J$5)=1,COUNTIFS('Team Calendar'!$A$5:$A$14,$F17,'Team Calendar'!$C$5:$C$14,AE$4,'Team Calendar'!$F$5:$F$14,"Personal absence")=0),1,"")</x:f>
      </x:c>
      <x:c r="AF17" s="207" t="str">
        <x:f>IF(AND(ISNUMBER($D17),ISNUMBER($E17),AF$4&gt;=$D17,AF$4&lt;=$E17,NETWORKDAYS(AF$4,AF$4,'Sources &amp; Change Log'!$J$2:$J$5)=1,COUNTIFS('Team Calendar'!$A$5:$A$14,$F17,'Team Calendar'!$C$5:$C$14,AF$4,'Team Calendar'!$F$5:$F$14,"Personal absence")=0),1,"")</x:f>
      </x:c>
      <x:c r="AG17" s="207" t="str">
        <x:f>IF(AND(ISNUMBER($D17),ISNUMBER($E17),AG$4&gt;=$D17,AG$4&lt;=$E17,NETWORKDAYS(AG$4,AG$4,'Sources &amp; Change Log'!$J$2:$J$5)=1,COUNTIFS('Team Calendar'!$A$5:$A$14,$F17,'Team Calendar'!$C$5:$C$14,AG$4,'Team Calendar'!$F$5:$F$14,"Personal absence")=0),1,"")</x:f>
      </x:c>
      <x:c r="AH17" s="207" t="str">
        <x:f>IF(AND(ISNUMBER($D17),ISNUMBER($E17),AH$4&gt;=$D17,AH$4&lt;=$E17,NETWORKDAYS(AH$4,AH$4,'Sources &amp; Change Log'!$J$2:$J$5)=1,COUNTIFS('Team Calendar'!$A$5:$A$14,$F17,'Team Calendar'!$C$5:$C$14,AH$4,'Team Calendar'!$F$5:$F$14,"Personal absence")=0),1,"")</x:f>
      </x:c>
      <x:c r="AI17" s="207" t="str">
        <x:f>IF(AND(ISNUMBER($D17),ISNUMBER($E17),AI$4&gt;=$D17,AI$4&lt;=$E17,NETWORKDAYS(AI$4,AI$4,'Sources &amp; Change Log'!$J$2:$J$5)=1,COUNTIFS('Team Calendar'!$A$5:$A$14,$F17,'Team Calendar'!$C$5:$C$14,AI$4,'Team Calendar'!$F$5:$F$14,"Personal absence")=0),1,"")</x:f>
      </x:c>
      <x:c r="AJ17" s="206"/>
      <x:c r="AK17" s="206"/>
      <x:c r="AL17" s="206"/>
      <x:c r="AM17" s="206"/>
      <x:c r="AN17" s="206"/>
      <x:c r="AO17" s="206"/>
      <x:c r="AP17" s="206"/>
      <x:c r="AQ17" s="206"/>
      <x:c r="AR17" s="206"/>
      <x:c r="AS17" s="206"/>
      <x:c r="AT17" s="206"/>
      <x:c r="AU17" s="206"/>
      <x:c r="AV17" s="206"/>
      <x:c r="AW17" s="206"/>
      <x:c r="AX17" s="206"/>
      <x:c r="AY17" s="206"/>
      <x:c r="AZ17" s="206"/>
    </x:row>
    <x:row r="18" ht="30" customHeight="1">
      <x:c r="A18" s="195" t="str">
        <x:f>WBS!A44</x:f>
        <x:v>P2-CICD-01</x:v>
      </x:c>
      <x:c r="B18" s="195" t="str">
        <x:f>WBS!B44</x:f>
        <x:v>Runner to ROSA Delivery</x:v>
      </x:c>
      <x:c r="C18" s="195" t="str">
        <x:f>WBS!G44</x:f>
        <x:v>To Do</x:v>
      </x:c>
      <x:c r="D18" s="225" t="n">
        <x:f>WBS!H44</x:f>
        <x:v>46315</x:v>
      </x:c>
      <x:c r="E18" s="225" t="n">
        <x:f>WBS!I44</x:f>
        <x:v>46315</x:v>
      </x:c>
      <x:c r="F18" s="13" t="str">
        <x:f>WBS!L44</x:f>
        <x:v>이권욱</x:v>
      </x:c>
      <x:c r="G18" s="207" t="str">
        <x:f>IF(AND(ISNUMBER($D18),ISNUMBER($E18),G$4&gt;=$D18,G$4&lt;=$E18,NETWORKDAYS(G$4,G$4,'Sources &amp; Change Log'!$J$2:$J$5)=1,COUNTIFS('Team Calendar'!$A$5:$A$14,$F18,'Team Calendar'!$C$5:$C$14,G$4,'Team Calendar'!$F$5:$F$14,"Personal absence")=0),1,"")</x:f>
      </x:c>
      <x:c r="H18" s="207" t="str">
        <x:f>IF(AND(ISNUMBER($D18),ISNUMBER($E18),H$4&gt;=$D18,H$4&lt;=$E18,NETWORKDAYS(H$4,H$4,'Sources &amp; Change Log'!$J$2:$J$5)=1,COUNTIFS('Team Calendar'!$A$5:$A$14,$F18,'Team Calendar'!$C$5:$C$14,H$4,'Team Calendar'!$F$5:$F$14,"Personal absence")=0),1,"")</x:f>
      </x:c>
      <x:c r="I18" s="207" t="str">
        <x:f>IF(AND(ISNUMBER($D18),ISNUMBER($E18),I$4&gt;=$D18,I$4&lt;=$E18,NETWORKDAYS(I$4,I$4,'Sources &amp; Change Log'!$J$2:$J$5)=1,COUNTIFS('Team Calendar'!$A$5:$A$14,$F18,'Team Calendar'!$C$5:$C$14,I$4,'Team Calendar'!$F$5:$F$14,"Personal absence")=0),1,"")</x:f>
      </x:c>
      <x:c r="J18" s="207" t="str">
        <x:f>IF(AND(ISNUMBER($D18),ISNUMBER($E18),J$4&gt;=$D18,J$4&lt;=$E18,NETWORKDAYS(J$4,J$4,'Sources &amp; Change Log'!$J$2:$J$5)=1,COUNTIFS('Team Calendar'!$A$5:$A$14,$F18,'Team Calendar'!$C$5:$C$14,J$4,'Team Calendar'!$F$5:$F$14,"Personal absence")=0),1,"")</x:f>
      </x:c>
      <x:c r="K18" s="207" t="str">
        <x:f>IF(AND(ISNUMBER($D18),ISNUMBER($E18),K$4&gt;=$D18,K$4&lt;=$E18,NETWORKDAYS(K$4,K$4,'Sources &amp; Change Log'!$J$2:$J$5)=1,COUNTIFS('Team Calendar'!$A$5:$A$14,$F18,'Team Calendar'!$C$5:$C$14,K$4,'Team Calendar'!$F$5:$F$14,"Personal absence")=0),1,"")</x:f>
      </x:c>
      <x:c r="L18" s="207" t="str">
        <x:f>IF(AND(ISNUMBER($D18),ISNUMBER($E18),L$4&gt;=$D18,L$4&lt;=$E18,NETWORKDAYS(L$4,L$4,'Sources &amp; Change Log'!$J$2:$J$5)=1,COUNTIFS('Team Calendar'!$A$5:$A$14,$F18,'Team Calendar'!$C$5:$C$14,L$4,'Team Calendar'!$F$5:$F$14,"Personal absence")=0),1,"")</x:f>
      </x:c>
      <x:c r="M18" s="207" t="str">
        <x:f>IF(AND(ISNUMBER($D18),ISNUMBER($E18),M$4&gt;=$D18,M$4&lt;=$E18,NETWORKDAYS(M$4,M$4,'Sources &amp; Change Log'!$J$2:$J$5)=1,COUNTIFS('Team Calendar'!$A$5:$A$14,$F18,'Team Calendar'!$C$5:$C$14,M$4,'Team Calendar'!$F$5:$F$14,"Personal absence")=0),1,"")</x:f>
      </x:c>
      <x:c r="N18" s="207" t="str">
        <x:f>IF(AND(ISNUMBER($D18),ISNUMBER($E18),N$4&gt;=$D18,N$4&lt;=$E18,NETWORKDAYS(N$4,N$4,'Sources &amp; Change Log'!$J$2:$J$5)=1,COUNTIFS('Team Calendar'!$A$5:$A$14,$F18,'Team Calendar'!$C$5:$C$14,N$4,'Team Calendar'!$F$5:$F$14,"Personal absence")=0),1,"")</x:f>
      </x:c>
      <x:c r="O18" s="207" t="str">
        <x:f>IF(AND(ISNUMBER($D18),ISNUMBER($E18),O$4&gt;=$D18,O$4&lt;=$E18,NETWORKDAYS(O$4,O$4,'Sources &amp; Change Log'!$J$2:$J$5)=1,COUNTIFS('Team Calendar'!$A$5:$A$14,$F18,'Team Calendar'!$C$5:$C$14,O$4,'Team Calendar'!$F$5:$F$14,"Personal absence")=0),1,"")</x:f>
      </x:c>
      <x:c r="P18" s="207" t="str">
        <x:f>IF(AND(ISNUMBER($D18),ISNUMBER($E18),P$4&gt;=$D18,P$4&lt;=$E18,NETWORKDAYS(P$4,P$4,'Sources &amp; Change Log'!$J$2:$J$5)=1,COUNTIFS('Team Calendar'!$A$5:$A$14,$F18,'Team Calendar'!$C$5:$C$14,P$4,'Team Calendar'!$F$5:$F$14,"Personal absence")=0),1,"")</x:f>
      </x:c>
      <x:c r="Q18" s="207" t="str">
        <x:f>IF(AND(ISNUMBER($D18),ISNUMBER($E18),Q$4&gt;=$D18,Q$4&lt;=$E18,NETWORKDAYS(Q$4,Q$4,'Sources &amp; Change Log'!$J$2:$J$5)=1,COUNTIFS('Team Calendar'!$A$5:$A$14,$F18,'Team Calendar'!$C$5:$C$14,Q$4,'Team Calendar'!$F$5:$F$14,"Personal absence")=0),1,"")</x:f>
      </x:c>
      <x:c r="R18" s="207" t="str">
        <x:f>IF(AND(ISNUMBER($D18),ISNUMBER($E18),R$4&gt;=$D18,R$4&lt;=$E18,NETWORKDAYS(R$4,R$4,'Sources &amp; Change Log'!$J$2:$J$5)=1,COUNTIFS('Team Calendar'!$A$5:$A$14,$F18,'Team Calendar'!$C$5:$C$14,R$4,'Team Calendar'!$F$5:$F$14,"Personal absence")=0),1,"")</x:f>
      </x:c>
      <x:c r="S18" s="207" t="str">
        <x:f>IF(AND(ISNUMBER($D18),ISNUMBER($E18),S$4&gt;=$D18,S$4&lt;=$E18,NETWORKDAYS(S$4,S$4,'Sources &amp; Change Log'!$J$2:$J$5)=1,COUNTIFS('Team Calendar'!$A$5:$A$14,$F18,'Team Calendar'!$C$5:$C$14,S$4,'Team Calendar'!$F$5:$F$14,"Personal absence")=0),1,"")</x:f>
      </x:c>
      <x:c r="T18" s="207" t="str">
        <x:f>IF(AND(ISNUMBER($D18),ISNUMBER($E18),T$4&gt;=$D18,T$4&lt;=$E18,NETWORKDAYS(T$4,T$4,'Sources &amp; Change Log'!$J$2:$J$5)=1,COUNTIFS('Team Calendar'!$A$5:$A$14,$F18,'Team Calendar'!$C$5:$C$14,T$4,'Team Calendar'!$F$5:$F$14,"Personal absence")=0),1,"")</x:f>
      </x:c>
      <x:c r="U18" s="207" t="str">
        <x:f>IF(AND(ISNUMBER($D18),ISNUMBER($E18),U$4&gt;=$D18,U$4&lt;=$E18,NETWORKDAYS(U$4,U$4,'Sources &amp; Change Log'!$J$2:$J$5)=1,COUNTIFS('Team Calendar'!$A$5:$A$14,$F18,'Team Calendar'!$C$5:$C$14,U$4,'Team Calendar'!$F$5:$F$14,"Personal absence")=0),1,"")</x:f>
      </x:c>
      <x:c r="V18" s="207" t="str">
        <x:f>IF(AND(ISNUMBER($D18),ISNUMBER($E18),V$4&gt;=$D18,V$4&lt;=$E18,NETWORKDAYS(V$4,V$4,'Sources &amp; Change Log'!$J$2:$J$5)=1,COUNTIFS('Team Calendar'!$A$5:$A$14,$F18,'Team Calendar'!$C$5:$C$14,V$4,'Team Calendar'!$F$5:$F$14,"Personal absence")=0),1,"")</x:f>
      </x:c>
      <x:c r="W18" s="207" t="str">
        <x:f>IF(AND(ISNUMBER($D18),ISNUMBER($E18),W$4&gt;=$D18,W$4&lt;=$E18,NETWORKDAYS(W$4,W$4,'Sources &amp; Change Log'!$J$2:$J$5)=1,COUNTIFS('Team Calendar'!$A$5:$A$14,$F18,'Team Calendar'!$C$5:$C$14,W$4,'Team Calendar'!$F$5:$F$14,"Personal absence")=0),1,"")</x:f>
      </x:c>
      <x:c r="X18" s="207" t="str">
        <x:f>IF(AND(ISNUMBER($D18),ISNUMBER($E18),X$4&gt;=$D18,X$4&lt;=$E18,NETWORKDAYS(X$4,X$4,'Sources &amp; Change Log'!$J$2:$J$5)=1,COUNTIFS('Team Calendar'!$A$5:$A$14,$F18,'Team Calendar'!$C$5:$C$14,X$4,'Team Calendar'!$F$5:$F$14,"Personal absence")=0),1,"")</x:f>
      </x:c>
      <x:c r="Y18" s="207" t="str">
        <x:f>IF(AND(ISNUMBER($D18),ISNUMBER($E18),Y$4&gt;=$D18,Y$4&lt;=$E18,NETWORKDAYS(Y$4,Y$4,'Sources &amp; Change Log'!$J$2:$J$5)=1,COUNTIFS('Team Calendar'!$A$5:$A$14,$F18,'Team Calendar'!$C$5:$C$14,Y$4,'Team Calendar'!$F$5:$F$14,"Personal absence")=0),1,"")</x:f>
      </x:c>
      <x:c r="Z18" s="207" t="str">
        <x:f>IF(AND(ISNUMBER($D18),ISNUMBER($E18),Z$4&gt;=$D18,Z$4&lt;=$E18,NETWORKDAYS(Z$4,Z$4,'Sources &amp; Change Log'!$J$2:$J$5)=1,COUNTIFS('Team Calendar'!$A$5:$A$14,$F18,'Team Calendar'!$C$5:$C$14,Z$4,'Team Calendar'!$F$5:$F$14,"Personal absence")=0),1,"")</x:f>
      </x:c>
      <x:c r="AA18" s="207" t="str">
        <x:f>IF(AND(ISNUMBER($D18),ISNUMBER($E18),AA$4&gt;=$D18,AA$4&lt;=$E18,NETWORKDAYS(AA$4,AA$4,'Sources &amp; Change Log'!$J$2:$J$5)=1,COUNTIFS('Team Calendar'!$A$5:$A$14,$F18,'Team Calendar'!$C$5:$C$14,AA$4,'Team Calendar'!$F$5:$F$14,"Personal absence")=0),1,"")</x:f>
      </x:c>
      <x:c r="AB18" s="207" t="str">
        <x:f>IF(AND(ISNUMBER($D18),ISNUMBER($E18),AB$4&gt;=$D18,AB$4&lt;=$E18,NETWORKDAYS(AB$4,AB$4,'Sources &amp; Change Log'!$J$2:$J$5)=1,COUNTIFS('Team Calendar'!$A$5:$A$14,$F18,'Team Calendar'!$C$5:$C$14,AB$4,'Team Calendar'!$F$5:$F$14,"Personal absence")=0),1,"")</x:f>
      </x:c>
      <x:c r="AC18" s="207" t="n">
        <x:f>IF(AND(ISNUMBER($D18),ISNUMBER($E18),AC$4&gt;=$D18,AC$4&lt;=$E18,NETWORKDAYS(AC$4,AC$4,'Sources &amp; Change Log'!$J$2:$J$5)=1,COUNTIFS('Team Calendar'!$A$5:$A$14,$F18,'Team Calendar'!$C$5:$C$14,AC$4,'Team Calendar'!$F$5:$F$14,"Personal absence")=0),1,"")</x:f>
        <x:v>1</x:v>
      </x:c>
      <x:c r="AD18" s="207" t="str">
        <x:f>IF(AND(ISNUMBER($D18),ISNUMBER($E18),AD$4&gt;=$D18,AD$4&lt;=$E18,NETWORKDAYS(AD$4,AD$4,'Sources &amp; Change Log'!$J$2:$J$5)=1,COUNTIFS('Team Calendar'!$A$5:$A$14,$F18,'Team Calendar'!$C$5:$C$14,AD$4,'Team Calendar'!$F$5:$F$14,"Personal absence")=0),1,"")</x:f>
      </x:c>
      <x:c r="AE18" s="207" t="str">
        <x:f>IF(AND(ISNUMBER($D18),ISNUMBER($E18),AE$4&gt;=$D18,AE$4&lt;=$E18,NETWORKDAYS(AE$4,AE$4,'Sources &amp; Change Log'!$J$2:$J$5)=1,COUNTIFS('Team Calendar'!$A$5:$A$14,$F18,'Team Calendar'!$C$5:$C$14,AE$4,'Team Calendar'!$F$5:$F$14,"Personal absence")=0),1,"")</x:f>
      </x:c>
      <x:c r="AF18" s="207" t="str">
        <x:f>IF(AND(ISNUMBER($D18),ISNUMBER($E18),AF$4&gt;=$D18,AF$4&lt;=$E18,NETWORKDAYS(AF$4,AF$4,'Sources &amp; Change Log'!$J$2:$J$5)=1,COUNTIFS('Team Calendar'!$A$5:$A$14,$F18,'Team Calendar'!$C$5:$C$14,AF$4,'Team Calendar'!$F$5:$F$14,"Personal absence")=0),1,"")</x:f>
      </x:c>
      <x:c r="AG18" s="207" t="str">
        <x:f>IF(AND(ISNUMBER($D18),ISNUMBER($E18),AG$4&gt;=$D18,AG$4&lt;=$E18,NETWORKDAYS(AG$4,AG$4,'Sources &amp; Change Log'!$J$2:$J$5)=1,COUNTIFS('Team Calendar'!$A$5:$A$14,$F18,'Team Calendar'!$C$5:$C$14,AG$4,'Team Calendar'!$F$5:$F$14,"Personal absence")=0),1,"")</x:f>
      </x:c>
      <x:c r="AH18" s="207" t="str">
        <x:f>IF(AND(ISNUMBER($D18),ISNUMBER($E18),AH$4&gt;=$D18,AH$4&lt;=$E18,NETWORKDAYS(AH$4,AH$4,'Sources &amp; Change Log'!$J$2:$J$5)=1,COUNTIFS('Team Calendar'!$A$5:$A$14,$F18,'Team Calendar'!$C$5:$C$14,AH$4,'Team Calendar'!$F$5:$F$14,"Personal absence")=0),1,"")</x:f>
      </x:c>
      <x:c r="AI18" s="207" t="str">
        <x:f>IF(AND(ISNUMBER($D18),ISNUMBER($E18),AI$4&gt;=$D18,AI$4&lt;=$E18,NETWORKDAYS(AI$4,AI$4,'Sources &amp; Change Log'!$J$2:$J$5)=1,COUNTIFS('Team Calendar'!$A$5:$A$14,$F18,'Team Calendar'!$C$5:$C$14,AI$4,'Team Calendar'!$F$5:$F$14,"Personal absence")=0),1,"")</x:f>
      </x:c>
      <x:c r="AJ18" s="206"/>
      <x:c r="AK18" s="206"/>
      <x:c r="AL18" s="206"/>
      <x:c r="AM18" s="206"/>
      <x:c r="AN18" s="206"/>
      <x:c r="AO18" s="206"/>
      <x:c r="AP18" s="206"/>
      <x:c r="AQ18" s="206"/>
      <x:c r="AR18" s="206"/>
      <x:c r="AS18" s="206"/>
      <x:c r="AT18" s="206"/>
      <x:c r="AU18" s="206"/>
      <x:c r="AV18" s="206"/>
      <x:c r="AW18" s="206"/>
      <x:c r="AX18" s="206"/>
      <x:c r="AY18" s="206"/>
      <x:c r="AZ18" s="206"/>
    </x:row>
    <x:row r="19" ht="30" customHeight="1">
      <x:c r="A19" s="195" t="str">
        <x:f>WBS!A45</x:f>
        <x:v>P2-HYB-01</x:v>
      </x:c>
      <x:c r="B19" s="195" t="str">
        <x:f>WBS!B45</x:f>
        <x:v>Hybrid DB / Registry Integration</x:v>
      </x:c>
      <x:c r="C19" s="195" t="str">
        <x:f>WBS!G45</x:f>
        <x:v>To Do</x:v>
      </x:c>
      <x:c r="D19" s="225" t="n">
        <x:f>WBS!H45</x:f>
        <x:v>46316</x:v>
      </x:c>
      <x:c r="E19" s="225" t="n">
        <x:f>WBS!I45</x:f>
        <x:v>46316</x:v>
      </x:c>
      <x:c r="F19" s="13" t="str">
        <x:f>WBS!L45</x:f>
        <x:v>이재환</x:v>
      </x:c>
      <x:c r="G19" s="207" t="str">
        <x:f>IF(AND(ISNUMBER($D19),ISNUMBER($E19),G$4&gt;=$D19,G$4&lt;=$E19,NETWORKDAYS(G$4,G$4,'Sources &amp; Change Log'!$J$2:$J$5)=1,COUNTIFS('Team Calendar'!$A$5:$A$14,$F19,'Team Calendar'!$C$5:$C$14,G$4,'Team Calendar'!$F$5:$F$14,"Personal absence")=0),1,"")</x:f>
      </x:c>
      <x:c r="H19" s="207" t="str">
        <x:f>IF(AND(ISNUMBER($D19),ISNUMBER($E19),H$4&gt;=$D19,H$4&lt;=$E19,NETWORKDAYS(H$4,H$4,'Sources &amp; Change Log'!$J$2:$J$5)=1,COUNTIFS('Team Calendar'!$A$5:$A$14,$F19,'Team Calendar'!$C$5:$C$14,H$4,'Team Calendar'!$F$5:$F$14,"Personal absence")=0),1,"")</x:f>
      </x:c>
      <x:c r="I19" s="207" t="str">
        <x:f>IF(AND(ISNUMBER($D19),ISNUMBER($E19),I$4&gt;=$D19,I$4&lt;=$E19,NETWORKDAYS(I$4,I$4,'Sources &amp; Change Log'!$J$2:$J$5)=1,COUNTIFS('Team Calendar'!$A$5:$A$14,$F19,'Team Calendar'!$C$5:$C$14,I$4,'Team Calendar'!$F$5:$F$14,"Personal absence")=0),1,"")</x:f>
      </x:c>
      <x:c r="J19" s="207" t="str">
        <x:f>IF(AND(ISNUMBER($D19),ISNUMBER($E19),J$4&gt;=$D19,J$4&lt;=$E19,NETWORKDAYS(J$4,J$4,'Sources &amp; Change Log'!$J$2:$J$5)=1,COUNTIFS('Team Calendar'!$A$5:$A$14,$F19,'Team Calendar'!$C$5:$C$14,J$4,'Team Calendar'!$F$5:$F$14,"Personal absence")=0),1,"")</x:f>
      </x:c>
      <x:c r="K19" s="207" t="str">
        <x:f>IF(AND(ISNUMBER($D19),ISNUMBER($E19),K$4&gt;=$D19,K$4&lt;=$E19,NETWORKDAYS(K$4,K$4,'Sources &amp; Change Log'!$J$2:$J$5)=1,COUNTIFS('Team Calendar'!$A$5:$A$14,$F19,'Team Calendar'!$C$5:$C$14,K$4,'Team Calendar'!$F$5:$F$14,"Personal absence")=0),1,"")</x:f>
      </x:c>
      <x:c r="L19" s="207" t="str">
        <x:f>IF(AND(ISNUMBER($D19),ISNUMBER($E19),L$4&gt;=$D19,L$4&lt;=$E19,NETWORKDAYS(L$4,L$4,'Sources &amp; Change Log'!$J$2:$J$5)=1,COUNTIFS('Team Calendar'!$A$5:$A$14,$F19,'Team Calendar'!$C$5:$C$14,L$4,'Team Calendar'!$F$5:$F$14,"Personal absence")=0),1,"")</x:f>
      </x:c>
      <x:c r="M19" s="207" t="str">
        <x:f>IF(AND(ISNUMBER($D19),ISNUMBER($E19),M$4&gt;=$D19,M$4&lt;=$E19,NETWORKDAYS(M$4,M$4,'Sources &amp; Change Log'!$J$2:$J$5)=1,COUNTIFS('Team Calendar'!$A$5:$A$14,$F19,'Team Calendar'!$C$5:$C$14,M$4,'Team Calendar'!$F$5:$F$14,"Personal absence")=0),1,"")</x:f>
      </x:c>
      <x:c r="N19" s="207" t="str">
        <x:f>IF(AND(ISNUMBER($D19),ISNUMBER($E19),N$4&gt;=$D19,N$4&lt;=$E19,NETWORKDAYS(N$4,N$4,'Sources &amp; Change Log'!$J$2:$J$5)=1,COUNTIFS('Team Calendar'!$A$5:$A$14,$F19,'Team Calendar'!$C$5:$C$14,N$4,'Team Calendar'!$F$5:$F$14,"Personal absence")=0),1,"")</x:f>
      </x:c>
      <x:c r="O19" s="207" t="str">
        <x:f>IF(AND(ISNUMBER($D19),ISNUMBER($E19),O$4&gt;=$D19,O$4&lt;=$E19,NETWORKDAYS(O$4,O$4,'Sources &amp; Change Log'!$J$2:$J$5)=1,COUNTIFS('Team Calendar'!$A$5:$A$14,$F19,'Team Calendar'!$C$5:$C$14,O$4,'Team Calendar'!$F$5:$F$14,"Personal absence")=0),1,"")</x:f>
      </x:c>
      <x:c r="P19" s="207" t="str">
        <x:f>IF(AND(ISNUMBER($D19),ISNUMBER($E19),P$4&gt;=$D19,P$4&lt;=$E19,NETWORKDAYS(P$4,P$4,'Sources &amp; Change Log'!$J$2:$J$5)=1,COUNTIFS('Team Calendar'!$A$5:$A$14,$F19,'Team Calendar'!$C$5:$C$14,P$4,'Team Calendar'!$F$5:$F$14,"Personal absence")=0),1,"")</x:f>
      </x:c>
      <x:c r="Q19" s="207" t="str">
        <x:f>IF(AND(ISNUMBER($D19),ISNUMBER($E19),Q$4&gt;=$D19,Q$4&lt;=$E19,NETWORKDAYS(Q$4,Q$4,'Sources &amp; Change Log'!$J$2:$J$5)=1,COUNTIFS('Team Calendar'!$A$5:$A$14,$F19,'Team Calendar'!$C$5:$C$14,Q$4,'Team Calendar'!$F$5:$F$14,"Personal absence")=0),1,"")</x:f>
      </x:c>
      <x:c r="R19" s="207" t="str">
        <x:f>IF(AND(ISNUMBER($D19),ISNUMBER($E19),R$4&gt;=$D19,R$4&lt;=$E19,NETWORKDAYS(R$4,R$4,'Sources &amp; Change Log'!$J$2:$J$5)=1,COUNTIFS('Team Calendar'!$A$5:$A$14,$F19,'Team Calendar'!$C$5:$C$14,R$4,'Team Calendar'!$F$5:$F$14,"Personal absence")=0),1,"")</x:f>
      </x:c>
      <x:c r="S19" s="207" t="str">
        <x:f>IF(AND(ISNUMBER($D19),ISNUMBER($E19),S$4&gt;=$D19,S$4&lt;=$E19,NETWORKDAYS(S$4,S$4,'Sources &amp; Change Log'!$J$2:$J$5)=1,COUNTIFS('Team Calendar'!$A$5:$A$14,$F19,'Team Calendar'!$C$5:$C$14,S$4,'Team Calendar'!$F$5:$F$14,"Personal absence")=0),1,"")</x:f>
      </x:c>
      <x:c r="T19" s="207" t="str">
        <x:f>IF(AND(ISNUMBER($D19),ISNUMBER($E19),T$4&gt;=$D19,T$4&lt;=$E19,NETWORKDAYS(T$4,T$4,'Sources &amp; Change Log'!$J$2:$J$5)=1,COUNTIFS('Team Calendar'!$A$5:$A$14,$F19,'Team Calendar'!$C$5:$C$14,T$4,'Team Calendar'!$F$5:$F$14,"Personal absence")=0),1,"")</x:f>
      </x:c>
      <x:c r="U19" s="207" t="str">
        <x:f>IF(AND(ISNUMBER($D19),ISNUMBER($E19),U$4&gt;=$D19,U$4&lt;=$E19,NETWORKDAYS(U$4,U$4,'Sources &amp; Change Log'!$J$2:$J$5)=1,COUNTIFS('Team Calendar'!$A$5:$A$14,$F19,'Team Calendar'!$C$5:$C$14,U$4,'Team Calendar'!$F$5:$F$14,"Personal absence")=0),1,"")</x:f>
      </x:c>
      <x:c r="V19" s="207" t="str">
        <x:f>IF(AND(ISNUMBER($D19),ISNUMBER($E19),V$4&gt;=$D19,V$4&lt;=$E19,NETWORKDAYS(V$4,V$4,'Sources &amp; Change Log'!$J$2:$J$5)=1,COUNTIFS('Team Calendar'!$A$5:$A$14,$F19,'Team Calendar'!$C$5:$C$14,V$4,'Team Calendar'!$F$5:$F$14,"Personal absence")=0),1,"")</x:f>
      </x:c>
      <x:c r="W19" s="207" t="str">
        <x:f>IF(AND(ISNUMBER($D19),ISNUMBER($E19),W$4&gt;=$D19,W$4&lt;=$E19,NETWORKDAYS(W$4,W$4,'Sources &amp; Change Log'!$J$2:$J$5)=1,COUNTIFS('Team Calendar'!$A$5:$A$14,$F19,'Team Calendar'!$C$5:$C$14,W$4,'Team Calendar'!$F$5:$F$14,"Personal absence")=0),1,"")</x:f>
      </x:c>
      <x:c r="X19" s="207" t="str">
        <x:f>IF(AND(ISNUMBER($D19),ISNUMBER($E19),X$4&gt;=$D19,X$4&lt;=$E19,NETWORKDAYS(X$4,X$4,'Sources &amp; Change Log'!$J$2:$J$5)=1,COUNTIFS('Team Calendar'!$A$5:$A$14,$F19,'Team Calendar'!$C$5:$C$14,X$4,'Team Calendar'!$F$5:$F$14,"Personal absence")=0),1,"")</x:f>
      </x:c>
      <x:c r="Y19" s="207" t="str">
        <x:f>IF(AND(ISNUMBER($D19),ISNUMBER($E19),Y$4&gt;=$D19,Y$4&lt;=$E19,NETWORKDAYS(Y$4,Y$4,'Sources &amp; Change Log'!$J$2:$J$5)=1,COUNTIFS('Team Calendar'!$A$5:$A$14,$F19,'Team Calendar'!$C$5:$C$14,Y$4,'Team Calendar'!$F$5:$F$14,"Personal absence")=0),1,"")</x:f>
      </x:c>
      <x:c r="Z19" s="207" t="str">
        <x:f>IF(AND(ISNUMBER($D19),ISNUMBER($E19),Z$4&gt;=$D19,Z$4&lt;=$E19,NETWORKDAYS(Z$4,Z$4,'Sources &amp; Change Log'!$J$2:$J$5)=1,COUNTIFS('Team Calendar'!$A$5:$A$14,$F19,'Team Calendar'!$C$5:$C$14,Z$4,'Team Calendar'!$F$5:$F$14,"Personal absence")=0),1,"")</x:f>
      </x:c>
      <x:c r="AA19" s="207" t="str">
        <x:f>IF(AND(ISNUMBER($D19),ISNUMBER($E19),AA$4&gt;=$D19,AA$4&lt;=$E19,NETWORKDAYS(AA$4,AA$4,'Sources &amp; Change Log'!$J$2:$J$5)=1,COUNTIFS('Team Calendar'!$A$5:$A$14,$F19,'Team Calendar'!$C$5:$C$14,AA$4,'Team Calendar'!$F$5:$F$14,"Personal absence")=0),1,"")</x:f>
      </x:c>
      <x:c r="AB19" s="207" t="str">
        <x:f>IF(AND(ISNUMBER($D19),ISNUMBER($E19),AB$4&gt;=$D19,AB$4&lt;=$E19,NETWORKDAYS(AB$4,AB$4,'Sources &amp; Change Log'!$J$2:$J$5)=1,COUNTIFS('Team Calendar'!$A$5:$A$14,$F19,'Team Calendar'!$C$5:$C$14,AB$4,'Team Calendar'!$F$5:$F$14,"Personal absence")=0),1,"")</x:f>
      </x:c>
      <x:c r="AC19" s="207" t="str">
        <x:f>IF(AND(ISNUMBER($D19),ISNUMBER($E19),AC$4&gt;=$D19,AC$4&lt;=$E19,NETWORKDAYS(AC$4,AC$4,'Sources &amp; Change Log'!$J$2:$J$5)=1,COUNTIFS('Team Calendar'!$A$5:$A$14,$F19,'Team Calendar'!$C$5:$C$14,AC$4,'Team Calendar'!$F$5:$F$14,"Personal absence")=0),1,"")</x:f>
      </x:c>
      <x:c r="AD19" s="207" t="n">
        <x:f>IF(AND(ISNUMBER($D19),ISNUMBER($E19),AD$4&gt;=$D19,AD$4&lt;=$E19,NETWORKDAYS(AD$4,AD$4,'Sources &amp; Change Log'!$J$2:$J$5)=1,COUNTIFS('Team Calendar'!$A$5:$A$14,$F19,'Team Calendar'!$C$5:$C$14,AD$4,'Team Calendar'!$F$5:$F$14,"Personal absence")=0),1,"")</x:f>
        <x:v>1</x:v>
      </x:c>
      <x:c r="AE19" s="207" t="str">
        <x:f>IF(AND(ISNUMBER($D19),ISNUMBER($E19),AE$4&gt;=$D19,AE$4&lt;=$E19,NETWORKDAYS(AE$4,AE$4,'Sources &amp; Change Log'!$J$2:$J$5)=1,COUNTIFS('Team Calendar'!$A$5:$A$14,$F19,'Team Calendar'!$C$5:$C$14,AE$4,'Team Calendar'!$F$5:$F$14,"Personal absence")=0),1,"")</x:f>
      </x:c>
      <x:c r="AF19" s="207" t="str">
        <x:f>IF(AND(ISNUMBER($D19),ISNUMBER($E19),AF$4&gt;=$D19,AF$4&lt;=$E19,NETWORKDAYS(AF$4,AF$4,'Sources &amp; Change Log'!$J$2:$J$5)=1,COUNTIFS('Team Calendar'!$A$5:$A$14,$F19,'Team Calendar'!$C$5:$C$14,AF$4,'Team Calendar'!$F$5:$F$14,"Personal absence")=0),1,"")</x:f>
      </x:c>
      <x:c r="AG19" s="207" t="str">
        <x:f>IF(AND(ISNUMBER($D19),ISNUMBER($E19),AG$4&gt;=$D19,AG$4&lt;=$E19,NETWORKDAYS(AG$4,AG$4,'Sources &amp; Change Log'!$J$2:$J$5)=1,COUNTIFS('Team Calendar'!$A$5:$A$14,$F19,'Team Calendar'!$C$5:$C$14,AG$4,'Team Calendar'!$F$5:$F$14,"Personal absence")=0),1,"")</x:f>
      </x:c>
      <x:c r="AH19" s="207" t="str">
        <x:f>IF(AND(ISNUMBER($D19),ISNUMBER($E19),AH$4&gt;=$D19,AH$4&lt;=$E19,NETWORKDAYS(AH$4,AH$4,'Sources &amp; Change Log'!$J$2:$J$5)=1,COUNTIFS('Team Calendar'!$A$5:$A$14,$F19,'Team Calendar'!$C$5:$C$14,AH$4,'Team Calendar'!$F$5:$F$14,"Personal absence")=0),1,"")</x:f>
      </x:c>
      <x:c r="AI19" s="207" t="str">
        <x:f>IF(AND(ISNUMBER($D19),ISNUMBER($E19),AI$4&gt;=$D19,AI$4&lt;=$E19,NETWORKDAYS(AI$4,AI$4,'Sources &amp; Change Log'!$J$2:$J$5)=1,COUNTIFS('Team Calendar'!$A$5:$A$14,$F19,'Team Calendar'!$C$5:$C$14,AI$4,'Team Calendar'!$F$5:$F$14,"Personal absence")=0),1,"")</x:f>
      </x:c>
      <x:c r="AJ19" s="206"/>
      <x:c r="AK19" s="206"/>
      <x:c r="AL19" s="206"/>
      <x:c r="AM19" s="206"/>
      <x:c r="AN19" s="206"/>
      <x:c r="AO19" s="206"/>
      <x:c r="AP19" s="206"/>
      <x:c r="AQ19" s="206"/>
      <x:c r="AR19" s="206"/>
      <x:c r="AS19" s="206"/>
      <x:c r="AT19" s="206"/>
      <x:c r="AU19" s="206"/>
      <x:c r="AV19" s="206"/>
      <x:c r="AW19" s="206"/>
      <x:c r="AX19" s="206"/>
      <x:c r="AY19" s="206"/>
      <x:c r="AZ19" s="206"/>
    </x:row>
    <x:row r="20" ht="30" customHeight="1">
      <x:c r="A20" s="195" t="str">
        <x:f>WBS!A46</x:f>
        <x:v>P2-DNS-01</x:v>
      </x:c>
      <x:c r="B20" s="195" t="str">
        <x:f>WBS!B46</x:f>
        <x:v>Hybrid DNS Implementation Conditional</x:v>
      </x:c>
      <x:c r="C20" s="195" t="str">
        <x:f>WBS!G46</x:f>
        <x:v>To Do</x:v>
      </x:c>
      <x:c r="D20" s="225" t="n">
        <x:f>WBS!H46</x:f>
        <x:v>0</x:v>
      </x:c>
      <x:c r="E20" s="225" t="n">
        <x:f>WBS!I46</x:f>
        <x:v>0</x:v>
      </x:c>
      <x:c r="F20" s="13" t="str">
        <x:f>WBS!L46</x:f>
        <x:v>이권욱</x:v>
      </x:c>
      <x:c r="G20" s="207" t="str">
        <x:f>IF(AND(ISNUMBER($D20),ISNUMBER($E20),G$4&gt;=$D20,G$4&lt;=$E20,NETWORKDAYS(G$4,G$4,'Sources &amp; Change Log'!$J$2:$J$5)=1,COUNTIFS('Team Calendar'!$A$5:$A$14,$F20,'Team Calendar'!$C$5:$C$14,G$4,'Team Calendar'!$F$5:$F$14,"Personal absence")=0),1,"")</x:f>
      </x:c>
      <x:c r="H20" s="207" t="str">
        <x:f>IF(AND(ISNUMBER($D20),ISNUMBER($E20),H$4&gt;=$D20,H$4&lt;=$E20,NETWORKDAYS(H$4,H$4,'Sources &amp; Change Log'!$J$2:$J$5)=1,COUNTIFS('Team Calendar'!$A$5:$A$14,$F20,'Team Calendar'!$C$5:$C$14,H$4,'Team Calendar'!$F$5:$F$14,"Personal absence")=0),1,"")</x:f>
      </x:c>
      <x:c r="I20" s="207" t="str">
        <x:f>IF(AND(ISNUMBER($D20),ISNUMBER($E20),I$4&gt;=$D20,I$4&lt;=$E20,NETWORKDAYS(I$4,I$4,'Sources &amp; Change Log'!$J$2:$J$5)=1,COUNTIFS('Team Calendar'!$A$5:$A$14,$F20,'Team Calendar'!$C$5:$C$14,I$4,'Team Calendar'!$F$5:$F$14,"Personal absence")=0),1,"")</x:f>
      </x:c>
      <x:c r="J20" s="207" t="str">
        <x:f>IF(AND(ISNUMBER($D20),ISNUMBER($E20),J$4&gt;=$D20,J$4&lt;=$E20,NETWORKDAYS(J$4,J$4,'Sources &amp; Change Log'!$J$2:$J$5)=1,COUNTIFS('Team Calendar'!$A$5:$A$14,$F20,'Team Calendar'!$C$5:$C$14,J$4,'Team Calendar'!$F$5:$F$14,"Personal absence")=0),1,"")</x:f>
      </x:c>
      <x:c r="K20" s="207" t="str">
        <x:f>IF(AND(ISNUMBER($D20),ISNUMBER($E20),K$4&gt;=$D20,K$4&lt;=$E20,NETWORKDAYS(K$4,K$4,'Sources &amp; Change Log'!$J$2:$J$5)=1,COUNTIFS('Team Calendar'!$A$5:$A$14,$F20,'Team Calendar'!$C$5:$C$14,K$4,'Team Calendar'!$F$5:$F$14,"Personal absence")=0),1,"")</x:f>
      </x:c>
      <x:c r="L20" s="207" t="str">
        <x:f>IF(AND(ISNUMBER($D20),ISNUMBER($E20),L$4&gt;=$D20,L$4&lt;=$E20,NETWORKDAYS(L$4,L$4,'Sources &amp; Change Log'!$J$2:$J$5)=1,COUNTIFS('Team Calendar'!$A$5:$A$14,$F20,'Team Calendar'!$C$5:$C$14,L$4,'Team Calendar'!$F$5:$F$14,"Personal absence")=0),1,"")</x:f>
      </x:c>
      <x:c r="M20" s="207" t="str">
        <x:f>IF(AND(ISNUMBER($D20),ISNUMBER($E20),M$4&gt;=$D20,M$4&lt;=$E20,NETWORKDAYS(M$4,M$4,'Sources &amp; Change Log'!$J$2:$J$5)=1,COUNTIFS('Team Calendar'!$A$5:$A$14,$F20,'Team Calendar'!$C$5:$C$14,M$4,'Team Calendar'!$F$5:$F$14,"Personal absence")=0),1,"")</x:f>
      </x:c>
      <x:c r="N20" s="207" t="str">
        <x:f>IF(AND(ISNUMBER($D20),ISNUMBER($E20),N$4&gt;=$D20,N$4&lt;=$E20,NETWORKDAYS(N$4,N$4,'Sources &amp; Change Log'!$J$2:$J$5)=1,COUNTIFS('Team Calendar'!$A$5:$A$14,$F20,'Team Calendar'!$C$5:$C$14,N$4,'Team Calendar'!$F$5:$F$14,"Personal absence")=0),1,"")</x:f>
      </x:c>
      <x:c r="O20" s="207" t="str">
        <x:f>IF(AND(ISNUMBER($D20),ISNUMBER($E20),O$4&gt;=$D20,O$4&lt;=$E20,NETWORKDAYS(O$4,O$4,'Sources &amp; Change Log'!$J$2:$J$5)=1,COUNTIFS('Team Calendar'!$A$5:$A$14,$F20,'Team Calendar'!$C$5:$C$14,O$4,'Team Calendar'!$F$5:$F$14,"Personal absence")=0),1,"")</x:f>
      </x:c>
      <x:c r="P20" s="207" t="str">
        <x:f>IF(AND(ISNUMBER($D20),ISNUMBER($E20),P$4&gt;=$D20,P$4&lt;=$E20,NETWORKDAYS(P$4,P$4,'Sources &amp; Change Log'!$J$2:$J$5)=1,COUNTIFS('Team Calendar'!$A$5:$A$14,$F20,'Team Calendar'!$C$5:$C$14,P$4,'Team Calendar'!$F$5:$F$14,"Personal absence")=0),1,"")</x:f>
      </x:c>
      <x:c r="Q20" s="207" t="str">
        <x:f>IF(AND(ISNUMBER($D20),ISNUMBER($E20),Q$4&gt;=$D20,Q$4&lt;=$E20,NETWORKDAYS(Q$4,Q$4,'Sources &amp; Change Log'!$J$2:$J$5)=1,COUNTIFS('Team Calendar'!$A$5:$A$14,$F20,'Team Calendar'!$C$5:$C$14,Q$4,'Team Calendar'!$F$5:$F$14,"Personal absence")=0),1,"")</x:f>
      </x:c>
      <x:c r="R20" s="207" t="str">
        <x:f>IF(AND(ISNUMBER($D20),ISNUMBER($E20),R$4&gt;=$D20,R$4&lt;=$E20,NETWORKDAYS(R$4,R$4,'Sources &amp; Change Log'!$J$2:$J$5)=1,COUNTIFS('Team Calendar'!$A$5:$A$14,$F20,'Team Calendar'!$C$5:$C$14,R$4,'Team Calendar'!$F$5:$F$14,"Personal absence")=0),1,"")</x:f>
      </x:c>
      <x:c r="S20" s="207" t="str">
        <x:f>IF(AND(ISNUMBER($D20),ISNUMBER($E20),S$4&gt;=$D20,S$4&lt;=$E20,NETWORKDAYS(S$4,S$4,'Sources &amp; Change Log'!$J$2:$J$5)=1,COUNTIFS('Team Calendar'!$A$5:$A$14,$F20,'Team Calendar'!$C$5:$C$14,S$4,'Team Calendar'!$F$5:$F$14,"Personal absence")=0),1,"")</x:f>
      </x:c>
      <x:c r="T20" s="207" t="str">
        <x:f>IF(AND(ISNUMBER($D20),ISNUMBER($E20),T$4&gt;=$D20,T$4&lt;=$E20,NETWORKDAYS(T$4,T$4,'Sources &amp; Change Log'!$J$2:$J$5)=1,COUNTIFS('Team Calendar'!$A$5:$A$14,$F20,'Team Calendar'!$C$5:$C$14,T$4,'Team Calendar'!$F$5:$F$14,"Personal absence")=0),1,"")</x:f>
      </x:c>
      <x:c r="U20" s="207" t="str">
        <x:f>IF(AND(ISNUMBER($D20),ISNUMBER($E20),U$4&gt;=$D20,U$4&lt;=$E20,NETWORKDAYS(U$4,U$4,'Sources &amp; Change Log'!$J$2:$J$5)=1,COUNTIFS('Team Calendar'!$A$5:$A$14,$F20,'Team Calendar'!$C$5:$C$14,U$4,'Team Calendar'!$F$5:$F$14,"Personal absence")=0),1,"")</x:f>
      </x:c>
      <x:c r="V20" s="207" t="str">
        <x:f>IF(AND(ISNUMBER($D20),ISNUMBER($E20),V$4&gt;=$D20,V$4&lt;=$E20,NETWORKDAYS(V$4,V$4,'Sources &amp; Change Log'!$J$2:$J$5)=1,COUNTIFS('Team Calendar'!$A$5:$A$14,$F20,'Team Calendar'!$C$5:$C$14,V$4,'Team Calendar'!$F$5:$F$14,"Personal absence")=0),1,"")</x:f>
      </x:c>
      <x:c r="W20" s="207" t="str">
        <x:f>IF(AND(ISNUMBER($D20),ISNUMBER($E20),W$4&gt;=$D20,W$4&lt;=$E20,NETWORKDAYS(W$4,W$4,'Sources &amp; Change Log'!$J$2:$J$5)=1,COUNTIFS('Team Calendar'!$A$5:$A$14,$F20,'Team Calendar'!$C$5:$C$14,W$4,'Team Calendar'!$F$5:$F$14,"Personal absence")=0),1,"")</x:f>
      </x:c>
      <x:c r="X20" s="207" t="str">
        <x:f>IF(AND(ISNUMBER($D20),ISNUMBER($E20),X$4&gt;=$D20,X$4&lt;=$E20,NETWORKDAYS(X$4,X$4,'Sources &amp; Change Log'!$J$2:$J$5)=1,COUNTIFS('Team Calendar'!$A$5:$A$14,$F20,'Team Calendar'!$C$5:$C$14,X$4,'Team Calendar'!$F$5:$F$14,"Personal absence")=0),1,"")</x:f>
      </x:c>
      <x:c r="Y20" s="207" t="str">
        <x:f>IF(AND(ISNUMBER($D20),ISNUMBER($E20),Y$4&gt;=$D20,Y$4&lt;=$E20,NETWORKDAYS(Y$4,Y$4,'Sources &amp; Change Log'!$J$2:$J$5)=1,COUNTIFS('Team Calendar'!$A$5:$A$14,$F20,'Team Calendar'!$C$5:$C$14,Y$4,'Team Calendar'!$F$5:$F$14,"Personal absence")=0),1,"")</x:f>
      </x:c>
      <x:c r="Z20" s="207" t="str">
        <x:f>IF(AND(ISNUMBER($D20),ISNUMBER($E20),Z$4&gt;=$D20,Z$4&lt;=$E20,NETWORKDAYS(Z$4,Z$4,'Sources &amp; Change Log'!$J$2:$J$5)=1,COUNTIFS('Team Calendar'!$A$5:$A$14,$F20,'Team Calendar'!$C$5:$C$14,Z$4,'Team Calendar'!$F$5:$F$14,"Personal absence")=0),1,"")</x:f>
      </x:c>
      <x:c r="AA20" s="207" t="str">
        <x:f>IF(AND(ISNUMBER($D20),ISNUMBER($E20),AA$4&gt;=$D20,AA$4&lt;=$E20,NETWORKDAYS(AA$4,AA$4,'Sources &amp; Change Log'!$J$2:$J$5)=1,COUNTIFS('Team Calendar'!$A$5:$A$14,$F20,'Team Calendar'!$C$5:$C$14,AA$4,'Team Calendar'!$F$5:$F$14,"Personal absence")=0),1,"")</x:f>
      </x:c>
      <x:c r="AB20" s="207" t="str">
        <x:f>IF(AND(ISNUMBER($D20),ISNUMBER($E20),AB$4&gt;=$D20,AB$4&lt;=$E20,NETWORKDAYS(AB$4,AB$4,'Sources &amp; Change Log'!$J$2:$J$5)=1,COUNTIFS('Team Calendar'!$A$5:$A$14,$F20,'Team Calendar'!$C$5:$C$14,AB$4,'Team Calendar'!$F$5:$F$14,"Personal absence")=0),1,"")</x:f>
      </x:c>
      <x:c r="AC20" s="207" t="str">
        <x:f>IF(AND(ISNUMBER($D20),ISNUMBER($E20),AC$4&gt;=$D20,AC$4&lt;=$E20,NETWORKDAYS(AC$4,AC$4,'Sources &amp; Change Log'!$J$2:$J$5)=1,COUNTIFS('Team Calendar'!$A$5:$A$14,$F20,'Team Calendar'!$C$5:$C$14,AC$4,'Team Calendar'!$F$5:$F$14,"Personal absence")=0),1,"")</x:f>
      </x:c>
      <x:c r="AD20" s="207" t="str">
        <x:f>IF(AND(ISNUMBER($D20),ISNUMBER($E20),AD$4&gt;=$D20,AD$4&lt;=$E20,NETWORKDAYS(AD$4,AD$4,'Sources &amp; Change Log'!$J$2:$J$5)=1,COUNTIFS('Team Calendar'!$A$5:$A$14,$F20,'Team Calendar'!$C$5:$C$14,AD$4,'Team Calendar'!$F$5:$F$14,"Personal absence")=0),1,"")</x:f>
      </x:c>
      <x:c r="AE20" s="207" t="str">
        <x:f>IF(AND(ISNUMBER($D20),ISNUMBER($E20),AE$4&gt;=$D20,AE$4&lt;=$E20,NETWORKDAYS(AE$4,AE$4,'Sources &amp; Change Log'!$J$2:$J$5)=1,COUNTIFS('Team Calendar'!$A$5:$A$14,$F20,'Team Calendar'!$C$5:$C$14,AE$4,'Team Calendar'!$F$5:$F$14,"Personal absence")=0),1,"")</x:f>
      </x:c>
      <x:c r="AF20" s="207" t="str">
        <x:f>IF(AND(ISNUMBER($D20),ISNUMBER($E20),AF$4&gt;=$D20,AF$4&lt;=$E20,NETWORKDAYS(AF$4,AF$4,'Sources &amp; Change Log'!$J$2:$J$5)=1,COUNTIFS('Team Calendar'!$A$5:$A$14,$F20,'Team Calendar'!$C$5:$C$14,AF$4,'Team Calendar'!$F$5:$F$14,"Personal absence")=0),1,"")</x:f>
      </x:c>
      <x:c r="AG20" s="207" t="str">
        <x:f>IF(AND(ISNUMBER($D20),ISNUMBER($E20),AG$4&gt;=$D20,AG$4&lt;=$E20,NETWORKDAYS(AG$4,AG$4,'Sources &amp; Change Log'!$J$2:$J$5)=1,COUNTIFS('Team Calendar'!$A$5:$A$14,$F20,'Team Calendar'!$C$5:$C$14,AG$4,'Team Calendar'!$F$5:$F$14,"Personal absence")=0),1,"")</x:f>
      </x:c>
      <x:c r="AH20" s="207" t="str">
        <x:f>IF(AND(ISNUMBER($D20),ISNUMBER($E20),AH$4&gt;=$D20,AH$4&lt;=$E20,NETWORKDAYS(AH$4,AH$4,'Sources &amp; Change Log'!$J$2:$J$5)=1,COUNTIFS('Team Calendar'!$A$5:$A$14,$F20,'Team Calendar'!$C$5:$C$14,AH$4,'Team Calendar'!$F$5:$F$14,"Personal absence")=0),1,"")</x:f>
      </x:c>
      <x:c r="AI20" s="207" t="str">
        <x:f>IF(AND(ISNUMBER($D20),ISNUMBER($E20),AI$4&gt;=$D20,AI$4&lt;=$E20,NETWORKDAYS(AI$4,AI$4,'Sources &amp; Change Log'!$J$2:$J$5)=1,COUNTIFS('Team Calendar'!$A$5:$A$14,$F20,'Team Calendar'!$C$5:$C$14,AI$4,'Team Calendar'!$F$5:$F$14,"Personal absence")=0),1,"")</x:f>
      </x:c>
      <x:c r="AJ20" s="206"/>
      <x:c r="AK20" s="206"/>
      <x:c r="AL20" s="206"/>
      <x:c r="AM20" s="206"/>
      <x:c r="AN20" s="206"/>
      <x:c r="AO20" s="206"/>
      <x:c r="AP20" s="206"/>
      <x:c r="AQ20" s="206"/>
      <x:c r="AR20" s="206"/>
      <x:c r="AS20" s="206"/>
      <x:c r="AT20" s="206"/>
      <x:c r="AU20" s="206"/>
      <x:c r="AV20" s="206"/>
      <x:c r="AW20" s="206"/>
      <x:c r="AX20" s="206"/>
      <x:c r="AY20" s="206"/>
      <x:c r="AZ20" s="206"/>
    </x:row>
    <x:row r="21" ht="30" customHeight="1">
      <x:c r="A21" s="195" t="str">
        <x:f>WBS!A47</x:f>
        <x:v>P2-DOC-01</x:v>
      </x:c>
      <x:c r="B21" s="195" t="str">
        <x:f>WBS!B47</x:f>
        <x:v>Cloud / Hybrid Deliverable Freeze</x:v>
      </x:c>
      <x:c r="C21" s="195" t="str">
        <x:f>WBS!G47</x:f>
        <x:v>To Do</x:v>
      </x:c>
      <x:c r="D21" s="225" t="n">
        <x:f>WBS!H47</x:f>
        <x:v>46318</x:v>
      </x:c>
      <x:c r="E21" s="225" t="n">
        <x:f>WBS!I47</x:f>
        <x:v>46318</x:v>
      </x:c>
      <x:c r="F21" s="13" t="str">
        <x:f>WBS!L47</x:f>
        <x:v>이권욱</x:v>
      </x:c>
      <x:c r="G21" s="207" t="str">
        <x:f>IF(AND(ISNUMBER($D21),ISNUMBER($E21),G$4&gt;=$D21,G$4&lt;=$E21,NETWORKDAYS(G$4,G$4,'Sources &amp; Change Log'!$J$2:$J$5)=1,COUNTIFS('Team Calendar'!$A$5:$A$14,$F21,'Team Calendar'!$C$5:$C$14,G$4,'Team Calendar'!$F$5:$F$14,"Personal absence")=0),1,"")</x:f>
      </x:c>
      <x:c r="H21" s="207" t="str">
        <x:f>IF(AND(ISNUMBER($D21),ISNUMBER($E21),H$4&gt;=$D21,H$4&lt;=$E21,NETWORKDAYS(H$4,H$4,'Sources &amp; Change Log'!$J$2:$J$5)=1,COUNTIFS('Team Calendar'!$A$5:$A$14,$F21,'Team Calendar'!$C$5:$C$14,H$4,'Team Calendar'!$F$5:$F$14,"Personal absence")=0),1,"")</x:f>
      </x:c>
      <x:c r="I21" s="207" t="str">
        <x:f>IF(AND(ISNUMBER($D21),ISNUMBER($E21),I$4&gt;=$D21,I$4&lt;=$E21,NETWORKDAYS(I$4,I$4,'Sources &amp; Change Log'!$J$2:$J$5)=1,COUNTIFS('Team Calendar'!$A$5:$A$14,$F21,'Team Calendar'!$C$5:$C$14,I$4,'Team Calendar'!$F$5:$F$14,"Personal absence")=0),1,"")</x:f>
      </x:c>
      <x:c r="J21" s="207" t="str">
        <x:f>IF(AND(ISNUMBER($D21),ISNUMBER($E21),J$4&gt;=$D21,J$4&lt;=$E21,NETWORKDAYS(J$4,J$4,'Sources &amp; Change Log'!$J$2:$J$5)=1,COUNTIFS('Team Calendar'!$A$5:$A$14,$F21,'Team Calendar'!$C$5:$C$14,J$4,'Team Calendar'!$F$5:$F$14,"Personal absence")=0),1,"")</x:f>
      </x:c>
      <x:c r="K21" s="207" t="str">
        <x:f>IF(AND(ISNUMBER($D21),ISNUMBER($E21),K$4&gt;=$D21,K$4&lt;=$E21,NETWORKDAYS(K$4,K$4,'Sources &amp; Change Log'!$J$2:$J$5)=1,COUNTIFS('Team Calendar'!$A$5:$A$14,$F21,'Team Calendar'!$C$5:$C$14,K$4,'Team Calendar'!$F$5:$F$14,"Personal absence")=0),1,"")</x:f>
      </x:c>
      <x:c r="L21" s="207" t="str">
        <x:f>IF(AND(ISNUMBER($D21),ISNUMBER($E21),L$4&gt;=$D21,L$4&lt;=$E21,NETWORKDAYS(L$4,L$4,'Sources &amp; Change Log'!$J$2:$J$5)=1,COUNTIFS('Team Calendar'!$A$5:$A$14,$F21,'Team Calendar'!$C$5:$C$14,L$4,'Team Calendar'!$F$5:$F$14,"Personal absence")=0),1,"")</x:f>
      </x:c>
      <x:c r="M21" s="207" t="str">
        <x:f>IF(AND(ISNUMBER($D21),ISNUMBER($E21),M$4&gt;=$D21,M$4&lt;=$E21,NETWORKDAYS(M$4,M$4,'Sources &amp; Change Log'!$J$2:$J$5)=1,COUNTIFS('Team Calendar'!$A$5:$A$14,$F21,'Team Calendar'!$C$5:$C$14,M$4,'Team Calendar'!$F$5:$F$14,"Personal absence")=0),1,"")</x:f>
      </x:c>
      <x:c r="N21" s="207" t="str">
        <x:f>IF(AND(ISNUMBER($D21),ISNUMBER($E21),N$4&gt;=$D21,N$4&lt;=$E21,NETWORKDAYS(N$4,N$4,'Sources &amp; Change Log'!$J$2:$J$5)=1,COUNTIFS('Team Calendar'!$A$5:$A$14,$F21,'Team Calendar'!$C$5:$C$14,N$4,'Team Calendar'!$F$5:$F$14,"Personal absence")=0),1,"")</x:f>
      </x:c>
      <x:c r="O21" s="207" t="str">
        <x:f>IF(AND(ISNUMBER($D21),ISNUMBER($E21),O$4&gt;=$D21,O$4&lt;=$E21,NETWORKDAYS(O$4,O$4,'Sources &amp; Change Log'!$J$2:$J$5)=1,COUNTIFS('Team Calendar'!$A$5:$A$14,$F21,'Team Calendar'!$C$5:$C$14,O$4,'Team Calendar'!$F$5:$F$14,"Personal absence")=0),1,"")</x:f>
      </x:c>
      <x:c r="P21" s="207" t="str">
        <x:f>IF(AND(ISNUMBER($D21),ISNUMBER($E21),P$4&gt;=$D21,P$4&lt;=$E21,NETWORKDAYS(P$4,P$4,'Sources &amp; Change Log'!$J$2:$J$5)=1,COUNTIFS('Team Calendar'!$A$5:$A$14,$F21,'Team Calendar'!$C$5:$C$14,P$4,'Team Calendar'!$F$5:$F$14,"Personal absence")=0),1,"")</x:f>
      </x:c>
      <x:c r="Q21" s="207" t="str">
        <x:f>IF(AND(ISNUMBER($D21),ISNUMBER($E21),Q$4&gt;=$D21,Q$4&lt;=$E21,NETWORKDAYS(Q$4,Q$4,'Sources &amp; Change Log'!$J$2:$J$5)=1,COUNTIFS('Team Calendar'!$A$5:$A$14,$F21,'Team Calendar'!$C$5:$C$14,Q$4,'Team Calendar'!$F$5:$F$14,"Personal absence")=0),1,"")</x:f>
      </x:c>
      <x:c r="R21" s="207" t="str">
        <x:f>IF(AND(ISNUMBER($D21),ISNUMBER($E21),R$4&gt;=$D21,R$4&lt;=$E21,NETWORKDAYS(R$4,R$4,'Sources &amp; Change Log'!$J$2:$J$5)=1,COUNTIFS('Team Calendar'!$A$5:$A$14,$F21,'Team Calendar'!$C$5:$C$14,R$4,'Team Calendar'!$F$5:$F$14,"Personal absence")=0),1,"")</x:f>
      </x:c>
      <x:c r="S21" s="207" t="str">
        <x:f>IF(AND(ISNUMBER($D21),ISNUMBER($E21),S$4&gt;=$D21,S$4&lt;=$E21,NETWORKDAYS(S$4,S$4,'Sources &amp; Change Log'!$J$2:$J$5)=1,COUNTIFS('Team Calendar'!$A$5:$A$14,$F21,'Team Calendar'!$C$5:$C$14,S$4,'Team Calendar'!$F$5:$F$14,"Personal absence")=0),1,"")</x:f>
      </x:c>
      <x:c r="T21" s="207" t="str">
        <x:f>IF(AND(ISNUMBER($D21),ISNUMBER($E21),T$4&gt;=$D21,T$4&lt;=$E21,NETWORKDAYS(T$4,T$4,'Sources &amp; Change Log'!$J$2:$J$5)=1,COUNTIFS('Team Calendar'!$A$5:$A$14,$F21,'Team Calendar'!$C$5:$C$14,T$4,'Team Calendar'!$F$5:$F$14,"Personal absence")=0),1,"")</x:f>
      </x:c>
      <x:c r="U21" s="207" t="str">
        <x:f>IF(AND(ISNUMBER($D21),ISNUMBER($E21),U$4&gt;=$D21,U$4&lt;=$E21,NETWORKDAYS(U$4,U$4,'Sources &amp; Change Log'!$J$2:$J$5)=1,COUNTIFS('Team Calendar'!$A$5:$A$14,$F21,'Team Calendar'!$C$5:$C$14,U$4,'Team Calendar'!$F$5:$F$14,"Personal absence")=0),1,"")</x:f>
      </x:c>
      <x:c r="V21" s="207" t="str">
        <x:f>IF(AND(ISNUMBER($D21),ISNUMBER($E21),V$4&gt;=$D21,V$4&lt;=$E21,NETWORKDAYS(V$4,V$4,'Sources &amp; Change Log'!$J$2:$J$5)=1,COUNTIFS('Team Calendar'!$A$5:$A$14,$F21,'Team Calendar'!$C$5:$C$14,V$4,'Team Calendar'!$F$5:$F$14,"Personal absence")=0),1,"")</x:f>
      </x:c>
      <x:c r="W21" s="207" t="str">
        <x:f>IF(AND(ISNUMBER($D21),ISNUMBER($E21),W$4&gt;=$D21,W$4&lt;=$E21,NETWORKDAYS(W$4,W$4,'Sources &amp; Change Log'!$J$2:$J$5)=1,COUNTIFS('Team Calendar'!$A$5:$A$14,$F21,'Team Calendar'!$C$5:$C$14,W$4,'Team Calendar'!$F$5:$F$14,"Personal absence")=0),1,"")</x:f>
      </x:c>
      <x:c r="X21" s="207" t="str">
        <x:f>IF(AND(ISNUMBER($D21),ISNUMBER($E21),X$4&gt;=$D21,X$4&lt;=$E21,NETWORKDAYS(X$4,X$4,'Sources &amp; Change Log'!$J$2:$J$5)=1,COUNTIFS('Team Calendar'!$A$5:$A$14,$F21,'Team Calendar'!$C$5:$C$14,X$4,'Team Calendar'!$F$5:$F$14,"Personal absence")=0),1,"")</x:f>
      </x:c>
      <x:c r="Y21" s="207" t="str">
        <x:f>IF(AND(ISNUMBER($D21),ISNUMBER($E21),Y$4&gt;=$D21,Y$4&lt;=$E21,NETWORKDAYS(Y$4,Y$4,'Sources &amp; Change Log'!$J$2:$J$5)=1,COUNTIFS('Team Calendar'!$A$5:$A$14,$F21,'Team Calendar'!$C$5:$C$14,Y$4,'Team Calendar'!$F$5:$F$14,"Personal absence")=0),1,"")</x:f>
      </x:c>
      <x:c r="Z21" s="207" t="str">
        <x:f>IF(AND(ISNUMBER($D21),ISNUMBER($E21),Z$4&gt;=$D21,Z$4&lt;=$E21,NETWORKDAYS(Z$4,Z$4,'Sources &amp; Change Log'!$J$2:$J$5)=1,COUNTIFS('Team Calendar'!$A$5:$A$14,$F21,'Team Calendar'!$C$5:$C$14,Z$4,'Team Calendar'!$F$5:$F$14,"Personal absence")=0),1,"")</x:f>
      </x:c>
      <x:c r="AA21" s="207" t="str">
        <x:f>IF(AND(ISNUMBER($D21),ISNUMBER($E21),AA$4&gt;=$D21,AA$4&lt;=$E21,NETWORKDAYS(AA$4,AA$4,'Sources &amp; Change Log'!$J$2:$J$5)=1,COUNTIFS('Team Calendar'!$A$5:$A$14,$F21,'Team Calendar'!$C$5:$C$14,AA$4,'Team Calendar'!$F$5:$F$14,"Personal absence")=0),1,"")</x:f>
      </x:c>
      <x:c r="AB21" s="207" t="str">
        <x:f>IF(AND(ISNUMBER($D21),ISNUMBER($E21),AB$4&gt;=$D21,AB$4&lt;=$E21,NETWORKDAYS(AB$4,AB$4,'Sources &amp; Change Log'!$J$2:$J$5)=1,COUNTIFS('Team Calendar'!$A$5:$A$14,$F21,'Team Calendar'!$C$5:$C$14,AB$4,'Team Calendar'!$F$5:$F$14,"Personal absence")=0),1,"")</x:f>
      </x:c>
      <x:c r="AC21" s="207" t="str">
        <x:f>IF(AND(ISNUMBER($D21),ISNUMBER($E21),AC$4&gt;=$D21,AC$4&lt;=$E21,NETWORKDAYS(AC$4,AC$4,'Sources &amp; Change Log'!$J$2:$J$5)=1,COUNTIFS('Team Calendar'!$A$5:$A$14,$F21,'Team Calendar'!$C$5:$C$14,AC$4,'Team Calendar'!$F$5:$F$14,"Personal absence")=0),1,"")</x:f>
      </x:c>
      <x:c r="AD21" s="207" t="str">
        <x:f>IF(AND(ISNUMBER($D21),ISNUMBER($E21),AD$4&gt;=$D21,AD$4&lt;=$E21,NETWORKDAYS(AD$4,AD$4,'Sources &amp; Change Log'!$J$2:$J$5)=1,COUNTIFS('Team Calendar'!$A$5:$A$14,$F21,'Team Calendar'!$C$5:$C$14,AD$4,'Team Calendar'!$F$5:$F$14,"Personal absence")=0),1,"")</x:f>
      </x:c>
      <x:c r="AE21" s="207" t="str">
        <x:f>IF(AND(ISNUMBER($D21),ISNUMBER($E21),AE$4&gt;=$D21,AE$4&lt;=$E21,NETWORKDAYS(AE$4,AE$4,'Sources &amp; Change Log'!$J$2:$J$5)=1,COUNTIFS('Team Calendar'!$A$5:$A$14,$F21,'Team Calendar'!$C$5:$C$14,AE$4,'Team Calendar'!$F$5:$F$14,"Personal absence")=0),1,"")</x:f>
      </x:c>
      <x:c r="AF21" s="207" t="n">
        <x:f>IF(AND(ISNUMBER($D21),ISNUMBER($E21),AF$4&gt;=$D21,AF$4&lt;=$E21,NETWORKDAYS(AF$4,AF$4,'Sources &amp; Change Log'!$J$2:$J$5)=1,COUNTIFS('Team Calendar'!$A$5:$A$14,$F21,'Team Calendar'!$C$5:$C$14,AF$4,'Team Calendar'!$F$5:$F$14,"Personal absence")=0),1,"")</x:f>
        <x:v>1</x:v>
      </x:c>
      <x:c r="AG21" s="207" t="str">
        <x:f>IF(AND(ISNUMBER($D21),ISNUMBER($E21),AG$4&gt;=$D21,AG$4&lt;=$E21,NETWORKDAYS(AG$4,AG$4,'Sources &amp; Change Log'!$J$2:$J$5)=1,COUNTIFS('Team Calendar'!$A$5:$A$14,$F21,'Team Calendar'!$C$5:$C$14,AG$4,'Team Calendar'!$F$5:$F$14,"Personal absence")=0),1,"")</x:f>
      </x:c>
      <x:c r="AH21" s="207" t="str">
        <x:f>IF(AND(ISNUMBER($D21),ISNUMBER($E21),AH$4&gt;=$D21,AH$4&lt;=$E21,NETWORKDAYS(AH$4,AH$4,'Sources &amp; Change Log'!$J$2:$J$5)=1,COUNTIFS('Team Calendar'!$A$5:$A$14,$F21,'Team Calendar'!$C$5:$C$14,AH$4,'Team Calendar'!$F$5:$F$14,"Personal absence")=0),1,"")</x:f>
      </x:c>
      <x:c r="AI21" s="207" t="str">
        <x:f>IF(AND(ISNUMBER($D21),ISNUMBER($E21),AI$4&gt;=$D21,AI$4&lt;=$E21,NETWORKDAYS(AI$4,AI$4,'Sources &amp; Change Log'!$J$2:$J$5)=1,COUNTIFS('Team Calendar'!$A$5:$A$14,$F21,'Team Calendar'!$C$5:$C$14,AI$4,'Team Calendar'!$F$5:$F$14,"Personal absence")=0),1,"")</x:f>
      </x:c>
      <x:c r="AJ21" s="206"/>
      <x:c r="AK21" s="206"/>
      <x:c r="AL21" s="206"/>
      <x:c r="AM21" s="206"/>
      <x:c r="AN21" s="206"/>
      <x:c r="AO21" s="206"/>
      <x:c r="AP21" s="206"/>
      <x:c r="AQ21" s="206"/>
      <x:c r="AR21" s="206"/>
      <x:c r="AS21" s="206"/>
      <x:c r="AT21" s="206"/>
      <x:c r="AU21" s="206"/>
      <x:c r="AV21" s="206"/>
      <x:c r="AW21" s="206"/>
      <x:c r="AX21" s="206"/>
      <x:c r="AY21" s="206"/>
      <x:c r="AZ21" s="206"/>
    </x:row>
    <x:row r="22" ht="30" customHeight="1">
      <x:c r="A22" s="195" t="str">
        <x:f>WBS!A48</x:f>
        <x:v>P2-E2E-01</x:v>
      </x:c>
      <x:c r="B22" s="195" t="str">
        <x:f>WBS!B48</x:f>
        <x:v>Hybrid E2E / Regression</x:v>
      </x:c>
      <x:c r="C22" s="195" t="str">
        <x:f>WBS!G48</x:f>
        <x:v>To Do</x:v>
      </x:c>
      <x:c r="D22" s="225" t="n">
        <x:f>WBS!H48</x:f>
        <x:v>46317</x:v>
      </x:c>
      <x:c r="E22" s="225" t="n">
        <x:f>WBS!I48</x:f>
        <x:v>46317</x:v>
      </x:c>
      <x:c r="F22" s="13" t="str">
        <x:f>WBS!L48</x:f>
        <x:v>이재환</x:v>
      </x:c>
      <x:c r="G22" s="207" t="str">
        <x:f>IF(AND(ISNUMBER($D22),ISNUMBER($E22),G$4&gt;=$D22,G$4&lt;=$E22,NETWORKDAYS(G$4,G$4,'Sources &amp; Change Log'!$J$2:$J$5)=1,COUNTIFS('Team Calendar'!$A$5:$A$14,$F22,'Team Calendar'!$C$5:$C$14,G$4,'Team Calendar'!$F$5:$F$14,"Personal absence")=0),1,"")</x:f>
      </x:c>
      <x:c r="H22" s="207" t="str">
        <x:f>IF(AND(ISNUMBER($D22),ISNUMBER($E22),H$4&gt;=$D22,H$4&lt;=$E22,NETWORKDAYS(H$4,H$4,'Sources &amp; Change Log'!$J$2:$J$5)=1,COUNTIFS('Team Calendar'!$A$5:$A$14,$F22,'Team Calendar'!$C$5:$C$14,H$4,'Team Calendar'!$F$5:$F$14,"Personal absence")=0),1,"")</x:f>
      </x:c>
      <x:c r="I22" s="207" t="str">
        <x:f>IF(AND(ISNUMBER($D22),ISNUMBER($E22),I$4&gt;=$D22,I$4&lt;=$E22,NETWORKDAYS(I$4,I$4,'Sources &amp; Change Log'!$J$2:$J$5)=1,COUNTIFS('Team Calendar'!$A$5:$A$14,$F22,'Team Calendar'!$C$5:$C$14,I$4,'Team Calendar'!$F$5:$F$14,"Personal absence")=0),1,"")</x:f>
      </x:c>
      <x:c r="J22" s="207" t="str">
        <x:f>IF(AND(ISNUMBER($D22),ISNUMBER($E22),J$4&gt;=$D22,J$4&lt;=$E22,NETWORKDAYS(J$4,J$4,'Sources &amp; Change Log'!$J$2:$J$5)=1,COUNTIFS('Team Calendar'!$A$5:$A$14,$F22,'Team Calendar'!$C$5:$C$14,J$4,'Team Calendar'!$F$5:$F$14,"Personal absence")=0),1,"")</x:f>
      </x:c>
      <x:c r="K22" s="207" t="str">
        <x:f>IF(AND(ISNUMBER($D22),ISNUMBER($E22),K$4&gt;=$D22,K$4&lt;=$E22,NETWORKDAYS(K$4,K$4,'Sources &amp; Change Log'!$J$2:$J$5)=1,COUNTIFS('Team Calendar'!$A$5:$A$14,$F22,'Team Calendar'!$C$5:$C$14,K$4,'Team Calendar'!$F$5:$F$14,"Personal absence")=0),1,"")</x:f>
      </x:c>
      <x:c r="L22" s="207" t="str">
        <x:f>IF(AND(ISNUMBER($D22),ISNUMBER($E22),L$4&gt;=$D22,L$4&lt;=$E22,NETWORKDAYS(L$4,L$4,'Sources &amp; Change Log'!$J$2:$J$5)=1,COUNTIFS('Team Calendar'!$A$5:$A$14,$F22,'Team Calendar'!$C$5:$C$14,L$4,'Team Calendar'!$F$5:$F$14,"Personal absence")=0),1,"")</x:f>
      </x:c>
      <x:c r="M22" s="207" t="str">
        <x:f>IF(AND(ISNUMBER($D22),ISNUMBER($E22),M$4&gt;=$D22,M$4&lt;=$E22,NETWORKDAYS(M$4,M$4,'Sources &amp; Change Log'!$J$2:$J$5)=1,COUNTIFS('Team Calendar'!$A$5:$A$14,$F22,'Team Calendar'!$C$5:$C$14,M$4,'Team Calendar'!$F$5:$F$14,"Personal absence")=0),1,"")</x:f>
      </x:c>
      <x:c r="N22" s="207" t="str">
        <x:f>IF(AND(ISNUMBER($D22),ISNUMBER($E22),N$4&gt;=$D22,N$4&lt;=$E22,NETWORKDAYS(N$4,N$4,'Sources &amp; Change Log'!$J$2:$J$5)=1,COUNTIFS('Team Calendar'!$A$5:$A$14,$F22,'Team Calendar'!$C$5:$C$14,N$4,'Team Calendar'!$F$5:$F$14,"Personal absence")=0),1,"")</x:f>
      </x:c>
      <x:c r="O22" s="207" t="str">
        <x:f>IF(AND(ISNUMBER($D22),ISNUMBER($E22),O$4&gt;=$D22,O$4&lt;=$E22,NETWORKDAYS(O$4,O$4,'Sources &amp; Change Log'!$J$2:$J$5)=1,COUNTIFS('Team Calendar'!$A$5:$A$14,$F22,'Team Calendar'!$C$5:$C$14,O$4,'Team Calendar'!$F$5:$F$14,"Personal absence")=0),1,"")</x:f>
      </x:c>
      <x:c r="P22" s="207" t="str">
        <x:f>IF(AND(ISNUMBER($D22),ISNUMBER($E22),P$4&gt;=$D22,P$4&lt;=$E22,NETWORKDAYS(P$4,P$4,'Sources &amp; Change Log'!$J$2:$J$5)=1,COUNTIFS('Team Calendar'!$A$5:$A$14,$F22,'Team Calendar'!$C$5:$C$14,P$4,'Team Calendar'!$F$5:$F$14,"Personal absence")=0),1,"")</x:f>
      </x:c>
      <x:c r="Q22" s="207" t="str">
        <x:f>IF(AND(ISNUMBER($D22),ISNUMBER($E22),Q$4&gt;=$D22,Q$4&lt;=$E22,NETWORKDAYS(Q$4,Q$4,'Sources &amp; Change Log'!$J$2:$J$5)=1,COUNTIFS('Team Calendar'!$A$5:$A$14,$F22,'Team Calendar'!$C$5:$C$14,Q$4,'Team Calendar'!$F$5:$F$14,"Personal absence")=0),1,"")</x:f>
      </x:c>
      <x:c r="R22" s="207" t="str">
        <x:f>IF(AND(ISNUMBER($D22),ISNUMBER($E22),R$4&gt;=$D22,R$4&lt;=$E22,NETWORKDAYS(R$4,R$4,'Sources &amp; Change Log'!$J$2:$J$5)=1,COUNTIFS('Team Calendar'!$A$5:$A$14,$F22,'Team Calendar'!$C$5:$C$14,R$4,'Team Calendar'!$F$5:$F$14,"Personal absence")=0),1,"")</x:f>
      </x:c>
      <x:c r="S22" s="207" t="str">
        <x:f>IF(AND(ISNUMBER($D22),ISNUMBER($E22),S$4&gt;=$D22,S$4&lt;=$E22,NETWORKDAYS(S$4,S$4,'Sources &amp; Change Log'!$J$2:$J$5)=1,COUNTIFS('Team Calendar'!$A$5:$A$14,$F22,'Team Calendar'!$C$5:$C$14,S$4,'Team Calendar'!$F$5:$F$14,"Personal absence")=0),1,"")</x:f>
      </x:c>
      <x:c r="T22" s="207" t="str">
        <x:f>IF(AND(ISNUMBER($D22),ISNUMBER($E22),T$4&gt;=$D22,T$4&lt;=$E22,NETWORKDAYS(T$4,T$4,'Sources &amp; Change Log'!$J$2:$J$5)=1,COUNTIFS('Team Calendar'!$A$5:$A$14,$F22,'Team Calendar'!$C$5:$C$14,T$4,'Team Calendar'!$F$5:$F$14,"Personal absence")=0),1,"")</x:f>
      </x:c>
      <x:c r="U22" s="207" t="str">
        <x:f>IF(AND(ISNUMBER($D22),ISNUMBER($E22),U$4&gt;=$D22,U$4&lt;=$E22,NETWORKDAYS(U$4,U$4,'Sources &amp; Change Log'!$J$2:$J$5)=1,COUNTIFS('Team Calendar'!$A$5:$A$14,$F22,'Team Calendar'!$C$5:$C$14,U$4,'Team Calendar'!$F$5:$F$14,"Personal absence")=0),1,"")</x:f>
      </x:c>
      <x:c r="V22" s="207" t="str">
        <x:f>IF(AND(ISNUMBER($D22),ISNUMBER($E22),V$4&gt;=$D22,V$4&lt;=$E22,NETWORKDAYS(V$4,V$4,'Sources &amp; Change Log'!$J$2:$J$5)=1,COUNTIFS('Team Calendar'!$A$5:$A$14,$F22,'Team Calendar'!$C$5:$C$14,V$4,'Team Calendar'!$F$5:$F$14,"Personal absence")=0),1,"")</x:f>
      </x:c>
      <x:c r="W22" s="207" t="str">
        <x:f>IF(AND(ISNUMBER($D22),ISNUMBER($E22),W$4&gt;=$D22,W$4&lt;=$E22,NETWORKDAYS(W$4,W$4,'Sources &amp; Change Log'!$J$2:$J$5)=1,COUNTIFS('Team Calendar'!$A$5:$A$14,$F22,'Team Calendar'!$C$5:$C$14,W$4,'Team Calendar'!$F$5:$F$14,"Personal absence")=0),1,"")</x:f>
      </x:c>
      <x:c r="X22" s="207" t="str">
        <x:f>IF(AND(ISNUMBER($D22),ISNUMBER($E22),X$4&gt;=$D22,X$4&lt;=$E22,NETWORKDAYS(X$4,X$4,'Sources &amp; Change Log'!$J$2:$J$5)=1,COUNTIFS('Team Calendar'!$A$5:$A$14,$F22,'Team Calendar'!$C$5:$C$14,X$4,'Team Calendar'!$F$5:$F$14,"Personal absence")=0),1,"")</x:f>
      </x:c>
      <x:c r="Y22" s="207" t="str">
        <x:f>IF(AND(ISNUMBER($D22),ISNUMBER($E22),Y$4&gt;=$D22,Y$4&lt;=$E22,NETWORKDAYS(Y$4,Y$4,'Sources &amp; Change Log'!$J$2:$J$5)=1,COUNTIFS('Team Calendar'!$A$5:$A$14,$F22,'Team Calendar'!$C$5:$C$14,Y$4,'Team Calendar'!$F$5:$F$14,"Personal absence")=0),1,"")</x:f>
      </x:c>
      <x:c r="Z22" s="207" t="str">
        <x:f>IF(AND(ISNUMBER($D22),ISNUMBER($E22),Z$4&gt;=$D22,Z$4&lt;=$E22,NETWORKDAYS(Z$4,Z$4,'Sources &amp; Change Log'!$J$2:$J$5)=1,COUNTIFS('Team Calendar'!$A$5:$A$14,$F22,'Team Calendar'!$C$5:$C$14,Z$4,'Team Calendar'!$F$5:$F$14,"Personal absence")=0),1,"")</x:f>
      </x:c>
      <x:c r="AA22" s="207" t="str">
        <x:f>IF(AND(ISNUMBER($D22),ISNUMBER($E22),AA$4&gt;=$D22,AA$4&lt;=$E22,NETWORKDAYS(AA$4,AA$4,'Sources &amp; Change Log'!$J$2:$J$5)=1,COUNTIFS('Team Calendar'!$A$5:$A$14,$F22,'Team Calendar'!$C$5:$C$14,AA$4,'Team Calendar'!$F$5:$F$14,"Personal absence")=0),1,"")</x:f>
      </x:c>
      <x:c r="AB22" s="207" t="str">
        <x:f>IF(AND(ISNUMBER($D22),ISNUMBER($E22),AB$4&gt;=$D22,AB$4&lt;=$E22,NETWORKDAYS(AB$4,AB$4,'Sources &amp; Change Log'!$J$2:$J$5)=1,COUNTIFS('Team Calendar'!$A$5:$A$14,$F22,'Team Calendar'!$C$5:$C$14,AB$4,'Team Calendar'!$F$5:$F$14,"Personal absence")=0),1,"")</x:f>
      </x:c>
      <x:c r="AC22" s="207" t="str">
        <x:f>IF(AND(ISNUMBER($D22),ISNUMBER($E22),AC$4&gt;=$D22,AC$4&lt;=$E22,NETWORKDAYS(AC$4,AC$4,'Sources &amp; Change Log'!$J$2:$J$5)=1,COUNTIFS('Team Calendar'!$A$5:$A$14,$F22,'Team Calendar'!$C$5:$C$14,AC$4,'Team Calendar'!$F$5:$F$14,"Personal absence")=0),1,"")</x:f>
      </x:c>
      <x:c r="AD22" s="207" t="str">
        <x:f>IF(AND(ISNUMBER($D22),ISNUMBER($E22),AD$4&gt;=$D22,AD$4&lt;=$E22,NETWORKDAYS(AD$4,AD$4,'Sources &amp; Change Log'!$J$2:$J$5)=1,COUNTIFS('Team Calendar'!$A$5:$A$14,$F22,'Team Calendar'!$C$5:$C$14,AD$4,'Team Calendar'!$F$5:$F$14,"Personal absence")=0),1,"")</x:f>
      </x:c>
      <x:c r="AE22" s="207" t="n">
        <x:f>IF(AND(ISNUMBER($D22),ISNUMBER($E22),AE$4&gt;=$D22,AE$4&lt;=$E22,NETWORKDAYS(AE$4,AE$4,'Sources &amp; Change Log'!$J$2:$J$5)=1,COUNTIFS('Team Calendar'!$A$5:$A$14,$F22,'Team Calendar'!$C$5:$C$14,AE$4,'Team Calendar'!$F$5:$F$14,"Personal absence")=0),1,"")</x:f>
        <x:v>1</x:v>
      </x:c>
      <x:c r="AF22" s="207" t="str">
        <x:f>IF(AND(ISNUMBER($D22),ISNUMBER($E22),AF$4&gt;=$D22,AF$4&lt;=$E22,NETWORKDAYS(AF$4,AF$4,'Sources &amp; Change Log'!$J$2:$J$5)=1,COUNTIFS('Team Calendar'!$A$5:$A$14,$F22,'Team Calendar'!$C$5:$C$14,AF$4,'Team Calendar'!$F$5:$F$14,"Personal absence")=0),1,"")</x:f>
      </x:c>
      <x:c r="AG22" s="207" t="str">
        <x:f>IF(AND(ISNUMBER($D22),ISNUMBER($E22),AG$4&gt;=$D22,AG$4&lt;=$E22,NETWORKDAYS(AG$4,AG$4,'Sources &amp; Change Log'!$J$2:$J$5)=1,COUNTIFS('Team Calendar'!$A$5:$A$14,$F22,'Team Calendar'!$C$5:$C$14,AG$4,'Team Calendar'!$F$5:$F$14,"Personal absence")=0),1,"")</x:f>
      </x:c>
      <x:c r="AH22" s="207" t="str">
        <x:f>IF(AND(ISNUMBER($D22),ISNUMBER($E22),AH$4&gt;=$D22,AH$4&lt;=$E22,NETWORKDAYS(AH$4,AH$4,'Sources &amp; Change Log'!$J$2:$J$5)=1,COUNTIFS('Team Calendar'!$A$5:$A$14,$F22,'Team Calendar'!$C$5:$C$14,AH$4,'Team Calendar'!$F$5:$F$14,"Personal absence")=0),1,"")</x:f>
      </x:c>
      <x:c r="AI22" s="207" t="str">
        <x:f>IF(AND(ISNUMBER($D22),ISNUMBER($E22),AI$4&gt;=$D22,AI$4&lt;=$E22,NETWORKDAYS(AI$4,AI$4,'Sources &amp; Change Log'!$J$2:$J$5)=1,COUNTIFS('Team Calendar'!$A$5:$A$14,$F22,'Team Calendar'!$C$5:$C$14,AI$4,'Team Calendar'!$F$5:$F$14,"Personal absence")=0),1,"")</x:f>
      </x:c>
      <x:c r="AJ22" s="206"/>
      <x:c r="AK22" s="206"/>
      <x:c r="AL22" s="206"/>
      <x:c r="AM22" s="206"/>
      <x:c r="AN22" s="206"/>
      <x:c r="AO22" s="206"/>
      <x:c r="AP22" s="206"/>
      <x:c r="AQ22" s="206"/>
      <x:c r="AR22" s="206"/>
      <x:c r="AS22" s="206"/>
      <x:c r="AT22" s="206"/>
      <x:c r="AU22" s="206"/>
      <x:c r="AV22" s="206"/>
      <x:c r="AW22" s="206"/>
      <x:c r="AX22" s="206"/>
      <x:c r="AY22" s="206"/>
      <x:c r="AZ22" s="206"/>
    </x:row>
    <x:row r="23" ht="30" customHeight="1">
      <x:c r="A23" s="195" t="str">
        <x:f>WBS!A49</x:f>
        <x:v>P2-OP-01</x:v>
      </x:c>
      <x:c r="B23" s="195" t="str">
        <x:f>WBS!B49</x:f>
        <x:v>Operator Supply Chain Implementation Conditional</x:v>
      </x:c>
      <x:c r="C23" s="195" t="str">
        <x:f>WBS!G49</x:f>
        <x:v>To Do</x:v>
      </x:c>
      <x:c r="D23" s="225" t="n">
        <x:f>WBS!H49</x:f>
        <x:v>0</x:v>
      </x:c>
      <x:c r="E23" s="225" t="n">
        <x:f>WBS!I49</x:f>
        <x:v>0</x:v>
      </x:c>
      <x:c r="F23" s="13" t="str">
        <x:f>WBS!L49</x:f>
        <x:v>이하영</x:v>
      </x:c>
      <x:c r="G23" s="207" t="str">
        <x:f>IF(AND(ISNUMBER($D23),ISNUMBER($E23),G$4&gt;=$D23,G$4&lt;=$E23,NETWORKDAYS(G$4,G$4,'Sources &amp; Change Log'!$J$2:$J$5)=1,COUNTIFS('Team Calendar'!$A$5:$A$14,$F23,'Team Calendar'!$C$5:$C$14,G$4,'Team Calendar'!$F$5:$F$14,"Personal absence")=0),1,"")</x:f>
      </x:c>
      <x:c r="H23" s="207" t="str">
        <x:f>IF(AND(ISNUMBER($D23),ISNUMBER($E23),H$4&gt;=$D23,H$4&lt;=$E23,NETWORKDAYS(H$4,H$4,'Sources &amp; Change Log'!$J$2:$J$5)=1,COUNTIFS('Team Calendar'!$A$5:$A$14,$F23,'Team Calendar'!$C$5:$C$14,H$4,'Team Calendar'!$F$5:$F$14,"Personal absence")=0),1,"")</x:f>
      </x:c>
      <x:c r="I23" s="207" t="str">
        <x:f>IF(AND(ISNUMBER($D23),ISNUMBER($E23),I$4&gt;=$D23,I$4&lt;=$E23,NETWORKDAYS(I$4,I$4,'Sources &amp; Change Log'!$J$2:$J$5)=1,COUNTIFS('Team Calendar'!$A$5:$A$14,$F23,'Team Calendar'!$C$5:$C$14,I$4,'Team Calendar'!$F$5:$F$14,"Personal absence")=0),1,"")</x:f>
      </x:c>
      <x:c r="J23" s="207" t="str">
        <x:f>IF(AND(ISNUMBER($D23),ISNUMBER($E23),J$4&gt;=$D23,J$4&lt;=$E23,NETWORKDAYS(J$4,J$4,'Sources &amp; Change Log'!$J$2:$J$5)=1,COUNTIFS('Team Calendar'!$A$5:$A$14,$F23,'Team Calendar'!$C$5:$C$14,J$4,'Team Calendar'!$F$5:$F$14,"Personal absence")=0),1,"")</x:f>
      </x:c>
      <x:c r="K23" s="207" t="str">
        <x:f>IF(AND(ISNUMBER($D23),ISNUMBER($E23),K$4&gt;=$D23,K$4&lt;=$E23,NETWORKDAYS(K$4,K$4,'Sources &amp; Change Log'!$J$2:$J$5)=1,COUNTIFS('Team Calendar'!$A$5:$A$14,$F23,'Team Calendar'!$C$5:$C$14,K$4,'Team Calendar'!$F$5:$F$14,"Personal absence")=0),1,"")</x:f>
      </x:c>
      <x:c r="L23" s="207" t="str">
        <x:f>IF(AND(ISNUMBER($D23),ISNUMBER($E23),L$4&gt;=$D23,L$4&lt;=$E23,NETWORKDAYS(L$4,L$4,'Sources &amp; Change Log'!$J$2:$J$5)=1,COUNTIFS('Team Calendar'!$A$5:$A$14,$F23,'Team Calendar'!$C$5:$C$14,L$4,'Team Calendar'!$F$5:$F$14,"Personal absence")=0),1,"")</x:f>
      </x:c>
      <x:c r="M23" s="207" t="str">
        <x:f>IF(AND(ISNUMBER($D23),ISNUMBER($E23),M$4&gt;=$D23,M$4&lt;=$E23,NETWORKDAYS(M$4,M$4,'Sources &amp; Change Log'!$J$2:$J$5)=1,COUNTIFS('Team Calendar'!$A$5:$A$14,$F23,'Team Calendar'!$C$5:$C$14,M$4,'Team Calendar'!$F$5:$F$14,"Personal absence")=0),1,"")</x:f>
      </x:c>
      <x:c r="N23" s="207" t="str">
        <x:f>IF(AND(ISNUMBER($D23),ISNUMBER($E23),N$4&gt;=$D23,N$4&lt;=$E23,NETWORKDAYS(N$4,N$4,'Sources &amp; Change Log'!$J$2:$J$5)=1,COUNTIFS('Team Calendar'!$A$5:$A$14,$F23,'Team Calendar'!$C$5:$C$14,N$4,'Team Calendar'!$F$5:$F$14,"Personal absence")=0),1,"")</x:f>
      </x:c>
      <x:c r="O23" s="207" t="str">
        <x:f>IF(AND(ISNUMBER($D23),ISNUMBER($E23),O$4&gt;=$D23,O$4&lt;=$E23,NETWORKDAYS(O$4,O$4,'Sources &amp; Change Log'!$J$2:$J$5)=1,COUNTIFS('Team Calendar'!$A$5:$A$14,$F23,'Team Calendar'!$C$5:$C$14,O$4,'Team Calendar'!$F$5:$F$14,"Personal absence")=0),1,"")</x:f>
      </x:c>
      <x:c r="P23" s="207" t="str">
        <x:f>IF(AND(ISNUMBER($D23),ISNUMBER($E23),P$4&gt;=$D23,P$4&lt;=$E23,NETWORKDAYS(P$4,P$4,'Sources &amp; Change Log'!$J$2:$J$5)=1,COUNTIFS('Team Calendar'!$A$5:$A$14,$F23,'Team Calendar'!$C$5:$C$14,P$4,'Team Calendar'!$F$5:$F$14,"Personal absence")=0),1,"")</x:f>
      </x:c>
      <x:c r="Q23" s="207" t="str">
        <x:f>IF(AND(ISNUMBER($D23),ISNUMBER($E23),Q$4&gt;=$D23,Q$4&lt;=$E23,NETWORKDAYS(Q$4,Q$4,'Sources &amp; Change Log'!$J$2:$J$5)=1,COUNTIFS('Team Calendar'!$A$5:$A$14,$F23,'Team Calendar'!$C$5:$C$14,Q$4,'Team Calendar'!$F$5:$F$14,"Personal absence")=0),1,"")</x:f>
      </x:c>
      <x:c r="R23" s="207" t="str">
        <x:f>IF(AND(ISNUMBER($D23),ISNUMBER($E23),R$4&gt;=$D23,R$4&lt;=$E23,NETWORKDAYS(R$4,R$4,'Sources &amp; Change Log'!$J$2:$J$5)=1,COUNTIFS('Team Calendar'!$A$5:$A$14,$F23,'Team Calendar'!$C$5:$C$14,R$4,'Team Calendar'!$F$5:$F$14,"Personal absence")=0),1,"")</x:f>
      </x:c>
      <x:c r="S23" s="207" t="str">
        <x:f>IF(AND(ISNUMBER($D23),ISNUMBER($E23),S$4&gt;=$D23,S$4&lt;=$E23,NETWORKDAYS(S$4,S$4,'Sources &amp; Change Log'!$J$2:$J$5)=1,COUNTIFS('Team Calendar'!$A$5:$A$14,$F23,'Team Calendar'!$C$5:$C$14,S$4,'Team Calendar'!$F$5:$F$14,"Personal absence")=0),1,"")</x:f>
      </x:c>
      <x:c r="T23" s="207" t="str">
        <x:f>IF(AND(ISNUMBER($D23),ISNUMBER($E23),T$4&gt;=$D23,T$4&lt;=$E23,NETWORKDAYS(T$4,T$4,'Sources &amp; Change Log'!$J$2:$J$5)=1,COUNTIFS('Team Calendar'!$A$5:$A$14,$F23,'Team Calendar'!$C$5:$C$14,T$4,'Team Calendar'!$F$5:$F$14,"Personal absence")=0),1,"")</x:f>
      </x:c>
      <x:c r="U23" s="207" t="str">
        <x:f>IF(AND(ISNUMBER($D23),ISNUMBER($E23),U$4&gt;=$D23,U$4&lt;=$E23,NETWORKDAYS(U$4,U$4,'Sources &amp; Change Log'!$J$2:$J$5)=1,COUNTIFS('Team Calendar'!$A$5:$A$14,$F23,'Team Calendar'!$C$5:$C$14,U$4,'Team Calendar'!$F$5:$F$14,"Personal absence")=0),1,"")</x:f>
      </x:c>
      <x:c r="V23" s="207" t="str">
        <x:f>IF(AND(ISNUMBER($D23),ISNUMBER($E23),V$4&gt;=$D23,V$4&lt;=$E23,NETWORKDAYS(V$4,V$4,'Sources &amp; Change Log'!$J$2:$J$5)=1,COUNTIFS('Team Calendar'!$A$5:$A$14,$F23,'Team Calendar'!$C$5:$C$14,V$4,'Team Calendar'!$F$5:$F$14,"Personal absence")=0),1,"")</x:f>
      </x:c>
      <x:c r="W23" s="207" t="str">
        <x:f>IF(AND(ISNUMBER($D23),ISNUMBER($E23),W$4&gt;=$D23,W$4&lt;=$E23,NETWORKDAYS(W$4,W$4,'Sources &amp; Change Log'!$J$2:$J$5)=1,COUNTIFS('Team Calendar'!$A$5:$A$14,$F23,'Team Calendar'!$C$5:$C$14,W$4,'Team Calendar'!$F$5:$F$14,"Personal absence")=0),1,"")</x:f>
      </x:c>
      <x:c r="X23" s="207" t="str">
        <x:f>IF(AND(ISNUMBER($D23),ISNUMBER($E23),X$4&gt;=$D23,X$4&lt;=$E23,NETWORKDAYS(X$4,X$4,'Sources &amp; Change Log'!$J$2:$J$5)=1,COUNTIFS('Team Calendar'!$A$5:$A$14,$F23,'Team Calendar'!$C$5:$C$14,X$4,'Team Calendar'!$F$5:$F$14,"Personal absence")=0),1,"")</x:f>
      </x:c>
      <x:c r="Y23" s="207" t="str">
        <x:f>IF(AND(ISNUMBER($D23),ISNUMBER($E23),Y$4&gt;=$D23,Y$4&lt;=$E23,NETWORKDAYS(Y$4,Y$4,'Sources &amp; Change Log'!$J$2:$J$5)=1,COUNTIFS('Team Calendar'!$A$5:$A$14,$F23,'Team Calendar'!$C$5:$C$14,Y$4,'Team Calendar'!$F$5:$F$14,"Personal absence")=0),1,"")</x:f>
      </x:c>
      <x:c r="Z23" s="207" t="str">
        <x:f>IF(AND(ISNUMBER($D23),ISNUMBER($E23),Z$4&gt;=$D23,Z$4&lt;=$E23,NETWORKDAYS(Z$4,Z$4,'Sources &amp; Change Log'!$J$2:$J$5)=1,COUNTIFS('Team Calendar'!$A$5:$A$14,$F23,'Team Calendar'!$C$5:$C$14,Z$4,'Team Calendar'!$F$5:$F$14,"Personal absence")=0),1,"")</x:f>
      </x:c>
      <x:c r="AA23" s="207" t="str">
        <x:f>IF(AND(ISNUMBER($D23),ISNUMBER($E23),AA$4&gt;=$D23,AA$4&lt;=$E23,NETWORKDAYS(AA$4,AA$4,'Sources &amp; Change Log'!$J$2:$J$5)=1,COUNTIFS('Team Calendar'!$A$5:$A$14,$F23,'Team Calendar'!$C$5:$C$14,AA$4,'Team Calendar'!$F$5:$F$14,"Personal absence")=0),1,"")</x:f>
      </x:c>
      <x:c r="AB23" s="207" t="str">
        <x:f>IF(AND(ISNUMBER($D23),ISNUMBER($E23),AB$4&gt;=$D23,AB$4&lt;=$E23,NETWORKDAYS(AB$4,AB$4,'Sources &amp; Change Log'!$J$2:$J$5)=1,COUNTIFS('Team Calendar'!$A$5:$A$14,$F23,'Team Calendar'!$C$5:$C$14,AB$4,'Team Calendar'!$F$5:$F$14,"Personal absence")=0),1,"")</x:f>
      </x:c>
      <x:c r="AC23" s="207" t="str">
        <x:f>IF(AND(ISNUMBER($D23),ISNUMBER($E23),AC$4&gt;=$D23,AC$4&lt;=$E23,NETWORKDAYS(AC$4,AC$4,'Sources &amp; Change Log'!$J$2:$J$5)=1,COUNTIFS('Team Calendar'!$A$5:$A$14,$F23,'Team Calendar'!$C$5:$C$14,AC$4,'Team Calendar'!$F$5:$F$14,"Personal absence")=0),1,"")</x:f>
      </x:c>
      <x:c r="AD23" s="207" t="str">
        <x:f>IF(AND(ISNUMBER($D23),ISNUMBER($E23),AD$4&gt;=$D23,AD$4&lt;=$E23,NETWORKDAYS(AD$4,AD$4,'Sources &amp; Change Log'!$J$2:$J$5)=1,COUNTIFS('Team Calendar'!$A$5:$A$14,$F23,'Team Calendar'!$C$5:$C$14,AD$4,'Team Calendar'!$F$5:$F$14,"Personal absence")=0),1,"")</x:f>
      </x:c>
      <x:c r="AE23" s="207" t="str">
        <x:f>IF(AND(ISNUMBER($D23),ISNUMBER($E23),AE$4&gt;=$D23,AE$4&lt;=$E23,NETWORKDAYS(AE$4,AE$4,'Sources &amp; Change Log'!$J$2:$J$5)=1,COUNTIFS('Team Calendar'!$A$5:$A$14,$F23,'Team Calendar'!$C$5:$C$14,AE$4,'Team Calendar'!$F$5:$F$14,"Personal absence")=0),1,"")</x:f>
      </x:c>
      <x:c r="AF23" s="207" t="str">
        <x:f>IF(AND(ISNUMBER($D23),ISNUMBER($E23),AF$4&gt;=$D23,AF$4&lt;=$E23,NETWORKDAYS(AF$4,AF$4,'Sources &amp; Change Log'!$J$2:$J$5)=1,COUNTIFS('Team Calendar'!$A$5:$A$14,$F23,'Team Calendar'!$C$5:$C$14,AF$4,'Team Calendar'!$F$5:$F$14,"Personal absence")=0),1,"")</x:f>
      </x:c>
      <x:c r="AG23" s="207" t="str">
        <x:f>IF(AND(ISNUMBER($D23),ISNUMBER($E23),AG$4&gt;=$D23,AG$4&lt;=$E23,NETWORKDAYS(AG$4,AG$4,'Sources &amp; Change Log'!$J$2:$J$5)=1,COUNTIFS('Team Calendar'!$A$5:$A$14,$F23,'Team Calendar'!$C$5:$C$14,AG$4,'Team Calendar'!$F$5:$F$14,"Personal absence")=0),1,"")</x:f>
      </x:c>
      <x:c r="AH23" s="207" t="str">
        <x:f>IF(AND(ISNUMBER($D23),ISNUMBER($E23),AH$4&gt;=$D23,AH$4&lt;=$E23,NETWORKDAYS(AH$4,AH$4,'Sources &amp; Change Log'!$J$2:$J$5)=1,COUNTIFS('Team Calendar'!$A$5:$A$14,$F23,'Team Calendar'!$C$5:$C$14,AH$4,'Team Calendar'!$F$5:$F$14,"Personal absence")=0),1,"")</x:f>
      </x:c>
      <x:c r="AI23" s="207" t="str">
        <x:f>IF(AND(ISNUMBER($D23),ISNUMBER($E23),AI$4&gt;=$D23,AI$4&lt;=$E23,NETWORKDAYS(AI$4,AI$4,'Sources &amp; Change Log'!$J$2:$J$5)=1,COUNTIFS('Team Calendar'!$A$5:$A$14,$F23,'Team Calendar'!$C$5:$C$14,AI$4,'Team Calendar'!$F$5:$F$14,"Personal absence")=0),1,"")</x:f>
      </x:c>
      <x:c r="AJ23" s="206"/>
      <x:c r="AK23" s="206"/>
      <x:c r="AL23" s="206"/>
      <x:c r="AM23" s="206"/>
      <x:c r="AN23" s="206"/>
      <x:c r="AO23" s="206"/>
      <x:c r="AP23" s="206"/>
      <x:c r="AQ23" s="206"/>
      <x:c r="AR23" s="206"/>
      <x:c r="AS23" s="206"/>
      <x:c r="AT23" s="206"/>
      <x:c r="AU23" s="206"/>
      <x:c r="AV23" s="206"/>
      <x:c r="AW23" s="206"/>
      <x:c r="AX23" s="206"/>
      <x:c r="AY23" s="206"/>
      <x:c r="AZ23" s="206"/>
    </x:row>
    <x:row r="24" ht="30" customHeight="1">
      <x:c r="A24" s="195" t="str">
        <x:f>WBS!A50</x:f>
        <x:v>DEC-CAL-P2-01</x:v>
      </x:c>
      <x:c r="B24" s="195" t="str">
        <x:f>WBS!B50</x:f>
        <x:v>Phase 2 Review Schedule Decision</x:v>
      </x:c>
      <x:c r="C24" s="195" t="str">
        <x:f>WBS!G50</x:f>
        <x:v>To Do</x:v>
      </x:c>
      <x:c r="D24" s="225" t="n">
        <x:f>WBS!H50</x:f>
        <x:v>46302</x:v>
      </x:c>
      <x:c r="E24" s="225" t="n">
        <x:f>WBS!I50</x:f>
        <x:v>46302</x:v>
      </x:c>
      <x:c r="F24" s="13" t="str">
        <x:f>WBS!L50</x:f>
        <x:v>이권욱</x:v>
      </x:c>
      <x:c r="G24" s="207" t="str">
        <x:f>IF(AND(ISNUMBER($D24),ISNUMBER($E24),G$4&gt;=$D24,G$4&lt;=$E24,NETWORKDAYS(G$4,G$4,'Sources &amp; Change Log'!$J$2:$J$5)=1,COUNTIFS('Team Calendar'!$A$5:$A$14,$F24,'Team Calendar'!$C$5:$C$14,G$4,'Team Calendar'!$F$5:$F$14,"Personal absence")=0),1,"")</x:f>
      </x:c>
      <x:c r="H24" s="207" t="str">
        <x:f>IF(AND(ISNUMBER($D24),ISNUMBER($E24),H$4&gt;=$D24,H$4&lt;=$E24,NETWORKDAYS(H$4,H$4,'Sources &amp; Change Log'!$J$2:$J$5)=1,COUNTIFS('Team Calendar'!$A$5:$A$14,$F24,'Team Calendar'!$C$5:$C$14,H$4,'Team Calendar'!$F$5:$F$14,"Personal absence")=0),1,"")</x:f>
      </x:c>
      <x:c r="I24" s="207" t="str">
        <x:f>IF(AND(ISNUMBER($D24),ISNUMBER($E24),I$4&gt;=$D24,I$4&lt;=$E24,NETWORKDAYS(I$4,I$4,'Sources &amp; Change Log'!$J$2:$J$5)=1,COUNTIFS('Team Calendar'!$A$5:$A$14,$F24,'Team Calendar'!$C$5:$C$14,I$4,'Team Calendar'!$F$5:$F$14,"Personal absence")=0),1,"")</x:f>
      </x:c>
      <x:c r="J24" s="207" t="str">
        <x:f>IF(AND(ISNUMBER($D24),ISNUMBER($E24),J$4&gt;=$D24,J$4&lt;=$E24,NETWORKDAYS(J$4,J$4,'Sources &amp; Change Log'!$J$2:$J$5)=1,COUNTIFS('Team Calendar'!$A$5:$A$14,$F24,'Team Calendar'!$C$5:$C$14,J$4,'Team Calendar'!$F$5:$F$14,"Personal absence")=0),1,"")</x:f>
      </x:c>
      <x:c r="K24" s="207" t="str">
        <x:f>IF(AND(ISNUMBER($D24),ISNUMBER($E24),K$4&gt;=$D24,K$4&lt;=$E24,NETWORKDAYS(K$4,K$4,'Sources &amp; Change Log'!$J$2:$J$5)=1,COUNTIFS('Team Calendar'!$A$5:$A$14,$F24,'Team Calendar'!$C$5:$C$14,K$4,'Team Calendar'!$F$5:$F$14,"Personal absence")=0),1,"")</x:f>
      </x:c>
      <x:c r="L24" s="207" t="str">
        <x:f>IF(AND(ISNUMBER($D24),ISNUMBER($E24),L$4&gt;=$D24,L$4&lt;=$E24,NETWORKDAYS(L$4,L$4,'Sources &amp; Change Log'!$J$2:$J$5)=1,COUNTIFS('Team Calendar'!$A$5:$A$14,$F24,'Team Calendar'!$C$5:$C$14,L$4,'Team Calendar'!$F$5:$F$14,"Personal absence")=0),1,"")</x:f>
      </x:c>
      <x:c r="M24" s="207" t="str">
        <x:f>IF(AND(ISNUMBER($D24),ISNUMBER($E24),M$4&gt;=$D24,M$4&lt;=$E24,NETWORKDAYS(M$4,M$4,'Sources &amp; Change Log'!$J$2:$J$5)=1,COUNTIFS('Team Calendar'!$A$5:$A$14,$F24,'Team Calendar'!$C$5:$C$14,M$4,'Team Calendar'!$F$5:$F$14,"Personal absence")=0),1,"")</x:f>
      </x:c>
      <x:c r="N24" s="207" t="str">
        <x:f>IF(AND(ISNUMBER($D24),ISNUMBER($E24),N$4&gt;=$D24,N$4&lt;=$E24,NETWORKDAYS(N$4,N$4,'Sources &amp; Change Log'!$J$2:$J$5)=1,COUNTIFS('Team Calendar'!$A$5:$A$14,$F24,'Team Calendar'!$C$5:$C$14,N$4,'Team Calendar'!$F$5:$F$14,"Personal absence")=0),1,"")</x:f>
      </x:c>
      <x:c r="O24" s="207" t="str">
        <x:f>IF(AND(ISNUMBER($D24),ISNUMBER($E24),O$4&gt;=$D24,O$4&lt;=$E24,NETWORKDAYS(O$4,O$4,'Sources &amp; Change Log'!$J$2:$J$5)=1,COUNTIFS('Team Calendar'!$A$5:$A$14,$F24,'Team Calendar'!$C$5:$C$14,O$4,'Team Calendar'!$F$5:$F$14,"Personal absence")=0),1,"")</x:f>
      </x:c>
      <x:c r="P24" s="207" t="n">
        <x:f>IF(AND(ISNUMBER($D24),ISNUMBER($E24),P$4&gt;=$D24,P$4&lt;=$E24,NETWORKDAYS(P$4,P$4,'Sources &amp; Change Log'!$J$2:$J$5)=1,COUNTIFS('Team Calendar'!$A$5:$A$14,$F24,'Team Calendar'!$C$5:$C$14,P$4,'Team Calendar'!$F$5:$F$14,"Personal absence")=0),1,"")</x:f>
        <x:v>1</x:v>
      </x:c>
      <x:c r="Q24" s="207" t="str">
        <x:f>IF(AND(ISNUMBER($D24),ISNUMBER($E24),Q$4&gt;=$D24,Q$4&lt;=$E24,NETWORKDAYS(Q$4,Q$4,'Sources &amp; Change Log'!$J$2:$J$5)=1,COUNTIFS('Team Calendar'!$A$5:$A$14,$F24,'Team Calendar'!$C$5:$C$14,Q$4,'Team Calendar'!$F$5:$F$14,"Personal absence")=0),1,"")</x:f>
      </x:c>
      <x:c r="R24" s="207" t="str">
        <x:f>IF(AND(ISNUMBER($D24),ISNUMBER($E24),R$4&gt;=$D24,R$4&lt;=$E24,NETWORKDAYS(R$4,R$4,'Sources &amp; Change Log'!$J$2:$J$5)=1,COUNTIFS('Team Calendar'!$A$5:$A$14,$F24,'Team Calendar'!$C$5:$C$14,R$4,'Team Calendar'!$F$5:$F$14,"Personal absence")=0),1,"")</x:f>
      </x:c>
      <x:c r="S24" s="207" t="str">
        <x:f>IF(AND(ISNUMBER($D24),ISNUMBER($E24),S$4&gt;=$D24,S$4&lt;=$E24,NETWORKDAYS(S$4,S$4,'Sources &amp; Change Log'!$J$2:$J$5)=1,COUNTIFS('Team Calendar'!$A$5:$A$14,$F24,'Team Calendar'!$C$5:$C$14,S$4,'Team Calendar'!$F$5:$F$14,"Personal absence")=0),1,"")</x:f>
      </x:c>
      <x:c r="T24" s="207" t="str">
        <x:f>IF(AND(ISNUMBER($D24),ISNUMBER($E24),T$4&gt;=$D24,T$4&lt;=$E24,NETWORKDAYS(T$4,T$4,'Sources &amp; Change Log'!$J$2:$J$5)=1,COUNTIFS('Team Calendar'!$A$5:$A$14,$F24,'Team Calendar'!$C$5:$C$14,T$4,'Team Calendar'!$F$5:$F$14,"Personal absence")=0),1,"")</x:f>
      </x:c>
      <x:c r="U24" s="207" t="str">
        <x:f>IF(AND(ISNUMBER($D24),ISNUMBER($E24),U$4&gt;=$D24,U$4&lt;=$E24,NETWORKDAYS(U$4,U$4,'Sources &amp; Change Log'!$J$2:$J$5)=1,COUNTIFS('Team Calendar'!$A$5:$A$14,$F24,'Team Calendar'!$C$5:$C$14,U$4,'Team Calendar'!$F$5:$F$14,"Personal absence")=0),1,"")</x:f>
      </x:c>
      <x:c r="V24" s="207" t="str">
        <x:f>IF(AND(ISNUMBER($D24),ISNUMBER($E24),V$4&gt;=$D24,V$4&lt;=$E24,NETWORKDAYS(V$4,V$4,'Sources &amp; Change Log'!$J$2:$J$5)=1,COUNTIFS('Team Calendar'!$A$5:$A$14,$F24,'Team Calendar'!$C$5:$C$14,V$4,'Team Calendar'!$F$5:$F$14,"Personal absence")=0),1,"")</x:f>
      </x:c>
      <x:c r="W24" s="207" t="str">
        <x:f>IF(AND(ISNUMBER($D24),ISNUMBER($E24),W$4&gt;=$D24,W$4&lt;=$E24,NETWORKDAYS(W$4,W$4,'Sources &amp; Change Log'!$J$2:$J$5)=1,COUNTIFS('Team Calendar'!$A$5:$A$14,$F24,'Team Calendar'!$C$5:$C$14,W$4,'Team Calendar'!$F$5:$F$14,"Personal absence")=0),1,"")</x:f>
      </x:c>
      <x:c r="X24" s="207" t="str">
        <x:f>IF(AND(ISNUMBER($D24),ISNUMBER($E24),X$4&gt;=$D24,X$4&lt;=$E24,NETWORKDAYS(X$4,X$4,'Sources &amp; Change Log'!$J$2:$J$5)=1,COUNTIFS('Team Calendar'!$A$5:$A$14,$F24,'Team Calendar'!$C$5:$C$14,X$4,'Team Calendar'!$F$5:$F$14,"Personal absence")=0),1,"")</x:f>
      </x:c>
      <x:c r="Y24" s="207" t="str">
        <x:f>IF(AND(ISNUMBER($D24),ISNUMBER($E24),Y$4&gt;=$D24,Y$4&lt;=$E24,NETWORKDAYS(Y$4,Y$4,'Sources &amp; Change Log'!$J$2:$J$5)=1,COUNTIFS('Team Calendar'!$A$5:$A$14,$F24,'Team Calendar'!$C$5:$C$14,Y$4,'Team Calendar'!$F$5:$F$14,"Personal absence")=0),1,"")</x:f>
      </x:c>
      <x:c r="Z24" s="207" t="str">
        <x:f>IF(AND(ISNUMBER($D24),ISNUMBER($E24),Z$4&gt;=$D24,Z$4&lt;=$E24,NETWORKDAYS(Z$4,Z$4,'Sources &amp; Change Log'!$J$2:$J$5)=1,COUNTIFS('Team Calendar'!$A$5:$A$14,$F24,'Team Calendar'!$C$5:$C$14,Z$4,'Team Calendar'!$F$5:$F$14,"Personal absence")=0),1,"")</x:f>
      </x:c>
      <x:c r="AA24" s="207" t="str">
        <x:f>IF(AND(ISNUMBER($D24),ISNUMBER($E24),AA$4&gt;=$D24,AA$4&lt;=$E24,NETWORKDAYS(AA$4,AA$4,'Sources &amp; Change Log'!$J$2:$J$5)=1,COUNTIFS('Team Calendar'!$A$5:$A$14,$F24,'Team Calendar'!$C$5:$C$14,AA$4,'Team Calendar'!$F$5:$F$14,"Personal absence")=0),1,"")</x:f>
      </x:c>
      <x:c r="AB24" s="207" t="str">
        <x:f>IF(AND(ISNUMBER($D24),ISNUMBER($E24),AB$4&gt;=$D24,AB$4&lt;=$E24,NETWORKDAYS(AB$4,AB$4,'Sources &amp; Change Log'!$J$2:$J$5)=1,COUNTIFS('Team Calendar'!$A$5:$A$14,$F24,'Team Calendar'!$C$5:$C$14,AB$4,'Team Calendar'!$F$5:$F$14,"Personal absence")=0),1,"")</x:f>
      </x:c>
      <x:c r="AC24" s="207" t="str">
        <x:f>IF(AND(ISNUMBER($D24),ISNUMBER($E24),AC$4&gt;=$D24,AC$4&lt;=$E24,NETWORKDAYS(AC$4,AC$4,'Sources &amp; Change Log'!$J$2:$J$5)=1,COUNTIFS('Team Calendar'!$A$5:$A$14,$F24,'Team Calendar'!$C$5:$C$14,AC$4,'Team Calendar'!$F$5:$F$14,"Personal absence")=0),1,"")</x:f>
      </x:c>
      <x:c r="AD24" s="207" t="str">
        <x:f>IF(AND(ISNUMBER($D24),ISNUMBER($E24),AD$4&gt;=$D24,AD$4&lt;=$E24,NETWORKDAYS(AD$4,AD$4,'Sources &amp; Change Log'!$J$2:$J$5)=1,COUNTIFS('Team Calendar'!$A$5:$A$14,$F24,'Team Calendar'!$C$5:$C$14,AD$4,'Team Calendar'!$F$5:$F$14,"Personal absence")=0),1,"")</x:f>
      </x:c>
      <x:c r="AE24" s="207" t="str">
        <x:f>IF(AND(ISNUMBER($D24),ISNUMBER($E24),AE$4&gt;=$D24,AE$4&lt;=$E24,NETWORKDAYS(AE$4,AE$4,'Sources &amp; Change Log'!$J$2:$J$5)=1,COUNTIFS('Team Calendar'!$A$5:$A$14,$F24,'Team Calendar'!$C$5:$C$14,AE$4,'Team Calendar'!$F$5:$F$14,"Personal absence")=0),1,"")</x:f>
      </x:c>
      <x:c r="AF24" s="207" t="str">
        <x:f>IF(AND(ISNUMBER($D24),ISNUMBER($E24),AF$4&gt;=$D24,AF$4&lt;=$E24,NETWORKDAYS(AF$4,AF$4,'Sources &amp; Change Log'!$J$2:$J$5)=1,COUNTIFS('Team Calendar'!$A$5:$A$14,$F24,'Team Calendar'!$C$5:$C$14,AF$4,'Team Calendar'!$F$5:$F$14,"Personal absence")=0),1,"")</x:f>
      </x:c>
      <x:c r="AG24" s="207" t="str">
        <x:f>IF(AND(ISNUMBER($D24),ISNUMBER($E24),AG$4&gt;=$D24,AG$4&lt;=$E24,NETWORKDAYS(AG$4,AG$4,'Sources &amp; Change Log'!$J$2:$J$5)=1,COUNTIFS('Team Calendar'!$A$5:$A$14,$F24,'Team Calendar'!$C$5:$C$14,AG$4,'Team Calendar'!$F$5:$F$14,"Personal absence")=0),1,"")</x:f>
      </x:c>
      <x:c r="AH24" s="207" t="str">
        <x:f>IF(AND(ISNUMBER($D24),ISNUMBER($E24),AH$4&gt;=$D24,AH$4&lt;=$E24,NETWORKDAYS(AH$4,AH$4,'Sources &amp; Change Log'!$J$2:$J$5)=1,COUNTIFS('Team Calendar'!$A$5:$A$14,$F24,'Team Calendar'!$C$5:$C$14,AH$4,'Team Calendar'!$F$5:$F$14,"Personal absence")=0),1,"")</x:f>
      </x:c>
      <x:c r="AI24" s="207" t="str">
        <x:f>IF(AND(ISNUMBER($D24),ISNUMBER($E24),AI$4&gt;=$D24,AI$4&lt;=$E24,NETWORKDAYS(AI$4,AI$4,'Sources &amp; Change Log'!$J$2:$J$5)=1,COUNTIFS('Team Calendar'!$A$5:$A$14,$F24,'Team Calendar'!$C$5:$C$14,AI$4,'Team Calendar'!$F$5:$F$14,"Personal absence")=0),1,"")</x:f>
      </x:c>
      <x:c r="AJ24" s="206"/>
      <x:c r="AK24" s="206"/>
      <x:c r="AL24" s="206"/>
      <x:c r="AM24" s="206"/>
      <x:c r="AN24" s="206"/>
      <x:c r="AO24" s="206"/>
      <x:c r="AP24" s="206"/>
      <x:c r="AQ24" s="206"/>
      <x:c r="AR24" s="206"/>
      <x:c r="AS24" s="206"/>
      <x:c r="AT24" s="206"/>
      <x:c r="AU24" s="206"/>
      <x:c r="AV24" s="206"/>
      <x:c r="AW24" s="206"/>
      <x:c r="AX24" s="206"/>
      <x:c r="AY24" s="206"/>
      <x:c r="AZ24" s="206"/>
    </x:row>
    <x:row r="25" ht="30" customHeight="1">
      <x:c r="A25" s="195" t="str">
        <x:f>WBS!A51</x:f>
        <x:v>MS-G6-01</x:v>
      </x:c>
      <x:c r="B25" s="195" t="str">
        <x:f>WBS!B51</x:f>
        <x:v>G6 Hybrid Integration Ready</x:v>
      </x:c>
      <x:c r="C25" s="195" t="str">
        <x:f>WBS!G51</x:f>
        <x:v>To Do</x:v>
      </x:c>
      <x:c r="D25" s="225" t="n">
        <x:f>WBS!H51</x:f>
        <x:v>46317</x:v>
      </x:c>
      <x:c r="E25" s="225" t="n">
        <x:f>WBS!I51</x:f>
        <x:v>46317</x:v>
      </x:c>
      <x:c r="F25" s="13" t="str">
        <x:f>WBS!L51</x:f>
        <x:v>이권욱</x:v>
      </x:c>
      <x:c r="G25" s="207" t="str">
        <x:f>IF(AND(ISNUMBER($D25),ISNUMBER($E25),G$4&gt;=$D25,G$4&lt;=$E25,NETWORKDAYS(G$4,G$4,'Sources &amp; Change Log'!$J$2:$J$5)=1,COUNTIFS('Team Calendar'!$A$5:$A$14,$F25,'Team Calendar'!$C$5:$C$14,G$4,'Team Calendar'!$F$5:$F$14,"Personal absence")=0),1,"")</x:f>
      </x:c>
      <x:c r="H25" s="207" t="str">
        <x:f>IF(AND(ISNUMBER($D25),ISNUMBER($E25),H$4&gt;=$D25,H$4&lt;=$E25,NETWORKDAYS(H$4,H$4,'Sources &amp; Change Log'!$J$2:$J$5)=1,COUNTIFS('Team Calendar'!$A$5:$A$14,$F25,'Team Calendar'!$C$5:$C$14,H$4,'Team Calendar'!$F$5:$F$14,"Personal absence")=0),1,"")</x:f>
      </x:c>
      <x:c r="I25" s="207" t="str">
        <x:f>IF(AND(ISNUMBER($D25),ISNUMBER($E25),I$4&gt;=$D25,I$4&lt;=$E25,NETWORKDAYS(I$4,I$4,'Sources &amp; Change Log'!$J$2:$J$5)=1,COUNTIFS('Team Calendar'!$A$5:$A$14,$F25,'Team Calendar'!$C$5:$C$14,I$4,'Team Calendar'!$F$5:$F$14,"Personal absence")=0),1,"")</x:f>
      </x:c>
      <x:c r="J25" s="207" t="str">
        <x:f>IF(AND(ISNUMBER($D25),ISNUMBER($E25),J$4&gt;=$D25,J$4&lt;=$E25,NETWORKDAYS(J$4,J$4,'Sources &amp; Change Log'!$J$2:$J$5)=1,COUNTIFS('Team Calendar'!$A$5:$A$14,$F25,'Team Calendar'!$C$5:$C$14,J$4,'Team Calendar'!$F$5:$F$14,"Personal absence")=0),1,"")</x:f>
      </x:c>
      <x:c r="K25" s="207" t="str">
        <x:f>IF(AND(ISNUMBER($D25),ISNUMBER($E25),K$4&gt;=$D25,K$4&lt;=$E25,NETWORKDAYS(K$4,K$4,'Sources &amp; Change Log'!$J$2:$J$5)=1,COUNTIFS('Team Calendar'!$A$5:$A$14,$F25,'Team Calendar'!$C$5:$C$14,K$4,'Team Calendar'!$F$5:$F$14,"Personal absence")=0),1,"")</x:f>
      </x:c>
      <x:c r="L25" s="207" t="str">
        <x:f>IF(AND(ISNUMBER($D25),ISNUMBER($E25),L$4&gt;=$D25,L$4&lt;=$E25,NETWORKDAYS(L$4,L$4,'Sources &amp; Change Log'!$J$2:$J$5)=1,COUNTIFS('Team Calendar'!$A$5:$A$14,$F25,'Team Calendar'!$C$5:$C$14,L$4,'Team Calendar'!$F$5:$F$14,"Personal absence")=0),1,"")</x:f>
      </x:c>
      <x:c r="M25" s="207" t="str">
        <x:f>IF(AND(ISNUMBER($D25),ISNUMBER($E25),M$4&gt;=$D25,M$4&lt;=$E25,NETWORKDAYS(M$4,M$4,'Sources &amp; Change Log'!$J$2:$J$5)=1,COUNTIFS('Team Calendar'!$A$5:$A$14,$F25,'Team Calendar'!$C$5:$C$14,M$4,'Team Calendar'!$F$5:$F$14,"Personal absence")=0),1,"")</x:f>
      </x:c>
      <x:c r="N25" s="207" t="str">
        <x:f>IF(AND(ISNUMBER($D25),ISNUMBER($E25),N$4&gt;=$D25,N$4&lt;=$E25,NETWORKDAYS(N$4,N$4,'Sources &amp; Change Log'!$J$2:$J$5)=1,COUNTIFS('Team Calendar'!$A$5:$A$14,$F25,'Team Calendar'!$C$5:$C$14,N$4,'Team Calendar'!$F$5:$F$14,"Personal absence")=0),1,"")</x:f>
      </x:c>
      <x:c r="O25" s="207" t="str">
        <x:f>IF(AND(ISNUMBER($D25),ISNUMBER($E25),O$4&gt;=$D25,O$4&lt;=$E25,NETWORKDAYS(O$4,O$4,'Sources &amp; Change Log'!$J$2:$J$5)=1,COUNTIFS('Team Calendar'!$A$5:$A$14,$F25,'Team Calendar'!$C$5:$C$14,O$4,'Team Calendar'!$F$5:$F$14,"Personal absence")=0),1,"")</x:f>
      </x:c>
      <x:c r="P25" s="207" t="str">
        <x:f>IF(AND(ISNUMBER($D25),ISNUMBER($E25),P$4&gt;=$D25,P$4&lt;=$E25,NETWORKDAYS(P$4,P$4,'Sources &amp; Change Log'!$J$2:$J$5)=1,COUNTIFS('Team Calendar'!$A$5:$A$14,$F25,'Team Calendar'!$C$5:$C$14,P$4,'Team Calendar'!$F$5:$F$14,"Personal absence")=0),1,"")</x:f>
      </x:c>
      <x:c r="Q25" s="207" t="str">
        <x:f>IF(AND(ISNUMBER($D25),ISNUMBER($E25),Q$4&gt;=$D25,Q$4&lt;=$E25,NETWORKDAYS(Q$4,Q$4,'Sources &amp; Change Log'!$J$2:$J$5)=1,COUNTIFS('Team Calendar'!$A$5:$A$14,$F25,'Team Calendar'!$C$5:$C$14,Q$4,'Team Calendar'!$F$5:$F$14,"Personal absence")=0),1,"")</x:f>
      </x:c>
      <x:c r="R25" s="207" t="str">
        <x:f>IF(AND(ISNUMBER($D25),ISNUMBER($E25),R$4&gt;=$D25,R$4&lt;=$E25,NETWORKDAYS(R$4,R$4,'Sources &amp; Change Log'!$J$2:$J$5)=1,COUNTIFS('Team Calendar'!$A$5:$A$14,$F25,'Team Calendar'!$C$5:$C$14,R$4,'Team Calendar'!$F$5:$F$14,"Personal absence")=0),1,"")</x:f>
      </x:c>
      <x:c r="S25" s="207" t="str">
        <x:f>IF(AND(ISNUMBER($D25),ISNUMBER($E25),S$4&gt;=$D25,S$4&lt;=$E25,NETWORKDAYS(S$4,S$4,'Sources &amp; Change Log'!$J$2:$J$5)=1,COUNTIFS('Team Calendar'!$A$5:$A$14,$F25,'Team Calendar'!$C$5:$C$14,S$4,'Team Calendar'!$F$5:$F$14,"Personal absence")=0),1,"")</x:f>
      </x:c>
      <x:c r="T25" s="207" t="str">
        <x:f>IF(AND(ISNUMBER($D25),ISNUMBER($E25),T$4&gt;=$D25,T$4&lt;=$E25,NETWORKDAYS(T$4,T$4,'Sources &amp; Change Log'!$J$2:$J$5)=1,COUNTIFS('Team Calendar'!$A$5:$A$14,$F25,'Team Calendar'!$C$5:$C$14,T$4,'Team Calendar'!$F$5:$F$14,"Personal absence")=0),1,"")</x:f>
      </x:c>
      <x:c r="U25" s="207" t="str">
        <x:f>IF(AND(ISNUMBER($D25),ISNUMBER($E25),U$4&gt;=$D25,U$4&lt;=$E25,NETWORKDAYS(U$4,U$4,'Sources &amp; Change Log'!$J$2:$J$5)=1,COUNTIFS('Team Calendar'!$A$5:$A$14,$F25,'Team Calendar'!$C$5:$C$14,U$4,'Team Calendar'!$F$5:$F$14,"Personal absence")=0),1,"")</x:f>
      </x:c>
      <x:c r="V25" s="207" t="str">
        <x:f>IF(AND(ISNUMBER($D25),ISNUMBER($E25),V$4&gt;=$D25,V$4&lt;=$E25,NETWORKDAYS(V$4,V$4,'Sources &amp; Change Log'!$J$2:$J$5)=1,COUNTIFS('Team Calendar'!$A$5:$A$14,$F25,'Team Calendar'!$C$5:$C$14,V$4,'Team Calendar'!$F$5:$F$14,"Personal absence")=0),1,"")</x:f>
      </x:c>
      <x:c r="W25" s="207" t="str">
        <x:f>IF(AND(ISNUMBER($D25),ISNUMBER($E25),W$4&gt;=$D25,W$4&lt;=$E25,NETWORKDAYS(W$4,W$4,'Sources &amp; Change Log'!$J$2:$J$5)=1,COUNTIFS('Team Calendar'!$A$5:$A$14,$F25,'Team Calendar'!$C$5:$C$14,W$4,'Team Calendar'!$F$5:$F$14,"Personal absence")=0),1,"")</x:f>
      </x:c>
      <x:c r="X25" s="207" t="str">
        <x:f>IF(AND(ISNUMBER($D25),ISNUMBER($E25),X$4&gt;=$D25,X$4&lt;=$E25,NETWORKDAYS(X$4,X$4,'Sources &amp; Change Log'!$J$2:$J$5)=1,COUNTIFS('Team Calendar'!$A$5:$A$14,$F25,'Team Calendar'!$C$5:$C$14,X$4,'Team Calendar'!$F$5:$F$14,"Personal absence")=0),1,"")</x:f>
      </x:c>
      <x:c r="Y25" s="207" t="str">
        <x:f>IF(AND(ISNUMBER($D25),ISNUMBER($E25),Y$4&gt;=$D25,Y$4&lt;=$E25,NETWORKDAYS(Y$4,Y$4,'Sources &amp; Change Log'!$J$2:$J$5)=1,COUNTIFS('Team Calendar'!$A$5:$A$14,$F25,'Team Calendar'!$C$5:$C$14,Y$4,'Team Calendar'!$F$5:$F$14,"Personal absence")=0),1,"")</x:f>
      </x:c>
      <x:c r="Z25" s="207" t="str">
        <x:f>IF(AND(ISNUMBER($D25),ISNUMBER($E25),Z$4&gt;=$D25,Z$4&lt;=$E25,NETWORKDAYS(Z$4,Z$4,'Sources &amp; Change Log'!$J$2:$J$5)=1,COUNTIFS('Team Calendar'!$A$5:$A$14,$F25,'Team Calendar'!$C$5:$C$14,Z$4,'Team Calendar'!$F$5:$F$14,"Personal absence")=0),1,"")</x:f>
      </x:c>
      <x:c r="AA25" s="207" t="str">
        <x:f>IF(AND(ISNUMBER($D25),ISNUMBER($E25),AA$4&gt;=$D25,AA$4&lt;=$E25,NETWORKDAYS(AA$4,AA$4,'Sources &amp; Change Log'!$J$2:$J$5)=1,COUNTIFS('Team Calendar'!$A$5:$A$14,$F25,'Team Calendar'!$C$5:$C$14,AA$4,'Team Calendar'!$F$5:$F$14,"Personal absence")=0),1,"")</x:f>
      </x:c>
      <x:c r="AB25" s="207" t="str">
        <x:f>IF(AND(ISNUMBER($D25),ISNUMBER($E25),AB$4&gt;=$D25,AB$4&lt;=$E25,NETWORKDAYS(AB$4,AB$4,'Sources &amp; Change Log'!$J$2:$J$5)=1,COUNTIFS('Team Calendar'!$A$5:$A$14,$F25,'Team Calendar'!$C$5:$C$14,AB$4,'Team Calendar'!$F$5:$F$14,"Personal absence")=0),1,"")</x:f>
      </x:c>
      <x:c r="AC25" s="207" t="str">
        <x:f>IF(AND(ISNUMBER($D25),ISNUMBER($E25),AC$4&gt;=$D25,AC$4&lt;=$E25,NETWORKDAYS(AC$4,AC$4,'Sources &amp; Change Log'!$J$2:$J$5)=1,COUNTIFS('Team Calendar'!$A$5:$A$14,$F25,'Team Calendar'!$C$5:$C$14,AC$4,'Team Calendar'!$F$5:$F$14,"Personal absence")=0),1,"")</x:f>
      </x:c>
      <x:c r="AD25" s="207" t="str">
        <x:f>IF(AND(ISNUMBER($D25),ISNUMBER($E25),AD$4&gt;=$D25,AD$4&lt;=$E25,NETWORKDAYS(AD$4,AD$4,'Sources &amp; Change Log'!$J$2:$J$5)=1,COUNTIFS('Team Calendar'!$A$5:$A$14,$F25,'Team Calendar'!$C$5:$C$14,AD$4,'Team Calendar'!$F$5:$F$14,"Personal absence")=0),1,"")</x:f>
      </x:c>
      <x:c r="AE25" s="207" t="n">
        <x:f>IF(AND(ISNUMBER($D25),ISNUMBER($E25),AE$4&gt;=$D25,AE$4&lt;=$E25,NETWORKDAYS(AE$4,AE$4,'Sources &amp; Change Log'!$J$2:$J$5)=1,COUNTIFS('Team Calendar'!$A$5:$A$14,$F25,'Team Calendar'!$C$5:$C$14,AE$4,'Team Calendar'!$F$5:$F$14,"Personal absence")=0),1,"")</x:f>
        <x:v>1</x:v>
      </x:c>
      <x:c r="AF25" s="207" t="str">
        <x:f>IF(AND(ISNUMBER($D25),ISNUMBER($E25),AF$4&gt;=$D25,AF$4&lt;=$E25,NETWORKDAYS(AF$4,AF$4,'Sources &amp; Change Log'!$J$2:$J$5)=1,COUNTIFS('Team Calendar'!$A$5:$A$14,$F25,'Team Calendar'!$C$5:$C$14,AF$4,'Team Calendar'!$F$5:$F$14,"Personal absence")=0),1,"")</x:f>
      </x:c>
      <x:c r="AG25" s="207" t="str">
        <x:f>IF(AND(ISNUMBER($D25),ISNUMBER($E25),AG$4&gt;=$D25,AG$4&lt;=$E25,NETWORKDAYS(AG$4,AG$4,'Sources &amp; Change Log'!$J$2:$J$5)=1,COUNTIFS('Team Calendar'!$A$5:$A$14,$F25,'Team Calendar'!$C$5:$C$14,AG$4,'Team Calendar'!$F$5:$F$14,"Personal absence")=0),1,"")</x:f>
      </x:c>
      <x:c r="AH25" s="207" t="str">
        <x:f>IF(AND(ISNUMBER($D25),ISNUMBER($E25),AH$4&gt;=$D25,AH$4&lt;=$E25,NETWORKDAYS(AH$4,AH$4,'Sources &amp; Change Log'!$J$2:$J$5)=1,COUNTIFS('Team Calendar'!$A$5:$A$14,$F25,'Team Calendar'!$C$5:$C$14,AH$4,'Team Calendar'!$F$5:$F$14,"Personal absence")=0),1,"")</x:f>
      </x:c>
      <x:c r="AI25" s="207" t="str">
        <x:f>IF(AND(ISNUMBER($D25),ISNUMBER($E25),AI$4&gt;=$D25,AI$4&lt;=$E25,NETWORKDAYS(AI$4,AI$4,'Sources &amp; Change Log'!$J$2:$J$5)=1,COUNTIFS('Team Calendar'!$A$5:$A$14,$F25,'Team Calendar'!$C$5:$C$14,AI$4,'Team Calendar'!$F$5:$F$14,"Personal absence")=0),1,"")</x:f>
      </x:c>
      <x:c r="AJ25" s="206"/>
      <x:c r="AK25" s="206"/>
      <x:c r="AL25" s="206"/>
      <x:c r="AM25" s="206"/>
      <x:c r="AN25" s="206"/>
      <x:c r="AO25" s="206"/>
      <x:c r="AP25" s="206"/>
      <x:c r="AQ25" s="206"/>
      <x:c r="AR25" s="206"/>
      <x:c r="AS25" s="206"/>
      <x:c r="AT25" s="206"/>
      <x:c r="AU25" s="206"/>
      <x:c r="AV25" s="206"/>
      <x:c r="AW25" s="206"/>
      <x:c r="AX25" s="206"/>
      <x:c r="AY25" s="206"/>
      <x:c r="AZ25" s="206"/>
    </x:row>
    <x:row r="26" ht="30" customHeight="1">
      <x:c r="A26" s="195" t="str">
        <x:f>WBS!A52</x:f>
        <x:v>MS-DELIVERABLE-FREEZE-01</x:v>
      </x:c>
      <x:c r="B26" s="195" t="str">
        <x:f>WBS!B52</x:f>
        <x:v>Deliverable Freeze</x:v>
      </x:c>
      <x:c r="C26" s="195" t="str">
        <x:f>WBS!G52</x:f>
        <x:v>To Do</x:v>
      </x:c>
      <x:c r="D26" s="225" t="n">
        <x:f>WBS!H52</x:f>
        <x:v>46318</x:v>
      </x:c>
      <x:c r="E26" s="225" t="n">
        <x:f>WBS!I52</x:f>
        <x:v>46318</x:v>
      </x:c>
      <x:c r="F26" s="13" t="str">
        <x:f>WBS!L52</x:f>
        <x:v>이권욱</x:v>
      </x:c>
      <x:c r="G26" s="207" t="str">
        <x:f>IF(AND(ISNUMBER($D26),ISNUMBER($E26),G$4&gt;=$D26,G$4&lt;=$E26,NETWORKDAYS(G$4,G$4,'Sources &amp; Change Log'!$J$2:$J$5)=1,COUNTIFS('Team Calendar'!$A$5:$A$14,$F26,'Team Calendar'!$C$5:$C$14,G$4,'Team Calendar'!$F$5:$F$14,"Personal absence")=0),1,"")</x:f>
      </x:c>
      <x:c r="H26" s="207" t="str">
        <x:f>IF(AND(ISNUMBER($D26),ISNUMBER($E26),H$4&gt;=$D26,H$4&lt;=$E26,NETWORKDAYS(H$4,H$4,'Sources &amp; Change Log'!$J$2:$J$5)=1,COUNTIFS('Team Calendar'!$A$5:$A$14,$F26,'Team Calendar'!$C$5:$C$14,H$4,'Team Calendar'!$F$5:$F$14,"Personal absence")=0),1,"")</x:f>
      </x:c>
      <x:c r="I26" s="207" t="str">
        <x:f>IF(AND(ISNUMBER($D26),ISNUMBER($E26),I$4&gt;=$D26,I$4&lt;=$E26,NETWORKDAYS(I$4,I$4,'Sources &amp; Change Log'!$J$2:$J$5)=1,COUNTIFS('Team Calendar'!$A$5:$A$14,$F26,'Team Calendar'!$C$5:$C$14,I$4,'Team Calendar'!$F$5:$F$14,"Personal absence")=0),1,"")</x:f>
      </x:c>
      <x:c r="J26" s="207" t="str">
        <x:f>IF(AND(ISNUMBER($D26),ISNUMBER($E26),J$4&gt;=$D26,J$4&lt;=$E26,NETWORKDAYS(J$4,J$4,'Sources &amp; Change Log'!$J$2:$J$5)=1,COUNTIFS('Team Calendar'!$A$5:$A$14,$F26,'Team Calendar'!$C$5:$C$14,J$4,'Team Calendar'!$F$5:$F$14,"Personal absence")=0),1,"")</x:f>
      </x:c>
      <x:c r="K26" s="207" t="str">
        <x:f>IF(AND(ISNUMBER($D26),ISNUMBER($E26),K$4&gt;=$D26,K$4&lt;=$E26,NETWORKDAYS(K$4,K$4,'Sources &amp; Change Log'!$J$2:$J$5)=1,COUNTIFS('Team Calendar'!$A$5:$A$14,$F26,'Team Calendar'!$C$5:$C$14,K$4,'Team Calendar'!$F$5:$F$14,"Personal absence")=0),1,"")</x:f>
      </x:c>
      <x:c r="L26" s="207" t="str">
        <x:f>IF(AND(ISNUMBER($D26),ISNUMBER($E26),L$4&gt;=$D26,L$4&lt;=$E26,NETWORKDAYS(L$4,L$4,'Sources &amp; Change Log'!$J$2:$J$5)=1,COUNTIFS('Team Calendar'!$A$5:$A$14,$F26,'Team Calendar'!$C$5:$C$14,L$4,'Team Calendar'!$F$5:$F$14,"Personal absence")=0),1,"")</x:f>
      </x:c>
      <x:c r="M26" s="207" t="str">
        <x:f>IF(AND(ISNUMBER($D26),ISNUMBER($E26),M$4&gt;=$D26,M$4&lt;=$E26,NETWORKDAYS(M$4,M$4,'Sources &amp; Change Log'!$J$2:$J$5)=1,COUNTIFS('Team Calendar'!$A$5:$A$14,$F26,'Team Calendar'!$C$5:$C$14,M$4,'Team Calendar'!$F$5:$F$14,"Personal absence")=0),1,"")</x:f>
      </x:c>
      <x:c r="N26" s="207" t="str">
        <x:f>IF(AND(ISNUMBER($D26),ISNUMBER($E26),N$4&gt;=$D26,N$4&lt;=$E26,NETWORKDAYS(N$4,N$4,'Sources &amp; Change Log'!$J$2:$J$5)=1,COUNTIFS('Team Calendar'!$A$5:$A$14,$F26,'Team Calendar'!$C$5:$C$14,N$4,'Team Calendar'!$F$5:$F$14,"Personal absence")=0),1,"")</x:f>
      </x:c>
      <x:c r="O26" s="207" t="str">
        <x:f>IF(AND(ISNUMBER($D26),ISNUMBER($E26),O$4&gt;=$D26,O$4&lt;=$E26,NETWORKDAYS(O$4,O$4,'Sources &amp; Change Log'!$J$2:$J$5)=1,COUNTIFS('Team Calendar'!$A$5:$A$14,$F26,'Team Calendar'!$C$5:$C$14,O$4,'Team Calendar'!$F$5:$F$14,"Personal absence")=0),1,"")</x:f>
      </x:c>
      <x:c r="P26" s="207" t="str">
        <x:f>IF(AND(ISNUMBER($D26),ISNUMBER($E26),P$4&gt;=$D26,P$4&lt;=$E26,NETWORKDAYS(P$4,P$4,'Sources &amp; Change Log'!$J$2:$J$5)=1,COUNTIFS('Team Calendar'!$A$5:$A$14,$F26,'Team Calendar'!$C$5:$C$14,P$4,'Team Calendar'!$F$5:$F$14,"Personal absence")=0),1,"")</x:f>
      </x:c>
      <x:c r="Q26" s="207" t="str">
        <x:f>IF(AND(ISNUMBER($D26),ISNUMBER($E26),Q$4&gt;=$D26,Q$4&lt;=$E26,NETWORKDAYS(Q$4,Q$4,'Sources &amp; Change Log'!$J$2:$J$5)=1,COUNTIFS('Team Calendar'!$A$5:$A$14,$F26,'Team Calendar'!$C$5:$C$14,Q$4,'Team Calendar'!$F$5:$F$14,"Personal absence")=0),1,"")</x:f>
      </x:c>
      <x:c r="R26" s="207" t="str">
        <x:f>IF(AND(ISNUMBER($D26),ISNUMBER($E26),R$4&gt;=$D26,R$4&lt;=$E26,NETWORKDAYS(R$4,R$4,'Sources &amp; Change Log'!$J$2:$J$5)=1,COUNTIFS('Team Calendar'!$A$5:$A$14,$F26,'Team Calendar'!$C$5:$C$14,R$4,'Team Calendar'!$F$5:$F$14,"Personal absence")=0),1,"")</x:f>
      </x:c>
      <x:c r="S26" s="207" t="str">
        <x:f>IF(AND(ISNUMBER($D26),ISNUMBER($E26),S$4&gt;=$D26,S$4&lt;=$E26,NETWORKDAYS(S$4,S$4,'Sources &amp; Change Log'!$J$2:$J$5)=1,COUNTIFS('Team Calendar'!$A$5:$A$14,$F26,'Team Calendar'!$C$5:$C$14,S$4,'Team Calendar'!$F$5:$F$14,"Personal absence")=0),1,"")</x:f>
      </x:c>
      <x:c r="T26" s="207" t="str">
        <x:f>IF(AND(ISNUMBER($D26),ISNUMBER($E26),T$4&gt;=$D26,T$4&lt;=$E26,NETWORKDAYS(T$4,T$4,'Sources &amp; Change Log'!$J$2:$J$5)=1,COUNTIFS('Team Calendar'!$A$5:$A$14,$F26,'Team Calendar'!$C$5:$C$14,T$4,'Team Calendar'!$F$5:$F$14,"Personal absence")=0),1,"")</x:f>
      </x:c>
      <x:c r="U26" s="207" t="str">
        <x:f>IF(AND(ISNUMBER($D26),ISNUMBER($E26),U$4&gt;=$D26,U$4&lt;=$E26,NETWORKDAYS(U$4,U$4,'Sources &amp; Change Log'!$J$2:$J$5)=1,COUNTIFS('Team Calendar'!$A$5:$A$14,$F26,'Team Calendar'!$C$5:$C$14,U$4,'Team Calendar'!$F$5:$F$14,"Personal absence")=0),1,"")</x:f>
      </x:c>
      <x:c r="V26" s="207" t="str">
        <x:f>IF(AND(ISNUMBER($D26),ISNUMBER($E26),V$4&gt;=$D26,V$4&lt;=$E26,NETWORKDAYS(V$4,V$4,'Sources &amp; Change Log'!$J$2:$J$5)=1,COUNTIFS('Team Calendar'!$A$5:$A$14,$F26,'Team Calendar'!$C$5:$C$14,V$4,'Team Calendar'!$F$5:$F$14,"Personal absence")=0),1,"")</x:f>
      </x:c>
      <x:c r="W26" s="207" t="str">
        <x:f>IF(AND(ISNUMBER($D26),ISNUMBER($E26),W$4&gt;=$D26,W$4&lt;=$E26,NETWORKDAYS(W$4,W$4,'Sources &amp; Change Log'!$J$2:$J$5)=1,COUNTIFS('Team Calendar'!$A$5:$A$14,$F26,'Team Calendar'!$C$5:$C$14,W$4,'Team Calendar'!$F$5:$F$14,"Personal absence")=0),1,"")</x:f>
      </x:c>
      <x:c r="X26" s="207" t="str">
        <x:f>IF(AND(ISNUMBER($D26),ISNUMBER($E26),X$4&gt;=$D26,X$4&lt;=$E26,NETWORKDAYS(X$4,X$4,'Sources &amp; Change Log'!$J$2:$J$5)=1,COUNTIFS('Team Calendar'!$A$5:$A$14,$F26,'Team Calendar'!$C$5:$C$14,X$4,'Team Calendar'!$F$5:$F$14,"Personal absence")=0),1,"")</x:f>
      </x:c>
      <x:c r="Y26" s="207" t="str">
        <x:f>IF(AND(ISNUMBER($D26),ISNUMBER($E26),Y$4&gt;=$D26,Y$4&lt;=$E26,NETWORKDAYS(Y$4,Y$4,'Sources &amp; Change Log'!$J$2:$J$5)=1,COUNTIFS('Team Calendar'!$A$5:$A$14,$F26,'Team Calendar'!$C$5:$C$14,Y$4,'Team Calendar'!$F$5:$F$14,"Personal absence")=0),1,"")</x:f>
      </x:c>
      <x:c r="Z26" s="207" t="str">
        <x:f>IF(AND(ISNUMBER($D26),ISNUMBER($E26),Z$4&gt;=$D26,Z$4&lt;=$E26,NETWORKDAYS(Z$4,Z$4,'Sources &amp; Change Log'!$J$2:$J$5)=1,COUNTIFS('Team Calendar'!$A$5:$A$14,$F26,'Team Calendar'!$C$5:$C$14,Z$4,'Team Calendar'!$F$5:$F$14,"Personal absence")=0),1,"")</x:f>
      </x:c>
      <x:c r="AA26" s="207" t="str">
        <x:f>IF(AND(ISNUMBER($D26),ISNUMBER($E26),AA$4&gt;=$D26,AA$4&lt;=$E26,NETWORKDAYS(AA$4,AA$4,'Sources &amp; Change Log'!$J$2:$J$5)=1,COUNTIFS('Team Calendar'!$A$5:$A$14,$F26,'Team Calendar'!$C$5:$C$14,AA$4,'Team Calendar'!$F$5:$F$14,"Personal absence")=0),1,"")</x:f>
      </x:c>
      <x:c r="AB26" s="207" t="str">
        <x:f>IF(AND(ISNUMBER($D26),ISNUMBER($E26),AB$4&gt;=$D26,AB$4&lt;=$E26,NETWORKDAYS(AB$4,AB$4,'Sources &amp; Change Log'!$J$2:$J$5)=1,COUNTIFS('Team Calendar'!$A$5:$A$14,$F26,'Team Calendar'!$C$5:$C$14,AB$4,'Team Calendar'!$F$5:$F$14,"Personal absence")=0),1,"")</x:f>
      </x:c>
      <x:c r="AC26" s="207" t="str">
        <x:f>IF(AND(ISNUMBER($D26),ISNUMBER($E26),AC$4&gt;=$D26,AC$4&lt;=$E26,NETWORKDAYS(AC$4,AC$4,'Sources &amp; Change Log'!$J$2:$J$5)=1,COUNTIFS('Team Calendar'!$A$5:$A$14,$F26,'Team Calendar'!$C$5:$C$14,AC$4,'Team Calendar'!$F$5:$F$14,"Personal absence")=0),1,"")</x:f>
      </x:c>
      <x:c r="AD26" s="207" t="str">
        <x:f>IF(AND(ISNUMBER($D26),ISNUMBER($E26),AD$4&gt;=$D26,AD$4&lt;=$E26,NETWORKDAYS(AD$4,AD$4,'Sources &amp; Change Log'!$J$2:$J$5)=1,COUNTIFS('Team Calendar'!$A$5:$A$14,$F26,'Team Calendar'!$C$5:$C$14,AD$4,'Team Calendar'!$F$5:$F$14,"Personal absence")=0),1,"")</x:f>
      </x:c>
      <x:c r="AE26" s="207" t="str">
        <x:f>IF(AND(ISNUMBER($D26),ISNUMBER($E26),AE$4&gt;=$D26,AE$4&lt;=$E26,NETWORKDAYS(AE$4,AE$4,'Sources &amp; Change Log'!$J$2:$J$5)=1,COUNTIFS('Team Calendar'!$A$5:$A$14,$F26,'Team Calendar'!$C$5:$C$14,AE$4,'Team Calendar'!$F$5:$F$14,"Personal absence")=0),1,"")</x:f>
      </x:c>
      <x:c r="AF26" s="207" t="n">
        <x:f>IF(AND(ISNUMBER($D26),ISNUMBER($E26),AF$4&gt;=$D26,AF$4&lt;=$E26,NETWORKDAYS(AF$4,AF$4,'Sources &amp; Change Log'!$J$2:$J$5)=1,COUNTIFS('Team Calendar'!$A$5:$A$14,$F26,'Team Calendar'!$C$5:$C$14,AF$4,'Team Calendar'!$F$5:$F$14,"Personal absence")=0),1,"")</x:f>
        <x:v>1</x:v>
      </x:c>
      <x:c r="AG26" s="207" t="str">
        <x:f>IF(AND(ISNUMBER($D26),ISNUMBER($E26),AG$4&gt;=$D26,AG$4&lt;=$E26,NETWORKDAYS(AG$4,AG$4,'Sources &amp; Change Log'!$J$2:$J$5)=1,COUNTIFS('Team Calendar'!$A$5:$A$14,$F26,'Team Calendar'!$C$5:$C$14,AG$4,'Team Calendar'!$F$5:$F$14,"Personal absence")=0),1,"")</x:f>
      </x:c>
      <x:c r="AH26" s="207" t="str">
        <x:f>IF(AND(ISNUMBER($D26),ISNUMBER($E26),AH$4&gt;=$D26,AH$4&lt;=$E26,NETWORKDAYS(AH$4,AH$4,'Sources &amp; Change Log'!$J$2:$J$5)=1,COUNTIFS('Team Calendar'!$A$5:$A$14,$F26,'Team Calendar'!$C$5:$C$14,AH$4,'Team Calendar'!$F$5:$F$14,"Personal absence")=0),1,"")</x:f>
      </x:c>
      <x:c r="AI26" s="207" t="str">
        <x:f>IF(AND(ISNUMBER($D26),ISNUMBER($E26),AI$4&gt;=$D26,AI$4&lt;=$E26,NETWORKDAYS(AI$4,AI$4,'Sources &amp; Change Log'!$J$2:$J$5)=1,COUNTIFS('Team Calendar'!$A$5:$A$14,$F26,'Team Calendar'!$C$5:$C$14,AI$4,'Team Calendar'!$F$5:$F$14,"Personal absence")=0),1,"")</x:f>
      </x:c>
      <x:c r="AJ26" s="206"/>
      <x:c r="AK26" s="206"/>
      <x:c r="AL26" s="206"/>
      <x:c r="AM26" s="206"/>
      <x:c r="AN26" s="206"/>
      <x:c r="AO26" s="206"/>
      <x:c r="AP26" s="206"/>
      <x:c r="AQ26" s="206"/>
      <x:c r="AR26" s="206"/>
      <x:c r="AS26" s="206"/>
      <x:c r="AT26" s="206"/>
      <x:c r="AU26" s="206"/>
      <x:c r="AV26" s="206"/>
      <x:c r="AW26" s="206"/>
      <x:c r="AX26" s="206"/>
      <x:c r="AY26" s="206"/>
      <x:c r="AZ26" s="206"/>
    </x:row>
    <x:row r="27" ht="30" customHeight="1">
      <x:c r="A27" s="195" t="str">
        <x:f>WBS!A53</x:f>
        <x:v>P2-REV-01</x:v>
      </x:c>
      <x:c r="B27" s="195" t="str">
        <x:f>WBS!B53</x:f>
        <x:v>Phase 2 Review / Project Close Execution</x:v>
      </x:c>
      <x:c r="C27" s="195" t="str">
        <x:f>WBS!G53</x:f>
        <x:v>To Do</x:v>
      </x:c>
      <x:c r="D27" s="225" t="n">
        <x:f>WBS!H53</x:f>
        <x:v>46318</x:v>
      </x:c>
      <x:c r="E27" s="225" t="n">
        <x:f>WBS!I53</x:f>
        <x:v>46321</x:v>
      </x:c>
      <x:c r="F27" s="13" t="str">
        <x:f>WBS!L53</x:f>
        <x:v>이권욱</x:v>
      </x:c>
      <x:c r="G27" s="207" t="str">
        <x:f>IF(AND(ISNUMBER($D27),ISNUMBER($E27),G$4&gt;=$D27,G$4&lt;=$E27,NETWORKDAYS(G$4,G$4,'Sources &amp; Change Log'!$J$2:$J$5)=1,COUNTIFS('Team Calendar'!$A$5:$A$14,$F27,'Team Calendar'!$C$5:$C$14,G$4,'Team Calendar'!$F$5:$F$14,"Personal absence")=0),1,"")</x:f>
      </x:c>
      <x:c r="H27" s="207" t="str">
        <x:f>IF(AND(ISNUMBER($D27),ISNUMBER($E27),H$4&gt;=$D27,H$4&lt;=$E27,NETWORKDAYS(H$4,H$4,'Sources &amp; Change Log'!$J$2:$J$5)=1,COUNTIFS('Team Calendar'!$A$5:$A$14,$F27,'Team Calendar'!$C$5:$C$14,H$4,'Team Calendar'!$F$5:$F$14,"Personal absence")=0),1,"")</x:f>
      </x:c>
      <x:c r="I27" s="207" t="str">
        <x:f>IF(AND(ISNUMBER($D27),ISNUMBER($E27),I$4&gt;=$D27,I$4&lt;=$E27,NETWORKDAYS(I$4,I$4,'Sources &amp; Change Log'!$J$2:$J$5)=1,COUNTIFS('Team Calendar'!$A$5:$A$14,$F27,'Team Calendar'!$C$5:$C$14,I$4,'Team Calendar'!$F$5:$F$14,"Personal absence")=0),1,"")</x:f>
      </x:c>
      <x:c r="J27" s="207" t="str">
        <x:f>IF(AND(ISNUMBER($D27),ISNUMBER($E27),J$4&gt;=$D27,J$4&lt;=$E27,NETWORKDAYS(J$4,J$4,'Sources &amp; Change Log'!$J$2:$J$5)=1,COUNTIFS('Team Calendar'!$A$5:$A$14,$F27,'Team Calendar'!$C$5:$C$14,J$4,'Team Calendar'!$F$5:$F$14,"Personal absence")=0),1,"")</x:f>
      </x:c>
      <x:c r="K27" s="207" t="str">
        <x:f>IF(AND(ISNUMBER($D27),ISNUMBER($E27),K$4&gt;=$D27,K$4&lt;=$E27,NETWORKDAYS(K$4,K$4,'Sources &amp; Change Log'!$J$2:$J$5)=1,COUNTIFS('Team Calendar'!$A$5:$A$14,$F27,'Team Calendar'!$C$5:$C$14,K$4,'Team Calendar'!$F$5:$F$14,"Personal absence")=0),1,"")</x:f>
      </x:c>
      <x:c r="L27" s="207" t="str">
        <x:f>IF(AND(ISNUMBER($D27),ISNUMBER($E27),L$4&gt;=$D27,L$4&lt;=$E27,NETWORKDAYS(L$4,L$4,'Sources &amp; Change Log'!$J$2:$J$5)=1,COUNTIFS('Team Calendar'!$A$5:$A$14,$F27,'Team Calendar'!$C$5:$C$14,L$4,'Team Calendar'!$F$5:$F$14,"Personal absence")=0),1,"")</x:f>
      </x:c>
      <x:c r="M27" s="207" t="str">
        <x:f>IF(AND(ISNUMBER($D27),ISNUMBER($E27),M$4&gt;=$D27,M$4&lt;=$E27,NETWORKDAYS(M$4,M$4,'Sources &amp; Change Log'!$J$2:$J$5)=1,COUNTIFS('Team Calendar'!$A$5:$A$14,$F27,'Team Calendar'!$C$5:$C$14,M$4,'Team Calendar'!$F$5:$F$14,"Personal absence")=0),1,"")</x:f>
      </x:c>
      <x:c r="N27" s="207" t="str">
        <x:f>IF(AND(ISNUMBER($D27),ISNUMBER($E27),N$4&gt;=$D27,N$4&lt;=$E27,NETWORKDAYS(N$4,N$4,'Sources &amp; Change Log'!$J$2:$J$5)=1,COUNTIFS('Team Calendar'!$A$5:$A$14,$F27,'Team Calendar'!$C$5:$C$14,N$4,'Team Calendar'!$F$5:$F$14,"Personal absence")=0),1,"")</x:f>
      </x:c>
      <x:c r="O27" s="207" t="str">
        <x:f>IF(AND(ISNUMBER($D27),ISNUMBER($E27),O$4&gt;=$D27,O$4&lt;=$E27,NETWORKDAYS(O$4,O$4,'Sources &amp; Change Log'!$J$2:$J$5)=1,COUNTIFS('Team Calendar'!$A$5:$A$14,$F27,'Team Calendar'!$C$5:$C$14,O$4,'Team Calendar'!$F$5:$F$14,"Personal absence")=0),1,"")</x:f>
      </x:c>
      <x:c r="P27" s="207" t="str">
        <x:f>IF(AND(ISNUMBER($D27),ISNUMBER($E27),P$4&gt;=$D27,P$4&lt;=$E27,NETWORKDAYS(P$4,P$4,'Sources &amp; Change Log'!$J$2:$J$5)=1,COUNTIFS('Team Calendar'!$A$5:$A$14,$F27,'Team Calendar'!$C$5:$C$14,P$4,'Team Calendar'!$F$5:$F$14,"Personal absence")=0),1,"")</x:f>
      </x:c>
      <x:c r="Q27" s="207" t="str">
        <x:f>IF(AND(ISNUMBER($D27),ISNUMBER($E27),Q$4&gt;=$D27,Q$4&lt;=$E27,NETWORKDAYS(Q$4,Q$4,'Sources &amp; Change Log'!$J$2:$J$5)=1,COUNTIFS('Team Calendar'!$A$5:$A$14,$F27,'Team Calendar'!$C$5:$C$14,Q$4,'Team Calendar'!$F$5:$F$14,"Personal absence")=0),1,"")</x:f>
      </x:c>
      <x:c r="R27" s="207" t="str">
        <x:f>IF(AND(ISNUMBER($D27),ISNUMBER($E27),R$4&gt;=$D27,R$4&lt;=$E27,NETWORKDAYS(R$4,R$4,'Sources &amp; Change Log'!$J$2:$J$5)=1,COUNTIFS('Team Calendar'!$A$5:$A$14,$F27,'Team Calendar'!$C$5:$C$14,R$4,'Team Calendar'!$F$5:$F$14,"Personal absence")=0),1,"")</x:f>
      </x:c>
      <x:c r="S27" s="207" t="str">
        <x:f>IF(AND(ISNUMBER($D27),ISNUMBER($E27),S$4&gt;=$D27,S$4&lt;=$E27,NETWORKDAYS(S$4,S$4,'Sources &amp; Change Log'!$J$2:$J$5)=1,COUNTIFS('Team Calendar'!$A$5:$A$14,$F27,'Team Calendar'!$C$5:$C$14,S$4,'Team Calendar'!$F$5:$F$14,"Personal absence")=0),1,"")</x:f>
      </x:c>
      <x:c r="T27" s="207" t="str">
        <x:f>IF(AND(ISNUMBER($D27),ISNUMBER($E27),T$4&gt;=$D27,T$4&lt;=$E27,NETWORKDAYS(T$4,T$4,'Sources &amp; Change Log'!$J$2:$J$5)=1,COUNTIFS('Team Calendar'!$A$5:$A$14,$F27,'Team Calendar'!$C$5:$C$14,T$4,'Team Calendar'!$F$5:$F$14,"Personal absence")=0),1,"")</x:f>
      </x:c>
      <x:c r="U27" s="207" t="str">
        <x:f>IF(AND(ISNUMBER($D27),ISNUMBER($E27),U$4&gt;=$D27,U$4&lt;=$E27,NETWORKDAYS(U$4,U$4,'Sources &amp; Change Log'!$J$2:$J$5)=1,COUNTIFS('Team Calendar'!$A$5:$A$14,$F27,'Team Calendar'!$C$5:$C$14,U$4,'Team Calendar'!$F$5:$F$14,"Personal absence")=0),1,"")</x:f>
      </x:c>
      <x:c r="V27" s="207" t="str">
        <x:f>IF(AND(ISNUMBER($D27),ISNUMBER($E27),V$4&gt;=$D27,V$4&lt;=$E27,NETWORKDAYS(V$4,V$4,'Sources &amp; Change Log'!$J$2:$J$5)=1,COUNTIFS('Team Calendar'!$A$5:$A$14,$F27,'Team Calendar'!$C$5:$C$14,V$4,'Team Calendar'!$F$5:$F$14,"Personal absence")=0),1,"")</x:f>
      </x:c>
      <x:c r="W27" s="207" t="str">
        <x:f>IF(AND(ISNUMBER($D27),ISNUMBER($E27),W$4&gt;=$D27,W$4&lt;=$E27,NETWORKDAYS(W$4,W$4,'Sources &amp; Change Log'!$J$2:$J$5)=1,COUNTIFS('Team Calendar'!$A$5:$A$14,$F27,'Team Calendar'!$C$5:$C$14,W$4,'Team Calendar'!$F$5:$F$14,"Personal absence")=0),1,"")</x:f>
      </x:c>
      <x:c r="X27" s="207" t="str">
        <x:f>IF(AND(ISNUMBER($D27),ISNUMBER($E27),X$4&gt;=$D27,X$4&lt;=$E27,NETWORKDAYS(X$4,X$4,'Sources &amp; Change Log'!$J$2:$J$5)=1,COUNTIFS('Team Calendar'!$A$5:$A$14,$F27,'Team Calendar'!$C$5:$C$14,X$4,'Team Calendar'!$F$5:$F$14,"Personal absence")=0),1,"")</x:f>
      </x:c>
      <x:c r="Y27" s="207" t="str">
        <x:f>IF(AND(ISNUMBER($D27),ISNUMBER($E27),Y$4&gt;=$D27,Y$4&lt;=$E27,NETWORKDAYS(Y$4,Y$4,'Sources &amp; Change Log'!$J$2:$J$5)=1,COUNTIFS('Team Calendar'!$A$5:$A$14,$F27,'Team Calendar'!$C$5:$C$14,Y$4,'Team Calendar'!$F$5:$F$14,"Personal absence")=0),1,"")</x:f>
      </x:c>
      <x:c r="Z27" s="207" t="str">
        <x:f>IF(AND(ISNUMBER($D27),ISNUMBER($E27),Z$4&gt;=$D27,Z$4&lt;=$E27,NETWORKDAYS(Z$4,Z$4,'Sources &amp; Change Log'!$J$2:$J$5)=1,COUNTIFS('Team Calendar'!$A$5:$A$14,$F27,'Team Calendar'!$C$5:$C$14,Z$4,'Team Calendar'!$F$5:$F$14,"Personal absence")=0),1,"")</x:f>
      </x:c>
      <x:c r="AA27" s="207" t="str">
        <x:f>IF(AND(ISNUMBER($D27),ISNUMBER($E27),AA$4&gt;=$D27,AA$4&lt;=$E27,NETWORKDAYS(AA$4,AA$4,'Sources &amp; Change Log'!$J$2:$J$5)=1,COUNTIFS('Team Calendar'!$A$5:$A$14,$F27,'Team Calendar'!$C$5:$C$14,AA$4,'Team Calendar'!$F$5:$F$14,"Personal absence")=0),1,"")</x:f>
      </x:c>
      <x:c r="AB27" s="207" t="str">
        <x:f>IF(AND(ISNUMBER($D27),ISNUMBER($E27),AB$4&gt;=$D27,AB$4&lt;=$E27,NETWORKDAYS(AB$4,AB$4,'Sources &amp; Change Log'!$J$2:$J$5)=1,COUNTIFS('Team Calendar'!$A$5:$A$14,$F27,'Team Calendar'!$C$5:$C$14,AB$4,'Team Calendar'!$F$5:$F$14,"Personal absence")=0),1,"")</x:f>
      </x:c>
      <x:c r="AC27" s="207" t="str">
        <x:f>IF(AND(ISNUMBER($D27),ISNUMBER($E27),AC$4&gt;=$D27,AC$4&lt;=$E27,NETWORKDAYS(AC$4,AC$4,'Sources &amp; Change Log'!$J$2:$J$5)=1,COUNTIFS('Team Calendar'!$A$5:$A$14,$F27,'Team Calendar'!$C$5:$C$14,AC$4,'Team Calendar'!$F$5:$F$14,"Personal absence")=0),1,"")</x:f>
      </x:c>
      <x:c r="AD27" s="207" t="str">
        <x:f>IF(AND(ISNUMBER($D27),ISNUMBER($E27),AD$4&gt;=$D27,AD$4&lt;=$E27,NETWORKDAYS(AD$4,AD$4,'Sources &amp; Change Log'!$J$2:$J$5)=1,COUNTIFS('Team Calendar'!$A$5:$A$14,$F27,'Team Calendar'!$C$5:$C$14,AD$4,'Team Calendar'!$F$5:$F$14,"Personal absence")=0),1,"")</x:f>
      </x:c>
      <x:c r="AE27" s="207" t="str">
        <x:f>IF(AND(ISNUMBER($D27),ISNUMBER($E27),AE$4&gt;=$D27,AE$4&lt;=$E27,NETWORKDAYS(AE$4,AE$4,'Sources &amp; Change Log'!$J$2:$J$5)=1,COUNTIFS('Team Calendar'!$A$5:$A$14,$F27,'Team Calendar'!$C$5:$C$14,AE$4,'Team Calendar'!$F$5:$F$14,"Personal absence")=0),1,"")</x:f>
      </x:c>
      <x:c r="AF27" s="207" t="n">
        <x:f>IF(AND(ISNUMBER($D27),ISNUMBER($E27),AF$4&gt;=$D27,AF$4&lt;=$E27,NETWORKDAYS(AF$4,AF$4,'Sources &amp; Change Log'!$J$2:$J$5)=1,COUNTIFS('Team Calendar'!$A$5:$A$14,$F27,'Team Calendar'!$C$5:$C$14,AF$4,'Team Calendar'!$F$5:$F$14,"Personal absence")=0),1,"")</x:f>
        <x:v>1</x:v>
      </x:c>
      <x:c r="AG27" s="207" t="str">
        <x:f>IF(AND(ISNUMBER($D27),ISNUMBER($E27),AG$4&gt;=$D27,AG$4&lt;=$E27,NETWORKDAYS(AG$4,AG$4,'Sources &amp; Change Log'!$J$2:$J$5)=1,COUNTIFS('Team Calendar'!$A$5:$A$14,$F27,'Team Calendar'!$C$5:$C$14,AG$4,'Team Calendar'!$F$5:$F$14,"Personal absence")=0),1,"")</x:f>
      </x:c>
      <x:c r="AH27" s="207" t="str">
        <x:f>IF(AND(ISNUMBER($D27),ISNUMBER($E27),AH$4&gt;=$D27,AH$4&lt;=$E27,NETWORKDAYS(AH$4,AH$4,'Sources &amp; Change Log'!$J$2:$J$5)=1,COUNTIFS('Team Calendar'!$A$5:$A$14,$F27,'Team Calendar'!$C$5:$C$14,AH$4,'Team Calendar'!$F$5:$F$14,"Personal absence")=0),1,"")</x:f>
      </x:c>
      <x:c r="AI27" s="207" t="n">
        <x:f>IF(AND(ISNUMBER($D27),ISNUMBER($E27),AI$4&gt;=$D27,AI$4&lt;=$E27,NETWORKDAYS(AI$4,AI$4,'Sources &amp; Change Log'!$J$2:$J$5)=1,COUNTIFS('Team Calendar'!$A$5:$A$14,$F27,'Team Calendar'!$C$5:$C$14,AI$4,'Team Calendar'!$F$5:$F$14,"Personal absence")=0),1,"")</x:f>
        <x:v>1</x:v>
      </x:c>
      <x:c r="AJ27" s="206"/>
      <x:c r="AK27" s="206"/>
      <x:c r="AL27" s="206"/>
      <x:c r="AM27" s="206"/>
      <x:c r="AN27" s="206"/>
      <x:c r="AO27" s="206"/>
      <x:c r="AP27" s="206"/>
      <x:c r="AQ27" s="206"/>
      <x:c r="AR27" s="206"/>
      <x:c r="AS27" s="206"/>
      <x:c r="AT27" s="206"/>
      <x:c r="AU27" s="206"/>
      <x:c r="AV27" s="206"/>
      <x:c r="AW27" s="206"/>
      <x:c r="AX27" s="206"/>
      <x:c r="AY27" s="206"/>
      <x:c r="AZ27" s="206"/>
    </x:row>
    <x:row r="28" ht="30" customHeight="1">
      <x:c r="A28" s="195" t="str">
        <x:f>WBS!A54</x:f>
        <x:v>MS-P2-REVIEW-01</x:v>
      </x:c>
      <x:c r="B28" s="195" t="str">
        <x:f>WBS!B54</x:f>
        <x:v>Phase 2 Review</x:v>
      </x:c>
      <x:c r="C28" s="195" t="str">
        <x:f>WBS!G54</x:f>
        <x:v>To Do</x:v>
      </x:c>
      <x:c r="D28" s="225" t="n">
        <x:f>WBS!H54</x:f>
        <x:v>46318</x:v>
      </x:c>
      <x:c r="E28" s="225" t="n">
        <x:f>WBS!I54</x:f>
        <x:v>46318</x:v>
      </x:c>
      <x:c r="F28" s="13" t="str">
        <x:f>WBS!L54</x:f>
        <x:v>이권욱</x:v>
      </x:c>
      <x:c r="G28" s="207" t="str">
        <x:f>IF(AND(ISNUMBER($D28),ISNUMBER($E28),G$4&gt;=$D28,G$4&lt;=$E28,NETWORKDAYS(G$4,G$4,'Sources &amp; Change Log'!$J$2:$J$5)=1,COUNTIFS('Team Calendar'!$A$5:$A$14,$F28,'Team Calendar'!$C$5:$C$14,G$4,'Team Calendar'!$F$5:$F$14,"Personal absence")=0),1,"")</x:f>
      </x:c>
      <x:c r="H28" s="207" t="str">
        <x:f>IF(AND(ISNUMBER($D28),ISNUMBER($E28),H$4&gt;=$D28,H$4&lt;=$E28,NETWORKDAYS(H$4,H$4,'Sources &amp; Change Log'!$J$2:$J$5)=1,COUNTIFS('Team Calendar'!$A$5:$A$14,$F28,'Team Calendar'!$C$5:$C$14,H$4,'Team Calendar'!$F$5:$F$14,"Personal absence")=0),1,"")</x:f>
      </x:c>
      <x:c r="I28" s="207" t="str">
        <x:f>IF(AND(ISNUMBER($D28),ISNUMBER($E28),I$4&gt;=$D28,I$4&lt;=$E28,NETWORKDAYS(I$4,I$4,'Sources &amp; Change Log'!$J$2:$J$5)=1,COUNTIFS('Team Calendar'!$A$5:$A$14,$F28,'Team Calendar'!$C$5:$C$14,I$4,'Team Calendar'!$F$5:$F$14,"Personal absence")=0),1,"")</x:f>
      </x:c>
      <x:c r="J28" s="207" t="str">
        <x:f>IF(AND(ISNUMBER($D28),ISNUMBER($E28),J$4&gt;=$D28,J$4&lt;=$E28,NETWORKDAYS(J$4,J$4,'Sources &amp; Change Log'!$J$2:$J$5)=1,COUNTIFS('Team Calendar'!$A$5:$A$14,$F28,'Team Calendar'!$C$5:$C$14,J$4,'Team Calendar'!$F$5:$F$14,"Personal absence")=0),1,"")</x:f>
      </x:c>
      <x:c r="K28" s="207" t="str">
        <x:f>IF(AND(ISNUMBER($D28),ISNUMBER($E28),K$4&gt;=$D28,K$4&lt;=$E28,NETWORKDAYS(K$4,K$4,'Sources &amp; Change Log'!$J$2:$J$5)=1,COUNTIFS('Team Calendar'!$A$5:$A$14,$F28,'Team Calendar'!$C$5:$C$14,K$4,'Team Calendar'!$F$5:$F$14,"Personal absence")=0),1,"")</x:f>
      </x:c>
      <x:c r="L28" s="207" t="str">
        <x:f>IF(AND(ISNUMBER($D28),ISNUMBER($E28),L$4&gt;=$D28,L$4&lt;=$E28,NETWORKDAYS(L$4,L$4,'Sources &amp; Change Log'!$J$2:$J$5)=1,COUNTIFS('Team Calendar'!$A$5:$A$14,$F28,'Team Calendar'!$C$5:$C$14,L$4,'Team Calendar'!$F$5:$F$14,"Personal absence")=0),1,"")</x:f>
      </x:c>
      <x:c r="M28" s="207" t="str">
        <x:f>IF(AND(ISNUMBER($D28),ISNUMBER($E28),M$4&gt;=$D28,M$4&lt;=$E28,NETWORKDAYS(M$4,M$4,'Sources &amp; Change Log'!$J$2:$J$5)=1,COUNTIFS('Team Calendar'!$A$5:$A$14,$F28,'Team Calendar'!$C$5:$C$14,M$4,'Team Calendar'!$F$5:$F$14,"Personal absence")=0),1,"")</x:f>
      </x:c>
      <x:c r="N28" s="207" t="str">
        <x:f>IF(AND(ISNUMBER($D28),ISNUMBER($E28),N$4&gt;=$D28,N$4&lt;=$E28,NETWORKDAYS(N$4,N$4,'Sources &amp; Change Log'!$J$2:$J$5)=1,COUNTIFS('Team Calendar'!$A$5:$A$14,$F28,'Team Calendar'!$C$5:$C$14,N$4,'Team Calendar'!$F$5:$F$14,"Personal absence")=0),1,"")</x:f>
      </x:c>
      <x:c r="O28" s="207" t="str">
        <x:f>IF(AND(ISNUMBER($D28),ISNUMBER($E28),O$4&gt;=$D28,O$4&lt;=$E28,NETWORKDAYS(O$4,O$4,'Sources &amp; Change Log'!$J$2:$J$5)=1,COUNTIFS('Team Calendar'!$A$5:$A$14,$F28,'Team Calendar'!$C$5:$C$14,O$4,'Team Calendar'!$F$5:$F$14,"Personal absence")=0),1,"")</x:f>
      </x:c>
      <x:c r="P28" s="207" t="str">
        <x:f>IF(AND(ISNUMBER($D28),ISNUMBER($E28),P$4&gt;=$D28,P$4&lt;=$E28,NETWORKDAYS(P$4,P$4,'Sources &amp; Change Log'!$J$2:$J$5)=1,COUNTIFS('Team Calendar'!$A$5:$A$14,$F28,'Team Calendar'!$C$5:$C$14,P$4,'Team Calendar'!$F$5:$F$14,"Personal absence")=0),1,"")</x:f>
      </x:c>
      <x:c r="Q28" s="207" t="str">
        <x:f>IF(AND(ISNUMBER($D28),ISNUMBER($E28),Q$4&gt;=$D28,Q$4&lt;=$E28,NETWORKDAYS(Q$4,Q$4,'Sources &amp; Change Log'!$J$2:$J$5)=1,COUNTIFS('Team Calendar'!$A$5:$A$14,$F28,'Team Calendar'!$C$5:$C$14,Q$4,'Team Calendar'!$F$5:$F$14,"Personal absence")=0),1,"")</x:f>
      </x:c>
      <x:c r="R28" s="207" t="str">
        <x:f>IF(AND(ISNUMBER($D28),ISNUMBER($E28),R$4&gt;=$D28,R$4&lt;=$E28,NETWORKDAYS(R$4,R$4,'Sources &amp; Change Log'!$J$2:$J$5)=1,COUNTIFS('Team Calendar'!$A$5:$A$14,$F28,'Team Calendar'!$C$5:$C$14,R$4,'Team Calendar'!$F$5:$F$14,"Personal absence")=0),1,"")</x:f>
      </x:c>
      <x:c r="S28" s="207" t="str">
        <x:f>IF(AND(ISNUMBER($D28),ISNUMBER($E28),S$4&gt;=$D28,S$4&lt;=$E28,NETWORKDAYS(S$4,S$4,'Sources &amp; Change Log'!$J$2:$J$5)=1,COUNTIFS('Team Calendar'!$A$5:$A$14,$F28,'Team Calendar'!$C$5:$C$14,S$4,'Team Calendar'!$F$5:$F$14,"Personal absence")=0),1,"")</x:f>
      </x:c>
      <x:c r="T28" s="207" t="str">
        <x:f>IF(AND(ISNUMBER($D28),ISNUMBER($E28),T$4&gt;=$D28,T$4&lt;=$E28,NETWORKDAYS(T$4,T$4,'Sources &amp; Change Log'!$J$2:$J$5)=1,COUNTIFS('Team Calendar'!$A$5:$A$14,$F28,'Team Calendar'!$C$5:$C$14,T$4,'Team Calendar'!$F$5:$F$14,"Personal absence")=0),1,"")</x:f>
      </x:c>
      <x:c r="U28" s="207" t="str">
        <x:f>IF(AND(ISNUMBER($D28),ISNUMBER($E28),U$4&gt;=$D28,U$4&lt;=$E28,NETWORKDAYS(U$4,U$4,'Sources &amp; Change Log'!$J$2:$J$5)=1,COUNTIFS('Team Calendar'!$A$5:$A$14,$F28,'Team Calendar'!$C$5:$C$14,U$4,'Team Calendar'!$F$5:$F$14,"Personal absence")=0),1,"")</x:f>
      </x:c>
      <x:c r="V28" s="207" t="str">
        <x:f>IF(AND(ISNUMBER($D28),ISNUMBER($E28),V$4&gt;=$D28,V$4&lt;=$E28,NETWORKDAYS(V$4,V$4,'Sources &amp; Change Log'!$J$2:$J$5)=1,COUNTIFS('Team Calendar'!$A$5:$A$14,$F28,'Team Calendar'!$C$5:$C$14,V$4,'Team Calendar'!$F$5:$F$14,"Personal absence")=0),1,"")</x:f>
      </x:c>
      <x:c r="W28" s="207" t="str">
        <x:f>IF(AND(ISNUMBER($D28),ISNUMBER($E28),W$4&gt;=$D28,W$4&lt;=$E28,NETWORKDAYS(W$4,W$4,'Sources &amp; Change Log'!$J$2:$J$5)=1,COUNTIFS('Team Calendar'!$A$5:$A$14,$F28,'Team Calendar'!$C$5:$C$14,W$4,'Team Calendar'!$F$5:$F$14,"Personal absence")=0),1,"")</x:f>
      </x:c>
      <x:c r="X28" s="207" t="str">
        <x:f>IF(AND(ISNUMBER($D28),ISNUMBER($E28),X$4&gt;=$D28,X$4&lt;=$E28,NETWORKDAYS(X$4,X$4,'Sources &amp; Change Log'!$J$2:$J$5)=1,COUNTIFS('Team Calendar'!$A$5:$A$14,$F28,'Team Calendar'!$C$5:$C$14,X$4,'Team Calendar'!$F$5:$F$14,"Personal absence")=0),1,"")</x:f>
      </x:c>
      <x:c r="Y28" s="207" t="str">
        <x:f>IF(AND(ISNUMBER($D28),ISNUMBER($E28),Y$4&gt;=$D28,Y$4&lt;=$E28,NETWORKDAYS(Y$4,Y$4,'Sources &amp; Change Log'!$J$2:$J$5)=1,COUNTIFS('Team Calendar'!$A$5:$A$14,$F28,'Team Calendar'!$C$5:$C$14,Y$4,'Team Calendar'!$F$5:$F$14,"Personal absence")=0),1,"")</x:f>
      </x:c>
      <x:c r="Z28" s="207" t="str">
        <x:f>IF(AND(ISNUMBER($D28),ISNUMBER($E28),Z$4&gt;=$D28,Z$4&lt;=$E28,NETWORKDAYS(Z$4,Z$4,'Sources &amp; Change Log'!$J$2:$J$5)=1,COUNTIFS('Team Calendar'!$A$5:$A$14,$F28,'Team Calendar'!$C$5:$C$14,Z$4,'Team Calendar'!$F$5:$F$14,"Personal absence")=0),1,"")</x:f>
      </x:c>
      <x:c r="AA28" s="207" t="str">
        <x:f>IF(AND(ISNUMBER($D28),ISNUMBER($E28),AA$4&gt;=$D28,AA$4&lt;=$E28,NETWORKDAYS(AA$4,AA$4,'Sources &amp; Change Log'!$J$2:$J$5)=1,COUNTIFS('Team Calendar'!$A$5:$A$14,$F28,'Team Calendar'!$C$5:$C$14,AA$4,'Team Calendar'!$F$5:$F$14,"Personal absence")=0),1,"")</x:f>
      </x:c>
      <x:c r="AB28" s="207" t="str">
        <x:f>IF(AND(ISNUMBER($D28),ISNUMBER($E28),AB$4&gt;=$D28,AB$4&lt;=$E28,NETWORKDAYS(AB$4,AB$4,'Sources &amp; Change Log'!$J$2:$J$5)=1,COUNTIFS('Team Calendar'!$A$5:$A$14,$F28,'Team Calendar'!$C$5:$C$14,AB$4,'Team Calendar'!$F$5:$F$14,"Personal absence")=0),1,"")</x:f>
      </x:c>
      <x:c r="AC28" s="207" t="str">
        <x:f>IF(AND(ISNUMBER($D28),ISNUMBER($E28),AC$4&gt;=$D28,AC$4&lt;=$E28,NETWORKDAYS(AC$4,AC$4,'Sources &amp; Change Log'!$J$2:$J$5)=1,COUNTIFS('Team Calendar'!$A$5:$A$14,$F28,'Team Calendar'!$C$5:$C$14,AC$4,'Team Calendar'!$F$5:$F$14,"Personal absence")=0),1,"")</x:f>
      </x:c>
      <x:c r="AD28" s="207" t="str">
        <x:f>IF(AND(ISNUMBER($D28),ISNUMBER($E28),AD$4&gt;=$D28,AD$4&lt;=$E28,NETWORKDAYS(AD$4,AD$4,'Sources &amp; Change Log'!$J$2:$J$5)=1,COUNTIFS('Team Calendar'!$A$5:$A$14,$F28,'Team Calendar'!$C$5:$C$14,AD$4,'Team Calendar'!$F$5:$F$14,"Personal absence")=0),1,"")</x:f>
      </x:c>
      <x:c r="AE28" s="207" t="str">
        <x:f>IF(AND(ISNUMBER($D28),ISNUMBER($E28),AE$4&gt;=$D28,AE$4&lt;=$E28,NETWORKDAYS(AE$4,AE$4,'Sources &amp; Change Log'!$J$2:$J$5)=1,COUNTIFS('Team Calendar'!$A$5:$A$14,$F28,'Team Calendar'!$C$5:$C$14,AE$4,'Team Calendar'!$F$5:$F$14,"Personal absence")=0),1,"")</x:f>
      </x:c>
      <x:c r="AF28" s="207" t="n">
        <x:f>IF(AND(ISNUMBER($D28),ISNUMBER($E28),AF$4&gt;=$D28,AF$4&lt;=$E28,NETWORKDAYS(AF$4,AF$4,'Sources &amp; Change Log'!$J$2:$J$5)=1,COUNTIFS('Team Calendar'!$A$5:$A$14,$F28,'Team Calendar'!$C$5:$C$14,AF$4,'Team Calendar'!$F$5:$F$14,"Personal absence")=0),1,"")</x:f>
        <x:v>1</x:v>
      </x:c>
      <x:c r="AG28" s="207" t="str">
        <x:f>IF(AND(ISNUMBER($D28),ISNUMBER($E28),AG$4&gt;=$D28,AG$4&lt;=$E28,NETWORKDAYS(AG$4,AG$4,'Sources &amp; Change Log'!$J$2:$J$5)=1,COUNTIFS('Team Calendar'!$A$5:$A$14,$F28,'Team Calendar'!$C$5:$C$14,AG$4,'Team Calendar'!$F$5:$F$14,"Personal absence")=0),1,"")</x:f>
      </x:c>
      <x:c r="AH28" s="207" t="str">
        <x:f>IF(AND(ISNUMBER($D28),ISNUMBER($E28),AH$4&gt;=$D28,AH$4&lt;=$E28,NETWORKDAYS(AH$4,AH$4,'Sources &amp; Change Log'!$J$2:$J$5)=1,COUNTIFS('Team Calendar'!$A$5:$A$14,$F28,'Team Calendar'!$C$5:$C$14,AH$4,'Team Calendar'!$F$5:$F$14,"Personal absence")=0),1,"")</x:f>
      </x:c>
      <x:c r="AI28" s="207" t="str">
        <x:f>IF(AND(ISNUMBER($D28),ISNUMBER($E28),AI$4&gt;=$D28,AI$4&lt;=$E28,NETWORKDAYS(AI$4,AI$4,'Sources &amp; Change Log'!$J$2:$J$5)=1,COUNTIFS('Team Calendar'!$A$5:$A$14,$F28,'Team Calendar'!$C$5:$C$14,AI$4,'Team Calendar'!$F$5:$F$14,"Personal absence")=0),1,"")</x:f>
      </x:c>
      <x:c r="AJ28" s="206"/>
      <x:c r="AK28" s="206"/>
      <x:c r="AL28" s="206"/>
      <x:c r="AM28" s="206"/>
      <x:c r="AN28" s="206"/>
      <x:c r="AO28" s="206"/>
      <x:c r="AP28" s="206"/>
      <x:c r="AQ28" s="206"/>
      <x:c r="AR28" s="206"/>
      <x:c r="AS28" s="206"/>
      <x:c r="AT28" s="206"/>
      <x:c r="AU28" s="206"/>
      <x:c r="AV28" s="206"/>
      <x:c r="AW28" s="206"/>
      <x:c r="AX28" s="206"/>
      <x:c r="AY28" s="206"/>
      <x:c r="AZ28" s="206"/>
    </x:row>
    <x:row r="29" ht="30" customHeight="1">
      <x:c r="A29" s="195" t="str">
        <x:f>WBS!A55</x:f>
        <x:v>MS-PROJECT-CLOSE-01</x:v>
      </x:c>
      <x:c r="B29" s="195" t="str">
        <x:f>WBS!B55</x:f>
        <x:v>Project Close</x:v>
      </x:c>
      <x:c r="C29" s="195" t="str">
        <x:f>WBS!G55</x:f>
        <x:v>To Do</x:v>
      </x:c>
      <x:c r="D29" s="225" t="n">
        <x:f>WBS!H55</x:f>
        <x:v>46321</x:v>
      </x:c>
      <x:c r="E29" s="225" t="n">
        <x:f>WBS!I55</x:f>
        <x:v>46321</x:v>
      </x:c>
      <x:c r="F29" s="13" t="str">
        <x:f>WBS!L55</x:f>
        <x:v>이권욱</x:v>
      </x:c>
      <x:c r="G29" s="207" t="str">
        <x:f>IF(AND(ISNUMBER($D29),ISNUMBER($E29),G$4&gt;=$D29,G$4&lt;=$E29,NETWORKDAYS(G$4,G$4,'Sources &amp; Change Log'!$J$2:$J$5)=1,COUNTIFS('Team Calendar'!$A$5:$A$14,$F29,'Team Calendar'!$C$5:$C$14,G$4,'Team Calendar'!$F$5:$F$14,"Personal absence")=0),1,"")</x:f>
      </x:c>
      <x:c r="H29" s="207" t="str">
        <x:f>IF(AND(ISNUMBER($D29),ISNUMBER($E29),H$4&gt;=$D29,H$4&lt;=$E29,NETWORKDAYS(H$4,H$4,'Sources &amp; Change Log'!$J$2:$J$5)=1,COUNTIFS('Team Calendar'!$A$5:$A$14,$F29,'Team Calendar'!$C$5:$C$14,H$4,'Team Calendar'!$F$5:$F$14,"Personal absence")=0),1,"")</x:f>
      </x:c>
      <x:c r="I29" s="207" t="str">
        <x:f>IF(AND(ISNUMBER($D29),ISNUMBER($E29),I$4&gt;=$D29,I$4&lt;=$E29,NETWORKDAYS(I$4,I$4,'Sources &amp; Change Log'!$J$2:$J$5)=1,COUNTIFS('Team Calendar'!$A$5:$A$14,$F29,'Team Calendar'!$C$5:$C$14,I$4,'Team Calendar'!$F$5:$F$14,"Personal absence")=0),1,"")</x:f>
      </x:c>
      <x:c r="J29" s="207" t="str">
        <x:f>IF(AND(ISNUMBER($D29),ISNUMBER($E29),J$4&gt;=$D29,J$4&lt;=$E29,NETWORKDAYS(J$4,J$4,'Sources &amp; Change Log'!$J$2:$J$5)=1,COUNTIFS('Team Calendar'!$A$5:$A$14,$F29,'Team Calendar'!$C$5:$C$14,J$4,'Team Calendar'!$F$5:$F$14,"Personal absence")=0),1,"")</x:f>
      </x:c>
      <x:c r="K29" s="207" t="str">
        <x:f>IF(AND(ISNUMBER($D29),ISNUMBER($E29),K$4&gt;=$D29,K$4&lt;=$E29,NETWORKDAYS(K$4,K$4,'Sources &amp; Change Log'!$J$2:$J$5)=1,COUNTIFS('Team Calendar'!$A$5:$A$14,$F29,'Team Calendar'!$C$5:$C$14,K$4,'Team Calendar'!$F$5:$F$14,"Personal absence")=0),1,"")</x:f>
      </x:c>
      <x:c r="L29" s="207" t="str">
        <x:f>IF(AND(ISNUMBER($D29),ISNUMBER($E29),L$4&gt;=$D29,L$4&lt;=$E29,NETWORKDAYS(L$4,L$4,'Sources &amp; Change Log'!$J$2:$J$5)=1,COUNTIFS('Team Calendar'!$A$5:$A$14,$F29,'Team Calendar'!$C$5:$C$14,L$4,'Team Calendar'!$F$5:$F$14,"Personal absence")=0),1,"")</x:f>
      </x:c>
      <x:c r="M29" s="207" t="str">
        <x:f>IF(AND(ISNUMBER($D29),ISNUMBER($E29),M$4&gt;=$D29,M$4&lt;=$E29,NETWORKDAYS(M$4,M$4,'Sources &amp; Change Log'!$J$2:$J$5)=1,COUNTIFS('Team Calendar'!$A$5:$A$14,$F29,'Team Calendar'!$C$5:$C$14,M$4,'Team Calendar'!$F$5:$F$14,"Personal absence")=0),1,"")</x:f>
      </x:c>
      <x:c r="N29" s="207" t="str">
        <x:f>IF(AND(ISNUMBER($D29),ISNUMBER($E29),N$4&gt;=$D29,N$4&lt;=$E29,NETWORKDAYS(N$4,N$4,'Sources &amp; Change Log'!$J$2:$J$5)=1,COUNTIFS('Team Calendar'!$A$5:$A$14,$F29,'Team Calendar'!$C$5:$C$14,N$4,'Team Calendar'!$F$5:$F$14,"Personal absence")=0),1,"")</x:f>
      </x:c>
      <x:c r="O29" s="207" t="str">
        <x:f>IF(AND(ISNUMBER($D29),ISNUMBER($E29),O$4&gt;=$D29,O$4&lt;=$E29,NETWORKDAYS(O$4,O$4,'Sources &amp; Change Log'!$J$2:$J$5)=1,COUNTIFS('Team Calendar'!$A$5:$A$14,$F29,'Team Calendar'!$C$5:$C$14,O$4,'Team Calendar'!$F$5:$F$14,"Personal absence")=0),1,"")</x:f>
      </x:c>
      <x:c r="P29" s="207" t="str">
        <x:f>IF(AND(ISNUMBER($D29),ISNUMBER($E29),P$4&gt;=$D29,P$4&lt;=$E29,NETWORKDAYS(P$4,P$4,'Sources &amp; Change Log'!$J$2:$J$5)=1,COUNTIFS('Team Calendar'!$A$5:$A$14,$F29,'Team Calendar'!$C$5:$C$14,P$4,'Team Calendar'!$F$5:$F$14,"Personal absence")=0),1,"")</x:f>
      </x:c>
      <x:c r="Q29" s="207" t="str">
        <x:f>IF(AND(ISNUMBER($D29),ISNUMBER($E29),Q$4&gt;=$D29,Q$4&lt;=$E29,NETWORKDAYS(Q$4,Q$4,'Sources &amp; Change Log'!$J$2:$J$5)=1,COUNTIFS('Team Calendar'!$A$5:$A$14,$F29,'Team Calendar'!$C$5:$C$14,Q$4,'Team Calendar'!$F$5:$F$14,"Personal absence")=0),1,"")</x:f>
      </x:c>
      <x:c r="R29" s="207" t="str">
        <x:f>IF(AND(ISNUMBER($D29),ISNUMBER($E29),R$4&gt;=$D29,R$4&lt;=$E29,NETWORKDAYS(R$4,R$4,'Sources &amp; Change Log'!$J$2:$J$5)=1,COUNTIFS('Team Calendar'!$A$5:$A$14,$F29,'Team Calendar'!$C$5:$C$14,R$4,'Team Calendar'!$F$5:$F$14,"Personal absence")=0),1,"")</x:f>
      </x:c>
      <x:c r="S29" s="207" t="str">
        <x:f>IF(AND(ISNUMBER($D29),ISNUMBER($E29),S$4&gt;=$D29,S$4&lt;=$E29,NETWORKDAYS(S$4,S$4,'Sources &amp; Change Log'!$J$2:$J$5)=1,COUNTIFS('Team Calendar'!$A$5:$A$14,$F29,'Team Calendar'!$C$5:$C$14,S$4,'Team Calendar'!$F$5:$F$14,"Personal absence")=0),1,"")</x:f>
      </x:c>
      <x:c r="T29" s="207" t="str">
        <x:f>IF(AND(ISNUMBER($D29),ISNUMBER($E29),T$4&gt;=$D29,T$4&lt;=$E29,NETWORKDAYS(T$4,T$4,'Sources &amp; Change Log'!$J$2:$J$5)=1,COUNTIFS('Team Calendar'!$A$5:$A$14,$F29,'Team Calendar'!$C$5:$C$14,T$4,'Team Calendar'!$F$5:$F$14,"Personal absence")=0),1,"")</x:f>
      </x:c>
      <x:c r="U29" s="207" t="str">
        <x:f>IF(AND(ISNUMBER($D29),ISNUMBER($E29),U$4&gt;=$D29,U$4&lt;=$E29,NETWORKDAYS(U$4,U$4,'Sources &amp; Change Log'!$J$2:$J$5)=1,COUNTIFS('Team Calendar'!$A$5:$A$14,$F29,'Team Calendar'!$C$5:$C$14,U$4,'Team Calendar'!$F$5:$F$14,"Personal absence")=0),1,"")</x:f>
      </x:c>
      <x:c r="V29" s="207" t="str">
        <x:f>IF(AND(ISNUMBER($D29),ISNUMBER($E29),V$4&gt;=$D29,V$4&lt;=$E29,NETWORKDAYS(V$4,V$4,'Sources &amp; Change Log'!$J$2:$J$5)=1,COUNTIFS('Team Calendar'!$A$5:$A$14,$F29,'Team Calendar'!$C$5:$C$14,V$4,'Team Calendar'!$F$5:$F$14,"Personal absence")=0),1,"")</x:f>
      </x:c>
      <x:c r="W29" s="207" t="str">
        <x:f>IF(AND(ISNUMBER($D29),ISNUMBER($E29),W$4&gt;=$D29,W$4&lt;=$E29,NETWORKDAYS(W$4,W$4,'Sources &amp; Change Log'!$J$2:$J$5)=1,COUNTIFS('Team Calendar'!$A$5:$A$14,$F29,'Team Calendar'!$C$5:$C$14,W$4,'Team Calendar'!$F$5:$F$14,"Personal absence")=0),1,"")</x:f>
      </x:c>
      <x:c r="X29" s="207" t="str">
        <x:f>IF(AND(ISNUMBER($D29),ISNUMBER($E29),X$4&gt;=$D29,X$4&lt;=$E29,NETWORKDAYS(X$4,X$4,'Sources &amp; Change Log'!$J$2:$J$5)=1,COUNTIFS('Team Calendar'!$A$5:$A$14,$F29,'Team Calendar'!$C$5:$C$14,X$4,'Team Calendar'!$F$5:$F$14,"Personal absence")=0),1,"")</x:f>
      </x:c>
      <x:c r="Y29" s="207" t="str">
        <x:f>IF(AND(ISNUMBER($D29),ISNUMBER($E29),Y$4&gt;=$D29,Y$4&lt;=$E29,NETWORKDAYS(Y$4,Y$4,'Sources &amp; Change Log'!$J$2:$J$5)=1,COUNTIFS('Team Calendar'!$A$5:$A$14,$F29,'Team Calendar'!$C$5:$C$14,Y$4,'Team Calendar'!$F$5:$F$14,"Personal absence")=0),1,"")</x:f>
      </x:c>
      <x:c r="Z29" s="207" t="str">
        <x:f>IF(AND(ISNUMBER($D29),ISNUMBER($E29),Z$4&gt;=$D29,Z$4&lt;=$E29,NETWORKDAYS(Z$4,Z$4,'Sources &amp; Change Log'!$J$2:$J$5)=1,COUNTIFS('Team Calendar'!$A$5:$A$14,$F29,'Team Calendar'!$C$5:$C$14,Z$4,'Team Calendar'!$F$5:$F$14,"Personal absence")=0),1,"")</x:f>
      </x:c>
      <x:c r="AA29" s="207" t="str">
        <x:f>IF(AND(ISNUMBER($D29),ISNUMBER($E29),AA$4&gt;=$D29,AA$4&lt;=$E29,NETWORKDAYS(AA$4,AA$4,'Sources &amp; Change Log'!$J$2:$J$5)=1,COUNTIFS('Team Calendar'!$A$5:$A$14,$F29,'Team Calendar'!$C$5:$C$14,AA$4,'Team Calendar'!$F$5:$F$14,"Personal absence")=0),1,"")</x:f>
      </x:c>
      <x:c r="AB29" s="207" t="str">
        <x:f>IF(AND(ISNUMBER($D29),ISNUMBER($E29),AB$4&gt;=$D29,AB$4&lt;=$E29,NETWORKDAYS(AB$4,AB$4,'Sources &amp; Change Log'!$J$2:$J$5)=1,COUNTIFS('Team Calendar'!$A$5:$A$14,$F29,'Team Calendar'!$C$5:$C$14,AB$4,'Team Calendar'!$F$5:$F$14,"Personal absence")=0),1,"")</x:f>
      </x:c>
      <x:c r="AC29" s="207" t="str">
        <x:f>IF(AND(ISNUMBER($D29),ISNUMBER($E29),AC$4&gt;=$D29,AC$4&lt;=$E29,NETWORKDAYS(AC$4,AC$4,'Sources &amp; Change Log'!$J$2:$J$5)=1,COUNTIFS('Team Calendar'!$A$5:$A$14,$F29,'Team Calendar'!$C$5:$C$14,AC$4,'Team Calendar'!$F$5:$F$14,"Personal absence")=0),1,"")</x:f>
      </x:c>
      <x:c r="AD29" s="207" t="str">
        <x:f>IF(AND(ISNUMBER($D29),ISNUMBER($E29),AD$4&gt;=$D29,AD$4&lt;=$E29,NETWORKDAYS(AD$4,AD$4,'Sources &amp; Change Log'!$J$2:$J$5)=1,COUNTIFS('Team Calendar'!$A$5:$A$14,$F29,'Team Calendar'!$C$5:$C$14,AD$4,'Team Calendar'!$F$5:$F$14,"Personal absence")=0),1,"")</x:f>
      </x:c>
      <x:c r="AE29" s="207" t="str">
        <x:f>IF(AND(ISNUMBER($D29),ISNUMBER($E29),AE$4&gt;=$D29,AE$4&lt;=$E29,NETWORKDAYS(AE$4,AE$4,'Sources &amp; Change Log'!$J$2:$J$5)=1,COUNTIFS('Team Calendar'!$A$5:$A$14,$F29,'Team Calendar'!$C$5:$C$14,AE$4,'Team Calendar'!$F$5:$F$14,"Personal absence")=0),1,"")</x:f>
      </x:c>
      <x:c r="AF29" s="207" t="str">
        <x:f>IF(AND(ISNUMBER($D29),ISNUMBER($E29),AF$4&gt;=$D29,AF$4&lt;=$E29,NETWORKDAYS(AF$4,AF$4,'Sources &amp; Change Log'!$J$2:$J$5)=1,COUNTIFS('Team Calendar'!$A$5:$A$14,$F29,'Team Calendar'!$C$5:$C$14,AF$4,'Team Calendar'!$F$5:$F$14,"Personal absence")=0),1,"")</x:f>
      </x:c>
      <x:c r="AG29" s="207" t="str">
        <x:f>IF(AND(ISNUMBER($D29),ISNUMBER($E29),AG$4&gt;=$D29,AG$4&lt;=$E29,NETWORKDAYS(AG$4,AG$4,'Sources &amp; Change Log'!$J$2:$J$5)=1,COUNTIFS('Team Calendar'!$A$5:$A$14,$F29,'Team Calendar'!$C$5:$C$14,AG$4,'Team Calendar'!$F$5:$F$14,"Personal absence")=0),1,"")</x:f>
      </x:c>
      <x:c r="AH29" s="207" t="str">
        <x:f>IF(AND(ISNUMBER($D29),ISNUMBER($E29),AH$4&gt;=$D29,AH$4&lt;=$E29,NETWORKDAYS(AH$4,AH$4,'Sources &amp; Change Log'!$J$2:$J$5)=1,COUNTIFS('Team Calendar'!$A$5:$A$14,$F29,'Team Calendar'!$C$5:$C$14,AH$4,'Team Calendar'!$F$5:$F$14,"Personal absence")=0),1,"")</x:f>
      </x:c>
      <x:c r="AI29" s="207" t="n">
        <x:f>IF(AND(ISNUMBER($D29),ISNUMBER($E29),AI$4&gt;=$D29,AI$4&lt;=$E29,NETWORKDAYS(AI$4,AI$4,'Sources &amp; Change Log'!$J$2:$J$5)=1,COUNTIFS('Team Calendar'!$A$5:$A$14,$F29,'Team Calendar'!$C$5:$C$14,AI$4,'Team Calendar'!$F$5:$F$14,"Personal absence")=0),1,"")</x:f>
        <x:v>1</x:v>
      </x:c>
      <x:c r="AJ29" s="206"/>
      <x:c r="AK29" s="206"/>
      <x:c r="AL29" s="206"/>
      <x:c r="AM29" s="206"/>
      <x:c r="AN29" s="206"/>
      <x:c r="AO29" s="206"/>
      <x:c r="AP29" s="206"/>
      <x:c r="AQ29" s="206"/>
      <x:c r="AR29" s="206"/>
      <x:c r="AS29" s="206"/>
      <x:c r="AT29" s="206"/>
      <x:c r="AU29" s="206"/>
      <x:c r="AV29" s="206"/>
      <x:c r="AW29" s="206"/>
      <x:c r="AX29" s="206"/>
      <x:c r="AY29" s="206"/>
      <x:c r="AZ29" s="206"/>
    </x:row>
    <x:row r="30" ht="30" customHeight="1">
      <x:c r="A30" s="198" t="str">
        <x:f>WBS!A71</x:f>
        <x:v>DEC-P2-RHOAI-01</x:v>
      </x:c>
      <x:c r="B30" s="198" t="str">
        <x:f>WBS!B71</x:f>
        <x:v>RHOAI(Red Hat OpenShift AI) 도입 범위 결정</x:v>
      </x:c>
      <x:c r="C30" s="198" t="str">
        <x:f>WBS!G71</x:f>
        <x:v>To Do</x:v>
      </x:c>
      <x:c r="D30" s="226" t="n">
        <x:f>WBS!H71</x:f>
        <x:v>0</x:v>
      </x:c>
      <x:c r="E30" s="226" t="n">
        <x:f>WBS!I71</x:f>
        <x:v>0</x:v>
      </x:c>
      <x:c r="F30" t="str">
        <x:f>WBS!L71</x:f>
        <x:v>이하영</x:v>
      </x:c>
      <x:c r="G30" s="211" t="str">
        <x:f>IF(AND(ISNUMBER($D30),ISNUMBER($E30),G$4&gt;=$D30,G$4&lt;=$E30,NETWORKDAYS(G$4,G$4,'Sources &amp; Change Log'!$J$2:$J$5)=1,COUNTIFS('Team Calendar'!$A$5:$A$14,$F30,'Team Calendar'!$C$5:$C$14,G$4,'Team Calendar'!$F$5:$F$14,"Personal absence")=0),1,"")</x:f>
      </x:c>
      <x:c r="H30" s="211" t="str">
        <x:f>IF(AND(ISNUMBER($D30),ISNUMBER($E30),H$4&gt;=$D30,H$4&lt;=$E30,NETWORKDAYS(H$4,H$4,'Sources &amp; Change Log'!$J$2:$J$5)=1,COUNTIFS('Team Calendar'!$A$5:$A$14,$F30,'Team Calendar'!$C$5:$C$14,H$4,'Team Calendar'!$F$5:$F$14,"Personal absence")=0),1,"")</x:f>
      </x:c>
      <x:c r="I30" s="211" t="str">
        <x:f>IF(AND(ISNUMBER($D30),ISNUMBER($E30),I$4&gt;=$D30,I$4&lt;=$E30,NETWORKDAYS(I$4,I$4,'Sources &amp; Change Log'!$J$2:$J$5)=1,COUNTIFS('Team Calendar'!$A$5:$A$14,$F30,'Team Calendar'!$C$5:$C$14,I$4,'Team Calendar'!$F$5:$F$14,"Personal absence")=0),1,"")</x:f>
      </x:c>
      <x:c r="J30" s="211" t="str">
        <x:f>IF(AND(ISNUMBER($D30),ISNUMBER($E30),J$4&gt;=$D30,J$4&lt;=$E30,NETWORKDAYS(J$4,J$4,'Sources &amp; Change Log'!$J$2:$J$5)=1,COUNTIFS('Team Calendar'!$A$5:$A$14,$F30,'Team Calendar'!$C$5:$C$14,J$4,'Team Calendar'!$F$5:$F$14,"Personal absence")=0),1,"")</x:f>
      </x:c>
      <x:c r="K30" s="211" t="str">
        <x:f>IF(AND(ISNUMBER($D30),ISNUMBER($E30),K$4&gt;=$D30,K$4&lt;=$E30,NETWORKDAYS(K$4,K$4,'Sources &amp; Change Log'!$J$2:$J$5)=1,COUNTIFS('Team Calendar'!$A$5:$A$14,$F30,'Team Calendar'!$C$5:$C$14,K$4,'Team Calendar'!$F$5:$F$14,"Personal absence")=0),1,"")</x:f>
      </x:c>
      <x:c r="L30" s="211" t="str">
        <x:f>IF(AND(ISNUMBER($D30),ISNUMBER($E30),L$4&gt;=$D30,L$4&lt;=$E30,NETWORKDAYS(L$4,L$4,'Sources &amp; Change Log'!$J$2:$J$5)=1,COUNTIFS('Team Calendar'!$A$5:$A$14,$F30,'Team Calendar'!$C$5:$C$14,L$4,'Team Calendar'!$F$5:$F$14,"Personal absence")=0),1,"")</x:f>
      </x:c>
      <x:c r="M30" s="211" t="str">
        <x:f>IF(AND(ISNUMBER($D30),ISNUMBER($E30),M$4&gt;=$D30,M$4&lt;=$E30,NETWORKDAYS(M$4,M$4,'Sources &amp; Change Log'!$J$2:$J$5)=1,COUNTIFS('Team Calendar'!$A$5:$A$14,$F30,'Team Calendar'!$C$5:$C$14,M$4,'Team Calendar'!$F$5:$F$14,"Personal absence")=0),1,"")</x:f>
      </x:c>
      <x:c r="N30" s="211" t="str">
        <x:f>IF(AND(ISNUMBER($D30),ISNUMBER($E30),N$4&gt;=$D30,N$4&lt;=$E30,NETWORKDAYS(N$4,N$4,'Sources &amp; Change Log'!$J$2:$J$5)=1,COUNTIFS('Team Calendar'!$A$5:$A$14,$F30,'Team Calendar'!$C$5:$C$14,N$4,'Team Calendar'!$F$5:$F$14,"Personal absence")=0),1,"")</x:f>
      </x:c>
      <x:c r="O30" s="211" t="str">
        <x:f>IF(AND(ISNUMBER($D30),ISNUMBER($E30),O$4&gt;=$D30,O$4&lt;=$E30,NETWORKDAYS(O$4,O$4,'Sources &amp; Change Log'!$J$2:$J$5)=1,COUNTIFS('Team Calendar'!$A$5:$A$14,$F30,'Team Calendar'!$C$5:$C$14,O$4,'Team Calendar'!$F$5:$F$14,"Personal absence")=0),1,"")</x:f>
      </x:c>
      <x:c r="P30" s="211" t="str">
        <x:f>IF(AND(ISNUMBER($D30),ISNUMBER($E30),P$4&gt;=$D30,P$4&lt;=$E30,NETWORKDAYS(P$4,P$4,'Sources &amp; Change Log'!$J$2:$J$5)=1,COUNTIFS('Team Calendar'!$A$5:$A$14,$F30,'Team Calendar'!$C$5:$C$14,P$4,'Team Calendar'!$F$5:$F$14,"Personal absence")=0),1,"")</x:f>
      </x:c>
      <x:c r="Q30" s="211" t="str">
        <x:f>IF(AND(ISNUMBER($D30),ISNUMBER($E30),Q$4&gt;=$D30,Q$4&lt;=$E30,NETWORKDAYS(Q$4,Q$4,'Sources &amp; Change Log'!$J$2:$J$5)=1,COUNTIFS('Team Calendar'!$A$5:$A$14,$F30,'Team Calendar'!$C$5:$C$14,Q$4,'Team Calendar'!$F$5:$F$14,"Personal absence")=0),1,"")</x:f>
      </x:c>
      <x:c r="R30" s="211" t="str">
        <x:f>IF(AND(ISNUMBER($D30),ISNUMBER($E30),R$4&gt;=$D30,R$4&lt;=$E30,NETWORKDAYS(R$4,R$4,'Sources &amp; Change Log'!$J$2:$J$5)=1,COUNTIFS('Team Calendar'!$A$5:$A$14,$F30,'Team Calendar'!$C$5:$C$14,R$4,'Team Calendar'!$F$5:$F$14,"Personal absence")=0),1,"")</x:f>
      </x:c>
      <x:c r="S30" s="211" t="str">
        <x:f>IF(AND(ISNUMBER($D30),ISNUMBER($E30),S$4&gt;=$D30,S$4&lt;=$E30,NETWORKDAYS(S$4,S$4,'Sources &amp; Change Log'!$J$2:$J$5)=1,COUNTIFS('Team Calendar'!$A$5:$A$14,$F30,'Team Calendar'!$C$5:$C$14,S$4,'Team Calendar'!$F$5:$F$14,"Personal absence")=0),1,"")</x:f>
      </x:c>
      <x:c r="T30" s="211" t="str">
        <x:f>IF(AND(ISNUMBER($D30),ISNUMBER($E30),T$4&gt;=$D30,T$4&lt;=$E30,NETWORKDAYS(T$4,T$4,'Sources &amp; Change Log'!$J$2:$J$5)=1,COUNTIFS('Team Calendar'!$A$5:$A$14,$F30,'Team Calendar'!$C$5:$C$14,T$4,'Team Calendar'!$F$5:$F$14,"Personal absence")=0),1,"")</x:f>
      </x:c>
      <x:c r="U30" s="211" t="str">
        <x:f>IF(AND(ISNUMBER($D30),ISNUMBER($E30),U$4&gt;=$D30,U$4&lt;=$E30,NETWORKDAYS(U$4,U$4,'Sources &amp; Change Log'!$J$2:$J$5)=1,COUNTIFS('Team Calendar'!$A$5:$A$14,$F30,'Team Calendar'!$C$5:$C$14,U$4,'Team Calendar'!$F$5:$F$14,"Personal absence")=0),1,"")</x:f>
      </x:c>
      <x:c r="V30" s="211" t="str">
        <x:f>IF(AND(ISNUMBER($D30),ISNUMBER($E30),V$4&gt;=$D30,V$4&lt;=$E30,NETWORKDAYS(V$4,V$4,'Sources &amp; Change Log'!$J$2:$J$5)=1,COUNTIFS('Team Calendar'!$A$5:$A$14,$F30,'Team Calendar'!$C$5:$C$14,V$4,'Team Calendar'!$F$5:$F$14,"Personal absence")=0),1,"")</x:f>
      </x:c>
      <x:c r="W30" s="211" t="str">
        <x:f>IF(AND(ISNUMBER($D30),ISNUMBER($E30),W$4&gt;=$D30,W$4&lt;=$E30,NETWORKDAYS(W$4,W$4,'Sources &amp; Change Log'!$J$2:$J$5)=1,COUNTIFS('Team Calendar'!$A$5:$A$14,$F30,'Team Calendar'!$C$5:$C$14,W$4,'Team Calendar'!$F$5:$F$14,"Personal absence")=0),1,"")</x:f>
      </x:c>
      <x:c r="X30" s="211" t="str">
        <x:f>IF(AND(ISNUMBER($D30),ISNUMBER($E30),X$4&gt;=$D30,X$4&lt;=$E30,NETWORKDAYS(X$4,X$4,'Sources &amp; Change Log'!$J$2:$J$5)=1,COUNTIFS('Team Calendar'!$A$5:$A$14,$F30,'Team Calendar'!$C$5:$C$14,X$4,'Team Calendar'!$F$5:$F$14,"Personal absence")=0),1,"")</x:f>
      </x:c>
      <x:c r="Y30" s="211" t="str">
        <x:f>IF(AND(ISNUMBER($D30),ISNUMBER($E30),Y$4&gt;=$D30,Y$4&lt;=$E30,NETWORKDAYS(Y$4,Y$4,'Sources &amp; Change Log'!$J$2:$J$5)=1,COUNTIFS('Team Calendar'!$A$5:$A$14,$F30,'Team Calendar'!$C$5:$C$14,Y$4,'Team Calendar'!$F$5:$F$14,"Personal absence")=0),1,"")</x:f>
      </x:c>
      <x:c r="Z30" s="211" t="str">
        <x:f>IF(AND(ISNUMBER($D30),ISNUMBER($E30),Z$4&gt;=$D30,Z$4&lt;=$E30,NETWORKDAYS(Z$4,Z$4,'Sources &amp; Change Log'!$J$2:$J$5)=1,COUNTIFS('Team Calendar'!$A$5:$A$14,$F30,'Team Calendar'!$C$5:$C$14,Z$4,'Team Calendar'!$F$5:$F$14,"Personal absence")=0),1,"")</x:f>
      </x:c>
      <x:c r="AA30" s="211" t="str">
        <x:f>IF(AND(ISNUMBER($D30),ISNUMBER($E30),AA$4&gt;=$D30,AA$4&lt;=$E30,NETWORKDAYS(AA$4,AA$4,'Sources &amp; Change Log'!$J$2:$J$5)=1,COUNTIFS('Team Calendar'!$A$5:$A$14,$F30,'Team Calendar'!$C$5:$C$14,AA$4,'Team Calendar'!$F$5:$F$14,"Personal absence")=0),1,"")</x:f>
      </x:c>
      <x:c r="AB30" s="211" t="str">
        <x:f>IF(AND(ISNUMBER($D30),ISNUMBER($E30),AB$4&gt;=$D30,AB$4&lt;=$E30,NETWORKDAYS(AB$4,AB$4,'Sources &amp; Change Log'!$J$2:$J$5)=1,COUNTIFS('Team Calendar'!$A$5:$A$14,$F30,'Team Calendar'!$C$5:$C$14,AB$4,'Team Calendar'!$F$5:$F$14,"Personal absence")=0),1,"")</x:f>
      </x:c>
      <x:c r="AC30" s="211" t="str">
        <x:f>IF(AND(ISNUMBER($D30),ISNUMBER($E30),AC$4&gt;=$D30,AC$4&lt;=$E30,NETWORKDAYS(AC$4,AC$4,'Sources &amp; Change Log'!$J$2:$J$5)=1,COUNTIFS('Team Calendar'!$A$5:$A$14,$F30,'Team Calendar'!$C$5:$C$14,AC$4,'Team Calendar'!$F$5:$F$14,"Personal absence")=0),1,"")</x:f>
      </x:c>
      <x:c r="AD30" s="211" t="str">
        <x:f>IF(AND(ISNUMBER($D30),ISNUMBER($E30),AD$4&gt;=$D30,AD$4&lt;=$E30,NETWORKDAYS(AD$4,AD$4,'Sources &amp; Change Log'!$J$2:$J$5)=1,COUNTIFS('Team Calendar'!$A$5:$A$14,$F30,'Team Calendar'!$C$5:$C$14,AD$4,'Team Calendar'!$F$5:$F$14,"Personal absence")=0),1,"")</x:f>
      </x:c>
      <x:c r="AE30" s="211" t="str">
        <x:f>IF(AND(ISNUMBER($D30),ISNUMBER($E30),AE$4&gt;=$D30,AE$4&lt;=$E30,NETWORKDAYS(AE$4,AE$4,'Sources &amp; Change Log'!$J$2:$J$5)=1,COUNTIFS('Team Calendar'!$A$5:$A$14,$F30,'Team Calendar'!$C$5:$C$14,AE$4,'Team Calendar'!$F$5:$F$14,"Personal absence")=0),1,"")</x:f>
      </x:c>
      <x:c r="AF30" s="211" t="str">
        <x:f>IF(AND(ISNUMBER($D30),ISNUMBER($E30),AF$4&gt;=$D30,AF$4&lt;=$E30,NETWORKDAYS(AF$4,AF$4,'Sources &amp; Change Log'!$J$2:$J$5)=1,COUNTIFS('Team Calendar'!$A$5:$A$14,$F30,'Team Calendar'!$C$5:$C$14,AF$4,'Team Calendar'!$F$5:$F$14,"Personal absence")=0),1,"")</x:f>
      </x:c>
      <x:c r="AG30" s="211" t="str">
        <x:f>IF(AND(ISNUMBER($D30),ISNUMBER($E30),AG$4&gt;=$D30,AG$4&lt;=$E30,NETWORKDAYS(AG$4,AG$4,'Sources &amp; Change Log'!$J$2:$J$5)=1,COUNTIFS('Team Calendar'!$A$5:$A$14,$F30,'Team Calendar'!$C$5:$C$14,AG$4,'Team Calendar'!$F$5:$F$14,"Personal absence")=0),1,"")</x:f>
      </x:c>
      <x:c r="AH30" s="211" t="str">
        <x:f>IF(AND(ISNUMBER($D30),ISNUMBER($E30),AH$4&gt;=$D30,AH$4&lt;=$E30,NETWORKDAYS(AH$4,AH$4,'Sources &amp; Change Log'!$J$2:$J$5)=1,COUNTIFS('Team Calendar'!$A$5:$A$14,$F30,'Team Calendar'!$C$5:$C$14,AH$4,'Team Calendar'!$F$5:$F$14,"Personal absence")=0),1,"")</x:f>
      </x:c>
      <x:c r="AI30" s="211" t="str">
        <x:f>IF(AND(ISNUMBER($D30),ISNUMBER($E30),AI$4&gt;=$D30,AI$4&lt;=$E30,NETWORKDAYS(AI$4,AI$4,'Sources &amp; Change Log'!$J$2:$J$5)=1,COUNTIFS('Team Calendar'!$A$5:$A$14,$F30,'Team Calendar'!$C$5:$C$14,AI$4,'Team Calendar'!$F$5:$F$14,"Personal absence")=0),1,"")</x:f>
      </x:c>
      <x:c r="AJ30" s="206"/>
      <x:c r="AK30" s="206"/>
      <x:c r="AL30" s="206"/>
      <x:c r="AM30" s="206"/>
      <x:c r="AN30" s="206"/>
      <x:c r="AO30" s="206"/>
      <x:c r="AP30" s="206"/>
      <x:c r="AQ30" s="206"/>
      <x:c r="AR30" s="206"/>
      <x:c r="AS30" s="206"/>
      <x:c r="AT30" s="206"/>
      <x:c r="AU30" s="206"/>
      <x:c r="AV30" s="206"/>
      <x:c r="AW30" s="206"/>
      <x:c r="AX30" s="206"/>
      <x:c r="AY30" s="206"/>
      <x:c r="AZ30" s="206"/>
    </x:row>
    <x:row r="31" ht="30" customHeight="1">
      <x:c r="A31" s="198" t="str">
        <x:f>WBS!A75</x:f>
        <x:v>DEC-P2-GITOPS-01</x:v>
      </x:c>
      <x:c r="B31" s="198" t="str">
        <x:f>WBS!B75</x:f>
        <x:v>OpenShift GitOps (Argo CD) 도입 범위 결정</x:v>
      </x:c>
      <x:c r="C31" s="198" t="str">
        <x:f>WBS!G75</x:f>
        <x:v>To Do</x:v>
      </x:c>
      <x:c r="D31" s="226" t="n">
        <x:f>WBS!H75</x:f>
        <x:v>0</x:v>
      </x:c>
      <x:c r="E31" s="226" t="n">
        <x:f>WBS!I75</x:f>
        <x:v>0</x:v>
      </x:c>
      <x:c r="F31" t="str">
        <x:f>WBS!L75</x:f>
        <x:v>이권욱</x:v>
      </x:c>
      <x:c r="G31" s="211" t="str">
        <x:f>IF(AND(ISNUMBER($D31),ISNUMBER($E31),G$4&gt;=$D31,G$4&lt;=$E31,NETWORKDAYS(G$4,G$4,'Sources &amp; Change Log'!$J$2:$J$5)=1,COUNTIFS('Team Calendar'!$A$5:$A$14,$F31,'Team Calendar'!$C$5:$C$14,G$4,'Team Calendar'!$F$5:$F$14,"Personal absence")=0),1,"")</x:f>
      </x:c>
      <x:c r="H31" s="211" t="str">
        <x:f>IF(AND(ISNUMBER($D31),ISNUMBER($E31),H$4&gt;=$D31,H$4&lt;=$E31,NETWORKDAYS(H$4,H$4,'Sources &amp; Change Log'!$J$2:$J$5)=1,COUNTIFS('Team Calendar'!$A$5:$A$14,$F31,'Team Calendar'!$C$5:$C$14,H$4,'Team Calendar'!$F$5:$F$14,"Personal absence")=0),1,"")</x:f>
      </x:c>
      <x:c r="I31" s="211" t="str">
        <x:f>IF(AND(ISNUMBER($D31),ISNUMBER($E31),I$4&gt;=$D31,I$4&lt;=$E31,NETWORKDAYS(I$4,I$4,'Sources &amp; Change Log'!$J$2:$J$5)=1,COUNTIFS('Team Calendar'!$A$5:$A$14,$F31,'Team Calendar'!$C$5:$C$14,I$4,'Team Calendar'!$F$5:$F$14,"Personal absence")=0),1,"")</x:f>
      </x:c>
      <x:c r="J31" s="211" t="str">
        <x:f>IF(AND(ISNUMBER($D31),ISNUMBER($E31),J$4&gt;=$D31,J$4&lt;=$E31,NETWORKDAYS(J$4,J$4,'Sources &amp; Change Log'!$J$2:$J$5)=1,COUNTIFS('Team Calendar'!$A$5:$A$14,$F31,'Team Calendar'!$C$5:$C$14,J$4,'Team Calendar'!$F$5:$F$14,"Personal absence")=0),1,"")</x:f>
      </x:c>
      <x:c r="K31" s="211" t="str">
        <x:f>IF(AND(ISNUMBER($D31),ISNUMBER($E31),K$4&gt;=$D31,K$4&lt;=$E31,NETWORKDAYS(K$4,K$4,'Sources &amp; Change Log'!$J$2:$J$5)=1,COUNTIFS('Team Calendar'!$A$5:$A$14,$F31,'Team Calendar'!$C$5:$C$14,K$4,'Team Calendar'!$F$5:$F$14,"Personal absence")=0),1,"")</x:f>
      </x:c>
      <x:c r="L31" s="211" t="str">
        <x:f>IF(AND(ISNUMBER($D31),ISNUMBER($E31),L$4&gt;=$D31,L$4&lt;=$E31,NETWORKDAYS(L$4,L$4,'Sources &amp; Change Log'!$J$2:$J$5)=1,COUNTIFS('Team Calendar'!$A$5:$A$14,$F31,'Team Calendar'!$C$5:$C$14,L$4,'Team Calendar'!$F$5:$F$14,"Personal absence")=0),1,"")</x:f>
      </x:c>
      <x:c r="M31" s="211" t="str">
        <x:f>IF(AND(ISNUMBER($D31),ISNUMBER($E31),M$4&gt;=$D31,M$4&lt;=$E31,NETWORKDAYS(M$4,M$4,'Sources &amp; Change Log'!$J$2:$J$5)=1,COUNTIFS('Team Calendar'!$A$5:$A$14,$F31,'Team Calendar'!$C$5:$C$14,M$4,'Team Calendar'!$F$5:$F$14,"Personal absence")=0),1,"")</x:f>
      </x:c>
      <x:c r="N31" s="211" t="str">
        <x:f>IF(AND(ISNUMBER($D31),ISNUMBER($E31),N$4&gt;=$D31,N$4&lt;=$E31,NETWORKDAYS(N$4,N$4,'Sources &amp; Change Log'!$J$2:$J$5)=1,COUNTIFS('Team Calendar'!$A$5:$A$14,$F31,'Team Calendar'!$C$5:$C$14,N$4,'Team Calendar'!$F$5:$F$14,"Personal absence")=0),1,"")</x:f>
      </x:c>
      <x:c r="O31" s="211" t="str">
        <x:f>IF(AND(ISNUMBER($D31),ISNUMBER($E31),O$4&gt;=$D31,O$4&lt;=$E31,NETWORKDAYS(O$4,O$4,'Sources &amp; Change Log'!$J$2:$J$5)=1,COUNTIFS('Team Calendar'!$A$5:$A$14,$F31,'Team Calendar'!$C$5:$C$14,O$4,'Team Calendar'!$F$5:$F$14,"Personal absence")=0),1,"")</x:f>
      </x:c>
      <x:c r="P31" s="211" t="str">
        <x:f>IF(AND(ISNUMBER($D31),ISNUMBER($E31),P$4&gt;=$D31,P$4&lt;=$E31,NETWORKDAYS(P$4,P$4,'Sources &amp; Change Log'!$J$2:$J$5)=1,COUNTIFS('Team Calendar'!$A$5:$A$14,$F31,'Team Calendar'!$C$5:$C$14,P$4,'Team Calendar'!$F$5:$F$14,"Personal absence")=0),1,"")</x:f>
      </x:c>
      <x:c r="Q31" s="211" t="str">
        <x:f>IF(AND(ISNUMBER($D31),ISNUMBER($E31),Q$4&gt;=$D31,Q$4&lt;=$E31,NETWORKDAYS(Q$4,Q$4,'Sources &amp; Change Log'!$J$2:$J$5)=1,COUNTIFS('Team Calendar'!$A$5:$A$14,$F31,'Team Calendar'!$C$5:$C$14,Q$4,'Team Calendar'!$F$5:$F$14,"Personal absence")=0),1,"")</x:f>
      </x:c>
      <x:c r="R31" s="211" t="str">
        <x:f>IF(AND(ISNUMBER($D31),ISNUMBER($E31),R$4&gt;=$D31,R$4&lt;=$E31,NETWORKDAYS(R$4,R$4,'Sources &amp; Change Log'!$J$2:$J$5)=1,COUNTIFS('Team Calendar'!$A$5:$A$14,$F31,'Team Calendar'!$C$5:$C$14,R$4,'Team Calendar'!$F$5:$F$14,"Personal absence")=0),1,"")</x:f>
      </x:c>
      <x:c r="S31" s="211" t="str">
        <x:f>IF(AND(ISNUMBER($D31),ISNUMBER($E31),S$4&gt;=$D31,S$4&lt;=$E31,NETWORKDAYS(S$4,S$4,'Sources &amp; Change Log'!$J$2:$J$5)=1,COUNTIFS('Team Calendar'!$A$5:$A$14,$F31,'Team Calendar'!$C$5:$C$14,S$4,'Team Calendar'!$F$5:$F$14,"Personal absence")=0),1,"")</x:f>
      </x:c>
      <x:c r="T31" s="211" t="str">
        <x:f>IF(AND(ISNUMBER($D31),ISNUMBER($E31),T$4&gt;=$D31,T$4&lt;=$E31,NETWORKDAYS(T$4,T$4,'Sources &amp; Change Log'!$J$2:$J$5)=1,COUNTIFS('Team Calendar'!$A$5:$A$14,$F31,'Team Calendar'!$C$5:$C$14,T$4,'Team Calendar'!$F$5:$F$14,"Personal absence")=0),1,"")</x:f>
      </x:c>
      <x:c r="U31" s="211" t="str">
        <x:f>IF(AND(ISNUMBER($D31),ISNUMBER($E31),U$4&gt;=$D31,U$4&lt;=$E31,NETWORKDAYS(U$4,U$4,'Sources &amp; Change Log'!$J$2:$J$5)=1,COUNTIFS('Team Calendar'!$A$5:$A$14,$F31,'Team Calendar'!$C$5:$C$14,U$4,'Team Calendar'!$F$5:$F$14,"Personal absence")=0),1,"")</x:f>
      </x:c>
      <x:c r="V31" s="211" t="str">
        <x:f>IF(AND(ISNUMBER($D31),ISNUMBER($E31),V$4&gt;=$D31,V$4&lt;=$E31,NETWORKDAYS(V$4,V$4,'Sources &amp; Change Log'!$J$2:$J$5)=1,COUNTIFS('Team Calendar'!$A$5:$A$14,$F31,'Team Calendar'!$C$5:$C$14,V$4,'Team Calendar'!$F$5:$F$14,"Personal absence")=0),1,"")</x:f>
      </x:c>
      <x:c r="W31" s="211" t="str">
        <x:f>IF(AND(ISNUMBER($D31),ISNUMBER($E31),W$4&gt;=$D31,W$4&lt;=$E31,NETWORKDAYS(W$4,W$4,'Sources &amp; Change Log'!$J$2:$J$5)=1,COUNTIFS('Team Calendar'!$A$5:$A$14,$F31,'Team Calendar'!$C$5:$C$14,W$4,'Team Calendar'!$F$5:$F$14,"Personal absence")=0),1,"")</x:f>
      </x:c>
      <x:c r="X31" s="211" t="str">
        <x:f>IF(AND(ISNUMBER($D31),ISNUMBER($E31),X$4&gt;=$D31,X$4&lt;=$E31,NETWORKDAYS(X$4,X$4,'Sources &amp; Change Log'!$J$2:$J$5)=1,COUNTIFS('Team Calendar'!$A$5:$A$14,$F31,'Team Calendar'!$C$5:$C$14,X$4,'Team Calendar'!$F$5:$F$14,"Personal absence")=0),1,"")</x:f>
      </x:c>
      <x:c r="Y31" s="211" t="str">
        <x:f>IF(AND(ISNUMBER($D31),ISNUMBER($E31),Y$4&gt;=$D31,Y$4&lt;=$E31,NETWORKDAYS(Y$4,Y$4,'Sources &amp; Change Log'!$J$2:$J$5)=1,COUNTIFS('Team Calendar'!$A$5:$A$14,$F31,'Team Calendar'!$C$5:$C$14,Y$4,'Team Calendar'!$F$5:$F$14,"Personal absence")=0),1,"")</x:f>
      </x:c>
      <x:c r="Z31" s="211" t="str">
        <x:f>IF(AND(ISNUMBER($D31),ISNUMBER($E31),Z$4&gt;=$D31,Z$4&lt;=$E31,NETWORKDAYS(Z$4,Z$4,'Sources &amp; Change Log'!$J$2:$J$5)=1,COUNTIFS('Team Calendar'!$A$5:$A$14,$F31,'Team Calendar'!$C$5:$C$14,Z$4,'Team Calendar'!$F$5:$F$14,"Personal absence")=0),1,"")</x:f>
      </x:c>
      <x:c r="AA31" s="211" t="str">
        <x:f>IF(AND(ISNUMBER($D31),ISNUMBER($E31),AA$4&gt;=$D31,AA$4&lt;=$E31,NETWORKDAYS(AA$4,AA$4,'Sources &amp; Change Log'!$J$2:$J$5)=1,COUNTIFS('Team Calendar'!$A$5:$A$14,$F31,'Team Calendar'!$C$5:$C$14,AA$4,'Team Calendar'!$F$5:$F$14,"Personal absence")=0),1,"")</x:f>
      </x:c>
      <x:c r="AB31" s="211" t="str">
        <x:f>IF(AND(ISNUMBER($D31),ISNUMBER($E31),AB$4&gt;=$D31,AB$4&lt;=$E31,NETWORKDAYS(AB$4,AB$4,'Sources &amp; Change Log'!$J$2:$J$5)=1,COUNTIFS('Team Calendar'!$A$5:$A$14,$F31,'Team Calendar'!$C$5:$C$14,AB$4,'Team Calendar'!$F$5:$F$14,"Personal absence")=0),1,"")</x:f>
      </x:c>
      <x:c r="AC31" s="211" t="str">
        <x:f>IF(AND(ISNUMBER($D31),ISNUMBER($E31),AC$4&gt;=$D31,AC$4&lt;=$E31,NETWORKDAYS(AC$4,AC$4,'Sources &amp; Change Log'!$J$2:$J$5)=1,COUNTIFS('Team Calendar'!$A$5:$A$14,$F31,'Team Calendar'!$C$5:$C$14,AC$4,'Team Calendar'!$F$5:$F$14,"Personal absence")=0),1,"")</x:f>
      </x:c>
      <x:c r="AD31" s="211" t="str">
        <x:f>IF(AND(ISNUMBER($D31),ISNUMBER($E31),AD$4&gt;=$D31,AD$4&lt;=$E31,NETWORKDAYS(AD$4,AD$4,'Sources &amp; Change Log'!$J$2:$J$5)=1,COUNTIFS('Team Calendar'!$A$5:$A$14,$F31,'Team Calendar'!$C$5:$C$14,AD$4,'Team Calendar'!$F$5:$F$14,"Personal absence")=0),1,"")</x:f>
      </x:c>
      <x:c r="AE31" s="211" t="str">
        <x:f>IF(AND(ISNUMBER($D31),ISNUMBER($E31),AE$4&gt;=$D31,AE$4&lt;=$E31,NETWORKDAYS(AE$4,AE$4,'Sources &amp; Change Log'!$J$2:$J$5)=1,COUNTIFS('Team Calendar'!$A$5:$A$14,$F31,'Team Calendar'!$C$5:$C$14,AE$4,'Team Calendar'!$F$5:$F$14,"Personal absence")=0),1,"")</x:f>
      </x:c>
      <x:c r="AF31" s="211" t="str">
        <x:f>IF(AND(ISNUMBER($D31),ISNUMBER($E31),AF$4&gt;=$D31,AF$4&lt;=$E31,NETWORKDAYS(AF$4,AF$4,'Sources &amp; Change Log'!$J$2:$J$5)=1,COUNTIFS('Team Calendar'!$A$5:$A$14,$F31,'Team Calendar'!$C$5:$C$14,AF$4,'Team Calendar'!$F$5:$F$14,"Personal absence")=0),1,"")</x:f>
      </x:c>
      <x:c r="AG31" s="211" t="str">
        <x:f>IF(AND(ISNUMBER($D31),ISNUMBER($E31),AG$4&gt;=$D31,AG$4&lt;=$E31,NETWORKDAYS(AG$4,AG$4,'Sources &amp; Change Log'!$J$2:$J$5)=1,COUNTIFS('Team Calendar'!$A$5:$A$14,$F31,'Team Calendar'!$C$5:$C$14,AG$4,'Team Calendar'!$F$5:$F$14,"Personal absence")=0),1,"")</x:f>
      </x:c>
      <x:c r="AH31" s="211" t="str">
        <x:f>IF(AND(ISNUMBER($D31),ISNUMBER($E31),AH$4&gt;=$D31,AH$4&lt;=$E31,NETWORKDAYS(AH$4,AH$4,'Sources &amp; Change Log'!$J$2:$J$5)=1,COUNTIFS('Team Calendar'!$A$5:$A$14,$F31,'Team Calendar'!$C$5:$C$14,AH$4,'Team Calendar'!$F$5:$F$14,"Personal absence")=0),1,"")</x:f>
      </x:c>
      <x:c r="AI31" s="211" t="str">
        <x:f>IF(AND(ISNUMBER($D31),ISNUMBER($E31),AI$4&gt;=$D31,AI$4&lt;=$E31,NETWORKDAYS(AI$4,AI$4,'Sources &amp; Change Log'!$J$2:$J$5)=1,COUNTIFS('Team Calendar'!$A$5:$A$14,$F31,'Team Calendar'!$C$5:$C$14,AI$4,'Team Calendar'!$F$5:$F$14,"Personal absence")=0),1,"")</x:f>
      </x:c>
      <x:c r="AJ31" s="206"/>
      <x:c r="AK31" s="206"/>
      <x:c r="AL31" s="206"/>
      <x:c r="AM31" s="206"/>
      <x:c r="AN31" s="206"/>
      <x:c r="AO31" s="206"/>
      <x:c r="AP31" s="206"/>
      <x:c r="AQ31" s="206"/>
      <x:c r="AR31" s="206"/>
      <x:c r="AS31" s="206"/>
      <x:c r="AT31" s="206"/>
      <x:c r="AU31" s="206"/>
      <x:c r="AV31" s="206"/>
      <x:c r="AW31" s="206"/>
      <x:c r="AX31" s="206"/>
      <x:c r="AY31" s="206"/>
      <x:c r="AZ31" s="206"/>
    </x:row>
    <x:row r="32" ht="30" customHeight="1">
      <x:c r="A32" s="198" t="str">
        <x:f>WBS!A76</x:f>
        <x:v>DEC-P2-COMP-01</x:v>
      </x:c>
      <x:c r="B32" s="198" t="str">
        <x:f>WBS!B76</x:f>
        <x:v>Compliance Operator 도입 범위 결정</x:v>
      </x:c>
      <x:c r="C32" s="198" t="str">
        <x:f>WBS!G76</x:f>
        <x:v>To Do</x:v>
      </x:c>
      <x:c r="D32" s="226" t="n">
        <x:f>WBS!H76</x:f>
        <x:v>0</x:v>
      </x:c>
      <x:c r="E32" s="226" t="n">
        <x:f>WBS!I76</x:f>
        <x:v>0</x:v>
      </x:c>
      <x:c r="F32" t="str">
        <x:f>WBS!L76</x:f>
        <x:v>이하영</x:v>
      </x:c>
      <x:c r="G32" s="211" t="str">
        <x:f>IF(AND(ISNUMBER($D32),ISNUMBER($E32),G$4&gt;=$D32,G$4&lt;=$E32,NETWORKDAYS(G$4,G$4,'Sources &amp; Change Log'!$J$2:$J$5)=1,COUNTIFS('Team Calendar'!$A$5:$A$14,$F32,'Team Calendar'!$C$5:$C$14,G$4,'Team Calendar'!$F$5:$F$14,"Personal absence")=0),1,"")</x:f>
      </x:c>
      <x:c r="H32" s="211" t="str">
        <x:f>IF(AND(ISNUMBER($D32),ISNUMBER($E32),H$4&gt;=$D32,H$4&lt;=$E32,NETWORKDAYS(H$4,H$4,'Sources &amp; Change Log'!$J$2:$J$5)=1,COUNTIFS('Team Calendar'!$A$5:$A$14,$F32,'Team Calendar'!$C$5:$C$14,H$4,'Team Calendar'!$F$5:$F$14,"Personal absence")=0),1,"")</x:f>
      </x:c>
      <x:c r="I32" s="211" t="str">
        <x:f>IF(AND(ISNUMBER($D32),ISNUMBER($E32),I$4&gt;=$D32,I$4&lt;=$E32,NETWORKDAYS(I$4,I$4,'Sources &amp; Change Log'!$J$2:$J$5)=1,COUNTIFS('Team Calendar'!$A$5:$A$14,$F32,'Team Calendar'!$C$5:$C$14,I$4,'Team Calendar'!$F$5:$F$14,"Personal absence")=0),1,"")</x:f>
      </x:c>
      <x:c r="J32" s="211" t="str">
        <x:f>IF(AND(ISNUMBER($D32),ISNUMBER($E32),J$4&gt;=$D32,J$4&lt;=$E32,NETWORKDAYS(J$4,J$4,'Sources &amp; Change Log'!$J$2:$J$5)=1,COUNTIFS('Team Calendar'!$A$5:$A$14,$F32,'Team Calendar'!$C$5:$C$14,J$4,'Team Calendar'!$F$5:$F$14,"Personal absence")=0),1,"")</x:f>
      </x:c>
      <x:c r="K32" s="211" t="str">
        <x:f>IF(AND(ISNUMBER($D32),ISNUMBER($E32),K$4&gt;=$D32,K$4&lt;=$E32,NETWORKDAYS(K$4,K$4,'Sources &amp; Change Log'!$J$2:$J$5)=1,COUNTIFS('Team Calendar'!$A$5:$A$14,$F32,'Team Calendar'!$C$5:$C$14,K$4,'Team Calendar'!$F$5:$F$14,"Personal absence")=0),1,"")</x:f>
      </x:c>
      <x:c r="L32" s="211" t="str">
        <x:f>IF(AND(ISNUMBER($D32),ISNUMBER($E32),L$4&gt;=$D32,L$4&lt;=$E32,NETWORKDAYS(L$4,L$4,'Sources &amp; Change Log'!$J$2:$J$5)=1,COUNTIFS('Team Calendar'!$A$5:$A$14,$F32,'Team Calendar'!$C$5:$C$14,L$4,'Team Calendar'!$F$5:$F$14,"Personal absence")=0),1,"")</x:f>
      </x:c>
      <x:c r="M32" s="211" t="str">
        <x:f>IF(AND(ISNUMBER($D32),ISNUMBER($E32),M$4&gt;=$D32,M$4&lt;=$E32,NETWORKDAYS(M$4,M$4,'Sources &amp; Change Log'!$J$2:$J$5)=1,COUNTIFS('Team Calendar'!$A$5:$A$14,$F32,'Team Calendar'!$C$5:$C$14,M$4,'Team Calendar'!$F$5:$F$14,"Personal absence")=0),1,"")</x:f>
      </x:c>
      <x:c r="N32" s="211" t="str">
        <x:f>IF(AND(ISNUMBER($D32),ISNUMBER($E32),N$4&gt;=$D32,N$4&lt;=$E32,NETWORKDAYS(N$4,N$4,'Sources &amp; Change Log'!$J$2:$J$5)=1,COUNTIFS('Team Calendar'!$A$5:$A$14,$F32,'Team Calendar'!$C$5:$C$14,N$4,'Team Calendar'!$F$5:$F$14,"Personal absence")=0),1,"")</x:f>
      </x:c>
      <x:c r="O32" s="211" t="str">
        <x:f>IF(AND(ISNUMBER($D32),ISNUMBER($E32),O$4&gt;=$D32,O$4&lt;=$E32,NETWORKDAYS(O$4,O$4,'Sources &amp; Change Log'!$J$2:$J$5)=1,COUNTIFS('Team Calendar'!$A$5:$A$14,$F32,'Team Calendar'!$C$5:$C$14,O$4,'Team Calendar'!$F$5:$F$14,"Personal absence")=0),1,"")</x:f>
      </x:c>
      <x:c r="P32" s="211" t="str">
        <x:f>IF(AND(ISNUMBER($D32),ISNUMBER($E32),P$4&gt;=$D32,P$4&lt;=$E32,NETWORKDAYS(P$4,P$4,'Sources &amp; Change Log'!$J$2:$J$5)=1,COUNTIFS('Team Calendar'!$A$5:$A$14,$F32,'Team Calendar'!$C$5:$C$14,P$4,'Team Calendar'!$F$5:$F$14,"Personal absence")=0),1,"")</x:f>
      </x:c>
      <x:c r="Q32" s="211" t="str">
        <x:f>IF(AND(ISNUMBER($D32),ISNUMBER($E32),Q$4&gt;=$D32,Q$4&lt;=$E32,NETWORKDAYS(Q$4,Q$4,'Sources &amp; Change Log'!$J$2:$J$5)=1,COUNTIFS('Team Calendar'!$A$5:$A$14,$F32,'Team Calendar'!$C$5:$C$14,Q$4,'Team Calendar'!$F$5:$F$14,"Personal absence")=0),1,"")</x:f>
      </x:c>
      <x:c r="R32" s="211" t="str">
        <x:f>IF(AND(ISNUMBER($D32),ISNUMBER($E32),R$4&gt;=$D32,R$4&lt;=$E32,NETWORKDAYS(R$4,R$4,'Sources &amp; Change Log'!$J$2:$J$5)=1,COUNTIFS('Team Calendar'!$A$5:$A$14,$F32,'Team Calendar'!$C$5:$C$14,R$4,'Team Calendar'!$F$5:$F$14,"Personal absence")=0),1,"")</x:f>
      </x:c>
      <x:c r="S32" s="211" t="str">
        <x:f>IF(AND(ISNUMBER($D32),ISNUMBER($E32),S$4&gt;=$D32,S$4&lt;=$E32,NETWORKDAYS(S$4,S$4,'Sources &amp; Change Log'!$J$2:$J$5)=1,COUNTIFS('Team Calendar'!$A$5:$A$14,$F32,'Team Calendar'!$C$5:$C$14,S$4,'Team Calendar'!$F$5:$F$14,"Personal absence")=0),1,"")</x:f>
      </x:c>
      <x:c r="T32" s="211" t="str">
        <x:f>IF(AND(ISNUMBER($D32),ISNUMBER($E32),T$4&gt;=$D32,T$4&lt;=$E32,NETWORKDAYS(T$4,T$4,'Sources &amp; Change Log'!$J$2:$J$5)=1,COUNTIFS('Team Calendar'!$A$5:$A$14,$F32,'Team Calendar'!$C$5:$C$14,T$4,'Team Calendar'!$F$5:$F$14,"Personal absence")=0),1,"")</x:f>
      </x:c>
      <x:c r="U32" s="211" t="str">
        <x:f>IF(AND(ISNUMBER($D32),ISNUMBER($E32),U$4&gt;=$D32,U$4&lt;=$E32,NETWORKDAYS(U$4,U$4,'Sources &amp; Change Log'!$J$2:$J$5)=1,COUNTIFS('Team Calendar'!$A$5:$A$14,$F32,'Team Calendar'!$C$5:$C$14,U$4,'Team Calendar'!$F$5:$F$14,"Personal absence")=0),1,"")</x:f>
      </x:c>
      <x:c r="V32" s="211" t="str">
        <x:f>IF(AND(ISNUMBER($D32),ISNUMBER($E32),V$4&gt;=$D32,V$4&lt;=$E32,NETWORKDAYS(V$4,V$4,'Sources &amp; Change Log'!$J$2:$J$5)=1,COUNTIFS('Team Calendar'!$A$5:$A$14,$F32,'Team Calendar'!$C$5:$C$14,V$4,'Team Calendar'!$F$5:$F$14,"Personal absence")=0),1,"")</x:f>
      </x:c>
      <x:c r="W32" s="211" t="str">
        <x:f>IF(AND(ISNUMBER($D32),ISNUMBER($E32),W$4&gt;=$D32,W$4&lt;=$E32,NETWORKDAYS(W$4,W$4,'Sources &amp; Change Log'!$J$2:$J$5)=1,COUNTIFS('Team Calendar'!$A$5:$A$14,$F32,'Team Calendar'!$C$5:$C$14,W$4,'Team Calendar'!$F$5:$F$14,"Personal absence")=0),1,"")</x:f>
      </x:c>
      <x:c r="X32" s="211" t="str">
        <x:f>IF(AND(ISNUMBER($D32),ISNUMBER($E32),X$4&gt;=$D32,X$4&lt;=$E32,NETWORKDAYS(X$4,X$4,'Sources &amp; Change Log'!$J$2:$J$5)=1,COUNTIFS('Team Calendar'!$A$5:$A$14,$F32,'Team Calendar'!$C$5:$C$14,X$4,'Team Calendar'!$F$5:$F$14,"Personal absence")=0),1,"")</x:f>
      </x:c>
      <x:c r="Y32" s="211" t="str">
        <x:f>IF(AND(ISNUMBER($D32),ISNUMBER($E32),Y$4&gt;=$D32,Y$4&lt;=$E32,NETWORKDAYS(Y$4,Y$4,'Sources &amp; Change Log'!$J$2:$J$5)=1,COUNTIFS('Team Calendar'!$A$5:$A$14,$F32,'Team Calendar'!$C$5:$C$14,Y$4,'Team Calendar'!$F$5:$F$14,"Personal absence")=0),1,"")</x:f>
      </x:c>
      <x:c r="Z32" s="211" t="str">
        <x:f>IF(AND(ISNUMBER($D32),ISNUMBER($E32),Z$4&gt;=$D32,Z$4&lt;=$E32,NETWORKDAYS(Z$4,Z$4,'Sources &amp; Change Log'!$J$2:$J$5)=1,COUNTIFS('Team Calendar'!$A$5:$A$14,$F32,'Team Calendar'!$C$5:$C$14,Z$4,'Team Calendar'!$F$5:$F$14,"Personal absence")=0),1,"")</x:f>
      </x:c>
      <x:c r="AA32" s="211" t="str">
        <x:f>IF(AND(ISNUMBER($D32),ISNUMBER($E32),AA$4&gt;=$D32,AA$4&lt;=$E32,NETWORKDAYS(AA$4,AA$4,'Sources &amp; Change Log'!$J$2:$J$5)=1,COUNTIFS('Team Calendar'!$A$5:$A$14,$F32,'Team Calendar'!$C$5:$C$14,AA$4,'Team Calendar'!$F$5:$F$14,"Personal absence")=0),1,"")</x:f>
      </x:c>
      <x:c r="AB32" s="211" t="str">
        <x:f>IF(AND(ISNUMBER($D32),ISNUMBER($E32),AB$4&gt;=$D32,AB$4&lt;=$E32,NETWORKDAYS(AB$4,AB$4,'Sources &amp; Change Log'!$J$2:$J$5)=1,COUNTIFS('Team Calendar'!$A$5:$A$14,$F32,'Team Calendar'!$C$5:$C$14,AB$4,'Team Calendar'!$F$5:$F$14,"Personal absence")=0),1,"")</x:f>
      </x:c>
      <x:c r="AC32" s="211" t="str">
        <x:f>IF(AND(ISNUMBER($D32),ISNUMBER($E32),AC$4&gt;=$D32,AC$4&lt;=$E32,NETWORKDAYS(AC$4,AC$4,'Sources &amp; Change Log'!$J$2:$J$5)=1,COUNTIFS('Team Calendar'!$A$5:$A$14,$F32,'Team Calendar'!$C$5:$C$14,AC$4,'Team Calendar'!$F$5:$F$14,"Personal absence")=0),1,"")</x:f>
      </x:c>
      <x:c r="AD32" s="211" t="str">
        <x:f>IF(AND(ISNUMBER($D32),ISNUMBER($E32),AD$4&gt;=$D32,AD$4&lt;=$E32,NETWORKDAYS(AD$4,AD$4,'Sources &amp; Change Log'!$J$2:$J$5)=1,COUNTIFS('Team Calendar'!$A$5:$A$14,$F32,'Team Calendar'!$C$5:$C$14,AD$4,'Team Calendar'!$F$5:$F$14,"Personal absence")=0),1,"")</x:f>
      </x:c>
      <x:c r="AE32" s="211" t="str">
        <x:f>IF(AND(ISNUMBER($D32),ISNUMBER($E32),AE$4&gt;=$D32,AE$4&lt;=$E32,NETWORKDAYS(AE$4,AE$4,'Sources &amp; Change Log'!$J$2:$J$5)=1,COUNTIFS('Team Calendar'!$A$5:$A$14,$F32,'Team Calendar'!$C$5:$C$14,AE$4,'Team Calendar'!$F$5:$F$14,"Personal absence")=0),1,"")</x:f>
      </x:c>
      <x:c r="AF32" s="211" t="str">
        <x:f>IF(AND(ISNUMBER($D32),ISNUMBER($E32),AF$4&gt;=$D32,AF$4&lt;=$E32,NETWORKDAYS(AF$4,AF$4,'Sources &amp; Change Log'!$J$2:$J$5)=1,COUNTIFS('Team Calendar'!$A$5:$A$14,$F32,'Team Calendar'!$C$5:$C$14,AF$4,'Team Calendar'!$F$5:$F$14,"Personal absence")=0),1,"")</x:f>
      </x:c>
      <x:c r="AG32" s="211" t="str">
        <x:f>IF(AND(ISNUMBER($D32),ISNUMBER($E32),AG$4&gt;=$D32,AG$4&lt;=$E32,NETWORKDAYS(AG$4,AG$4,'Sources &amp; Change Log'!$J$2:$J$5)=1,COUNTIFS('Team Calendar'!$A$5:$A$14,$F32,'Team Calendar'!$C$5:$C$14,AG$4,'Team Calendar'!$F$5:$F$14,"Personal absence")=0),1,"")</x:f>
      </x:c>
      <x:c r="AH32" s="211" t="str">
        <x:f>IF(AND(ISNUMBER($D32),ISNUMBER($E32),AH$4&gt;=$D32,AH$4&lt;=$E32,NETWORKDAYS(AH$4,AH$4,'Sources &amp; Change Log'!$J$2:$J$5)=1,COUNTIFS('Team Calendar'!$A$5:$A$14,$F32,'Team Calendar'!$C$5:$C$14,AH$4,'Team Calendar'!$F$5:$F$14,"Personal absence")=0),1,"")</x:f>
      </x:c>
      <x:c r="AI32" s="211" t="str">
        <x:f>IF(AND(ISNUMBER($D32),ISNUMBER($E32),AI$4&gt;=$D32,AI$4&lt;=$E32,NETWORKDAYS(AI$4,AI$4,'Sources &amp; Change Log'!$J$2:$J$5)=1,COUNTIFS('Team Calendar'!$A$5:$A$14,$F32,'Team Calendar'!$C$5:$C$14,AI$4,'Team Calendar'!$F$5:$F$14,"Personal absence")=0),1,"")</x:f>
      </x:c>
      <x:c r="AJ32" s="206"/>
      <x:c r="AK32" s="206"/>
      <x:c r="AL32" s="206"/>
      <x:c r="AM32" s="206"/>
      <x:c r="AN32" s="206"/>
      <x:c r="AO32" s="206"/>
      <x:c r="AP32" s="206"/>
      <x:c r="AQ32" s="206"/>
      <x:c r="AR32" s="206"/>
      <x:c r="AS32" s="206"/>
      <x:c r="AT32" s="206"/>
      <x:c r="AU32" s="206"/>
      <x:c r="AV32" s="206"/>
      <x:c r="AW32" s="206"/>
      <x:c r="AX32" s="206"/>
      <x:c r="AY32" s="206"/>
      <x:c r="AZ32" s="206"/>
    </x:row>
    <x:row r="33">
      <x:c r="G33" s="206"/>
      <x:c r="H33" s="206"/>
      <x:c r="I33" s="206"/>
      <x:c r="J33" s="206"/>
      <x:c r="K33" s="206"/>
      <x:c r="L33" s="206"/>
      <x:c r="M33" s="206"/>
      <x:c r="N33" s="206"/>
      <x:c r="O33" s="206"/>
      <x:c r="P33" s="206"/>
      <x:c r="Q33" s="206"/>
      <x:c r="R33" s="206"/>
      <x:c r="S33" s="206"/>
      <x:c r="T33" s="206"/>
      <x:c r="U33" s="206"/>
      <x:c r="V33" s="206"/>
      <x:c r="W33" s="206"/>
      <x:c r="X33" s="206"/>
      <x:c r="Y33" s="206"/>
      <x:c r="Z33" s="206"/>
      <x:c r="AA33" s="206"/>
      <x:c r="AB33" s="206"/>
      <x:c r="AC33" s="206"/>
      <x:c r="AD33" s="206"/>
      <x:c r="AE33" s="206"/>
      <x:c r="AF33" s="206"/>
      <x:c r="AG33" s="206"/>
      <x:c r="AH33" s="206"/>
      <x:c r="AI33" s="206"/>
      <x:c r="AJ33" s="206"/>
      <x:c r="AK33" s="206"/>
      <x:c r="AL33" s="206"/>
      <x:c r="AM33" s="206"/>
      <x:c r="AN33" s="206"/>
      <x:c r="AO33" s="206"/>
      <x:c r="AP33" s="206"/>
      <x:c r="AQ33" s="206"/>
      <x:c r="AR33" s="206"/>
      <x:c r="AS33" s="206"/>
      <x:c r="AT33" s="206"/>
      <x:c r="AU33" s="206"/>
      <x:c r="AV33" s="206"/>
      <x:c r="AW33" s="206"/>
      <x:c r="AX33" s="206"/>
      <x:c r="AY33" s="206"/>
      <x:c r="AZ33" s="206"/>
    </x:row>
    <x:row r="34">
      <x:c r="G34" s="206"/>
      <x:c r="H34" s="206"/>
      <x:c r="I34" s="206"/>
      <x:c r="J34" s="206"/>
      <x:c r="K34" s="206"/>
      <x:c r="L34" s="206"/>
      <x:c r="M34" s="206"/>
      <x:c r="N34" s="206"/>
      <x:c r="O34" s="206"/>
      <x:c r="P34" s="206"/>
      <x:c r="Q34" s="206"/>
      <x:c r="R34" s="206"/>
      <x:c r="S34" s="206"/>
      <x:c r="T34" s="206"/>
      <x:c r="U34" s="206"/>
      <x:c r="V34" s="206"/>
      <x:c r="W34" s="206"/>
      <x:c r="X34" s="206"/>
      <x:c r="Y34" s="206"/>
      <x:c r="Z34" s="206"/>
      <x:c r="AA34" s="206"/>
      <x:c r="AB34" s="206"/>
      <x:c r="AC34" s="206"/>
      <x:c r="AD34" s="206"/>
      <x:c r="AE34" s="206"/>
      <x:c r="AF34" s="206"/>
      <x:c r="AG34" s="206"/>
      <x:c r="AH34" s="206"/>
      <x:c r="AI34" s="206"/>
      <x:c r="AJ34" s="206"/>
      <x:c r="AK34" s="206"/>
      <x:c r="AL34" s="206"/>
      <x:c r="AM34" s="206"/>
      <x:c r="AN34" s="206"/>
      <x:c r="AO34" s="206"/>
      <x:c r="AP34" s="206"/>
      <x:c r="AQ34" s="206"/>
      <x:c r="AR34" s="206"/>
      <x:c r="AS34" s="206"/>
      <x:c r="AT34" s="206"/>
      <x:c r="AU34" s="206"/>
      <x:c r="AV34" s="206"/>
      <x:c r="AW34" s="206"/>
      <x:c r="AX34" s="206"/>
      <x:c r="AY34" s="206"/>
      <x:c r="AZ34" s="206"/>
    </x:row>
    <x:row r="35">
      <x:c r="G35" s="206"/>
      <x:c r="H35" s="206"/>
      <x:c r="I35" s="206"/>
      <x:c r="J35" s="206"/>
      <x:c r="K35" s="206"/>
      <x:c r="L35" s="206"/>
      <x:c r="M35" s="206"/>
      <x:c r="N35" s="206"/>
      <x:c r="O35" s="206"/>
      <x:c r="P35" s="206"/>
      <x:c r="Q35" s="206"/>
      <x:c r="R35" s="206"/>
      <x:c r="S35" s="206"/>
      <x:c r="T35" s="206"/>
      <x:c r="U35" s="206"/>
      <x:c r="V35" s="206"/>
      <x:c r="W35" s="206"/>
      <x:c r="X35" s="206"/>
      <x:c r="Y35" s="206"/>
      <x:c r="Z35" s="206"/>
      <x:c r="AA35" s="206"/>
      <x:c r="AB35" s="206"/>
      <x:c r="AC35" s="206"/>
      <x:c r="AD35" s="206"/>
      <x:c r="AE35" s="206"/>
      <x:c r="AF35" s="206"/>
      <x:c r="AG35" s="206"/>
      <x:c r="AH35" s="206"/>
      <x:c r="AI35" s="206"/>
      <x:c r="AJ35" s="206"/>
      <x:c r="AK35" s="206"/>
      <x:c r="AL35" s="206"/>
      <x:c r="AM35" s="206"/>
      <x:c r="AN35" s="206"/>
      <x:c r="AO35" s="206"/>
      <x:c r="AP35" s="206"/>
      <x:c r="AQ35" s="206"/>
      <x:c r="AR35" s="206"/>
      <x:c r="AS35" s="206"/>
      <x:c r="AT35" s="206"/>
      <x:c r="AU35" s="206"/>
      <x:c r="AV35" s="206"/>
      <x:c r="AW35" s="206"/>
      <x:c r="AX35" s="206"/>
      <x:c r="AY35" s="206"/>
      <x:c r="AZ35" s="206"/>
    </x:row>
    <x:row r="36">
      <x:c r="G36" s="206"/>
      <x:c r="H36" s="206"/>
      <x:c r="I36" s="206"/>
      <x:c r="J36" s="206"/>
      <x:c r="K36" s="206"/>
      <x:c r="L36" s="206"/>
      <x:c r="M36" s="206"/>
      <x:c r="N36" s="206"/>
      <x:c r="O36" s="206"/>
      <x:c r="P36" s="206"/>
      <x:c r="Q36" s="206"/>
      <x:c r="R36" s="206"/>
      <x:c r="S36" s="206"/>
      <x:c r="T36" s="206"/>
      <x:c r="U36" s="206"/>
      <x:c r="V36" s="206"/>
      <x:c r="W36" s="206"/>
      <x:c r="X36" s="206"/>
      <x:c r="Y36" s="206"/>
      <x:c r="Z36" s="206"/>
      <x:c r="AA36" s="206"/>
      <x:c r="AB36" s="206"/>
      <x:c r="AC36" s="206"/>
      <x:c r="AD36" s="206"/>
      <x:c r="AE36" s="206"/>
      <x:c r="AF36" s="206"/>
      <x:c r="AG36" s="206"/>
      <x:c r="AH36" s="206"/>
      <x:c r="AI36" s="206"/>
      <x:c r="AJ36" s="206"/>
      <x:c r="AK36" s="206"/>
      <x:c r="AL36" s="206"/>
      <x:c r="AM36" s="206"/>
      <x:c r="AN36" s="206"/>
      <x:c r="AO36" s="206"/>
      <x:c r="AP36" s="206"/>
      <x:c r="AQ36" s="206"/>
      <x:c r="AR36" s="206"/>
      <x:c r="AS36" s="206"/>
      <x:c r="AT36" s="206"/>
      <x:c r="AU36" s="206"/>
      <x:c r="AV36" s="206"/>
      <x:c r="AW36" s="206"/>
      <x:c r="AX36" s="206"/>
      <x:c r="AY36" s="206"/>
      <x:c r="AZ36" s="206"/>
    </x:row>
    <x:row r="37">
      <x:c r="G37" s="206"/>
      <x:c r="H37" s="206"/>
      <x:c r="I37" s="206"/>
      <x:c r="J37" s="206"/>
      <x:c r="K37" s="206"/>
      <x:c r="L37" s="206"/>
      <x:c r="M37" s="206"/>
      <x:c r="N37" s="206"/>
      <x:c r="O37" s="206"/>
      <x:c r="P37" s="206"/>
      <x:c r="Q37" s="206"/>
      <x:c r="R37" s="206"/>
      <x:c r="S37" s="206"/>
      <x:c r="T37" s="206"/>
      <x:c r="U37" s="206"/>
      <x:c r="V37" s="206"/>
      <x:c r="W37" s="206"/>
      <x:c r="X37" s="206"/>
      <x:c r="Y37" s="206"/>
      <x:c r="Z37" s="206"/>
      <x:c r="AA37" s="206"/>
      <x:c r="AB37" s="206"/>
      <x:c r="AC37" s="206"/>
      <x:c r="AD37" s="206"/>
      <x:c r="AE37" s="206"/>
      <x:c r="AF37" s="206"/>
      <x:c r="AG37" s="206"/>
      <x:c r="AH37" s="206"/>
      <x:c r="AI37" s="206"/>
      <x:c r="AJ37" s="206"/>
      <x:c r="AK37" s="206"/>
      <x:c r="AL37" s="206"/>
      <x:c r="AM37" s="206"/>
      <x:c r="AN37" s="206"/>
      <x:c r="AO37" s="206"/>
      <x:c r="AP37" s="206"/>
      <x:c r="AQ37" s="206"/>
      <x:c r="AR37" s="206"/>
      <x:c r="AS37" s="206"/>
      <x:c r="AT37" s="206"/>
      <x:c r="AU37" s="206"/>
      <x:c r="AV37" s="206"/>
      <x:c r="AW37" s="206"/>
      <x:c r="AX37" s="206"/>
      <x:c r="AY37" s="206"/>
      <x:c r="AZ37" s="206"/>
    </x:row>
    <x:row r="38">
      <x:c r="G38" s="206"/>
      <x:c r="H38" s="206"/>
      <x:c r="I38" s="206"/>
      <x:c r="J38" s="206"/>
      <x:c r="K38" s="206"/>
      <x:c r="L38" s="206"/>
      <x:c r="M38" s="206"/>
      <x:c r="N38" s="206"/>
      <x:c r="O38" s="206"/>
      <x:c r="P38" s="206"/>
      <x:c r="Q38" s="206"/>
      <x:c r="R38" s="206"/>
      <x:c r="S38" s="206"/>
      <x:c r="T38" s="206"/>
      <x:c r="U38" s="206"/>
      <x:c r="V38" s="206"/>
      <x:c r="W38" s="206"/>
      <x:c r="X38" s="206"/>
      <x:c r="Y38" s="206"/>
      <x:c r="Z38" s="206"/>
      <x:c r="AA38" s="206"/>
      <x:c r="AB38" s="206"/>
      <x:c r="AC38" s="206"/>
      <x:c r="AD38" s="206"/>
      <x:c r="AE38" s="206"/>
      <x:c r="AF38" s="206"/>
      <x:c r="AG38" s="206"/>
      <x:c r="AH38" s="206"/>
      <x:c r="AI38" s="206"/>
      <x:c r="AJ38" s="206"/>
      <x:c r="AK38" s="206"/>
      <x:c r="AL38" s="206"/>
      <x:c r="AM38" s="206"/>
      <x:c r="AN38" s="206"/>
      <x:c r="AO38" s="206"/>
      <x:c r="AP38" s="206"/>
      <x:c r="AQ38" s="206"/>
      <x:c r="AR38" s="206"/>
      <x:c r="AS38" s="206"/>
      <x:c r="AT38" s="206"/>
      <x:c r="AU38" s="206"/>
      <x:c r="AV38" s="206"/>
      <x:c r="AW38" s="206"/>
      <x:c r="AX38" s="206"/>
      <x:c r="AY38" s="206"/>
      <x:c r="AZ38" s="206"/>
    </x:row>
    <x:row r="39">
      <x:c r="G39" s="206"/>
      <x:c r="H39" s="206"/>
      <x:c r="I39" s="206"/>
      <x:c r="J39" s="206"/>
      <x:c r="K39" s="206"/>
      <x:c r="L39" s="206"/>
      <x:c r="M39" s="206"/>
      <x:c r="N39" s="206"/>
      <x:c r="O39" s="206"/>
      <x:c r="P39" s="206"/>
      <x:c r="Q39" s="206"/>
      <x:c r="R39" s="206"/>
      <x:c r="S39" s="206"/>
      <x:c r="T39" s="206"/>
      <x:c r="U39" s="206"/>
      <x:c r="V39" s="206"/>
      <x:c r="W39" s="206"/>
      <x:c r="X39" s="206"/>
      <x:c r="Y39" s="206"/>
      <x:c r="Z39" s="206"/>
      <x:c r="AA39" s="206"/>
      <x:c r="AB39" s="206"/>
      <x:c r="AC39" s="206"/>
      <x:c r="AD39" s="206"/>
      <x:c r="AE39" s="206"/>
      <x:c r="AF39" s="206"/>
      <x:c r="AG39" s="206"/>
      <x:c r="AH39" s="206"/>
      <x:c r="AI39" s="206"/>
      <x:c r="AJ39" s="206"/>
      <x:c r="AK39" s="206"/>
      <x:c r="AL39" s="206"/>
      <x:c r="AM39" s="206"/>
      <x:c r="AN39" s="206"/>
      <x:c r="AO39" s="206"/>
      <x:c r="AP39" s="206"/>
      <x:c r="AQ39" s="206"/>
      <x:c r="AR39" s="206"/>
      <x:c r="AS39" s="206"/>
      <x:c r="AT39" s="206"/>
      <x:c r="AU39" s="206"/>
      <x:c r="AV39" s="206"/>
      <x:c r="AW39" s="206"/>
      <x:c r="AX39" s="206"/>
      <x:c r="AY39" s="206"/>
      <x:c r="AZ39" s="206"/>
    </x:row>
    <x:row r="40">
      <x:c r="G40" s="206"/>
      <x:c r="H40" s="206"/>
      <x:c r="I40" s="206"/>
      <x:c r="J40" s="206"/>
      <x:c r="K40" s="206"/>
      <x:c r="L40" s="206"/>
      <x:c r="M40" s="206"/>
      <x:c r="N40" s="206"/>
      <x:c r="O40" s="206"/>
      <x:c r="P40" s="206"/>
      <x:c r="Q40" s="206"/>
      <x:c r="R40" s="206"/>
      <x:c r="S40" s="206"/>
      <x:c r="T40" s="206"/>
      <x:c r="U40" s="206"/>
      <x:c r="V40" s="206"/>
      <x:c r="W40" s="206"/>
      <x:c r="X40" s="206"/>
      <x:c r="Y40" s="206"/>
      <x:c r="Z40" s="206"/>
      <x:c r="AA40" s="206"/>
      <x:c r="AB40" s="206"/>
      <x:c r="AC40" s="206"/>
      <x:c r="AD40" s="206"/>
      <x:c r="AE40" s="206"/>
      <x:c r="AF40" s="206"/>
      <x:c r="AG40" s="206"/>
      <x:c r="AH40" s="206"/>
      <x:c r="AI40" s="206"/>
      <x:c r="AJ40" s="206"/>
      <x:c r="AK40" s="206"/>
      <x:c r="AL40" s="206"/>
      <x:c r="AM40" s="206"/>
      <x:c r="AN40" s="206"/>
      <x:c r="AO40" s="206"/>
      <x:c r="AP40" s="206"/>
      <x:c r="AQ40" s="206"/>
      <x:c r="AR40" s="206"/>
      <x:c r="AS40" s="206"/>
      <x:c r="AT40" s="206"/>
      <x:c r="AU40" s="206"/>
      <x:c r="AV40" s="206"/>
      <x:c r="AW40" s="206"/>
      <x:c r="AX40" s="206"/>
      <x:c r="AY40" s="206"/>
      <x:c r="AZ40" s="206"/>
    </x:row>
    <x:row r="41">
      <x:c r="G41" s="206"/>
      <x:c r="H41" s="206"/>
      <x:c r="I41" s="206"/>
      <x:c r="J41" s="206"/>
      <x:c r="K41" s="206"/>
      <x:c r="L41" s="206"/>
      <x:c r="M41" s="206"/>
      <x:c r="N41" s="206"/>
      <x:c r="O41" s="206"/>
      <x:c r="P41" s="206"/>
      <x:c r="Q41" s="206"/>
      <x:c r="R41" s="206"/>
      <x:c r="S41" s="206"/>
      <x:c r="T41" s="206"/>
      <x:c r="U41" s="206"/>
      <x:c r="V41" s="206"/>
      <x:c r="W41" s="206"/>
      <x:c r="X41" s="206"/>
      <x:c r="Y41" s="206"/>
      <x:c r="Z41" s="206"/>
      <x:c r="AA41" s="206"/>
      <x:c r="AB41" s="206"/>
      <x:c r="AC41" s="206"/>
      <x:c r="AD41" s="206"/>
      <x:c r="AE41" s="206"/>
      <x:c r="AF41" s="206"/>
      <x:c r="AG41" s="206"/>
      <x:c r="AH41" s="206"/>
      <x:c r="AI41" s="206"/>
      <x:c r="AJ41" s="206"/>
      <x:c r="AK41" s="206"/>
      <x:c r="AL41" s="206"/>
      <x:c r="AM41" s="206"/>
      <x:c r="AN41" s="206"/>
      <x:c r="AO41" s="206"/>
      <x:c r="AP41" s="206"/>
      <x:c r="AQ41" s="206"/>
      <x:c r="AR41" s="206"/>
      <x:c r="AS41" s="206"/>
      <x:c r="AT41" s="206"/>
      <x:c r="AU41" s="206"/>
      <x:c r="AV41" s="206"/>
      <x:c r="AW41" s="206"/>
      <x:c r="AX41" s="206"/>
      <x:c r="AY41" s="206"/>
      <x:c r="AZ41" s="206"/>
    </x:row>
    <x:row r="42">
      <x:c r="G42" s="206"/>
      <x:c r="H42" s="206"/>
      <x:c r="I42" s="206"/>
      <x:c r="J42" s="206"/>
      <x:c r="K42" s="206"/>
      <x:c r="L42" s="206"/>
      <x:c r="M42" s="206"/>
      <x:c r="N42" s="206"/>
      <x:c r="O42" s="206"/>
      <x:c r="P42" s="206"/>
      <x:c r="Q42" s="206"/>
      <x:c r="R42" s="206"/>
      <x:c r="S42" s="206"/>
      <x:c r="T42" s="206"/>
      <x:c r="U42" s="206"/>
      <x:c r="V42" s="206"/>
      <x:c r="W42" s="206"/>
      <x:c r="X42" s="206"/>
      <x:c r="Y42" s="206"/>
      <x:c r="Z42" s="206"/>
      <x:c r="AA42" s="206"/>
      <x:c r="AB42" s="206"/>
      <x:c r="AC42" s="206"/>
      <x:c r="AD42" s="206"/>
      <x:c r="AE42" s="206"/>
      <x:c r="AF42" s="206"/>
      <x:c r="AG42" s="206"/>
      <x:c r="AH42" s="206"/>
      <x:c r="AI42" s="206"/>
      <x:c r="AJ42" s="206"/>
      <x:c r="AK42" s="206"/>
      <x:c r="AL42" s="206"/>
      <x:c r="AM42" s="206"/>
      <x:c r="AN42" s="206"/>
      <x:c r="AO42" s="206"/>
      <x:c r="AP42" s="206"/>
      <x:c r="AQ42" s="206"/>
      <x:c r="AR42" s="206"/>
      <x:c r="AS42" s="206"/>
      <x:c r="AT42" s="206"/>
      <x:c r="AU42" s="206"/>
      <x:c r="AV42" s="206"/>
      <x:c r="AW42" s="206"/>
      <x:c r="AX42" s="206"/>
      <x:c r="AY42" s="206"/>
      <x:c r="AZ42" s="206"/>
    </x:row>
    <x:row r="43">
      <x:c r="G43" s="206"/>
      <x:c r="H43" s="206"/>
      <x:c r="I43" s="206"/>
      <x:c r="J43" s="206"/>
      <x:c r="K43" s="206"/>
      <x:c r="L43" s="206"/>
      <x:c r="M43" s="206"/>
      <x:c r="N43" s="206"/>
      <x:c r="O43" s="206"/>
      <x:c r="P43" s="206"/>
      <x:c r="Q43" s="206"/>
      <x:c r="R43" s="206"/>
      <x:c r="S43" s="206"/>
      <x:c r="T43" s="206"/>
      <x:c r="U43" s="206"/>
      <x:c r="V43" s="206"/>
      <x:c r="W43" s="206"/>
      <x:c r="X43" s="206"/>
      <x:c r="Y43" s="206"/>
      <x:c r="Z43" s="206"/>
      <x:c r="AA43" s="206"/>
      <x:c r="AB43" s="206"/>
      <x:c r="AC43" s="206"/>
      <x:c r="AD43" s="206"/>
      <x:c r="AE43" s="206"/>
      <x:c r="AF43" s="206"/>
      <x:c r="AG43" s="206"/>
      <x:c r="AH43" s="206"/>
      <x:c r="AI43" s="206"/>
      <x:c r="AJ43" s="206"/>
      <x:c r="AK43" s="206"/>
      <x:c r="AL43" s="206"/>
      <x:c r="AM43" s="206"/>
      <x:c r="AN43" s="206"/>
      <x:c r="AO43" s="206"/>
      <x:c r="AP43" s="206"/>
      <x:c r="AQ43" s="206"/>
      <x:c r="AR43" s="206"/>
      <x:c r="AS43" s="206"/>
      <x:c r="AT43" s="206"/>
      <x:c r="AU43" s="206"/>
      <x:c r="AV43" s="206"/>
      <x:c r="AW43" s="206"/>
      <x:c r="AX43" s="206"/>
      <x:c r="AY43" s="206"/>
      <x:c r="AZ43" s="206"/>
    </x:row>
    <x:row r="44">
      <x:c r="G44" s="206"/>
      <x:c r="H44" s="206"/>
      <x:c r="I44" s="206"/>
      <x:c r="J44" s="206"/>
      <x:c r="K44" s="206"/>
      <x:c r="L44" s="206"/>
      <x:c r="M44" s="206"/>
      <x:c r="N44" s="206"/>
      <x:c r="O44" s="206"/>
      <x:c r="P44" s="206"/>
      <x:c r="Q44" s="206"/>
      <x:c r="R44" s="206"/>
      <x:c r="S44" s="206"/>
      <x:c r="T44" s="206"/>
      <x:c r="U44" s="206"/>
      <x:c r="V44" s="206"/>
      <x:c r="W44" s="206"/>
      <x:c r="X44" s="206"/>
      <x:c r="Y44" s="206"/>
      <x:c r="Z44" s="206"/>
      <x:c r="AA44" s="206"/>
      <x:c r="AB44" s="206"/>
      <x:c r="AC44" s="206"/>
      <x:c r="AD44" s="206"/>
      <x:c r="AE44" s="206"/>
      <x:c r="AF44" s="206"/>
      <x:c r="AG44" s="206"/>
      <x:c r="AH44" s="206"/>
      <x:c r="AI44" s="206"/>
      <x:c r="AJ44" s="206"/>
      <x:c r="AK44" s="206"/>
      <x:c r="AL44" s="206"/>
      <x:c r="AM44" s="206"/>
      <x:c r="AN44" s="206"/>
      <x:c r="AO44" s="206"/>
      <x:c r="AP44" s="206"/>
      <x:c r="AQ44" s="206"/>
      <x:c r="AR44" s="206"/>
      <x:c r="AS44" s="206"/>
      <x:c r="AT44" s="206"/>
      <x:c r="AU44" s="206"/>
      <x:c r="AV44" s="206"/>
      <x:c r="AW44" s="206"/>
      <x:c r="AX44" s="206"/>
      <x:c r="AY44" s="206"/>
      <x:c r="AZ44" s="206"/>
    </x:row>
    <x:row r="45">
      <x:c r="G45" s="206"/>
      <x:c r="H45" s="206"/>
      <x:c r="I45" s="206"/>
      <x:c r="J45" s="206"/>
      <x:c r="K45" s="206"/>
      <x:c r="L45" s="206"/>
      <x:c r="M45" s="206"/>
      <x:c r="N45" s="206"/>
      <x:c r="O45" s="206"/>
      <x:c r="P45" s="206"/>
      <x:c r="Q45" s="206"/>
      <x:c r="R45" s="206"/>
      <x:c r="S45" s="206"/>
      <x:c r="T45" s="206"/>
      <x:c r="U45" s="206"/>
      <x:c r="V45" s="206"/>
      <x:c r="W45" s="206"/>
      <x:c r="X45" s="206"/>
      <x:c r="Y45" s="206"/>
      <x:c r="Z45" s="206"/>
      <x:c r="AA45" s="206"/>
      <x:c r="AB45" s="206"/>
      <x:c r="AC45" s="206"/>
      <x:c r="AD45" s="206"/>
      <x:c r="AE45" s="206"/>
      <x:c r="AF45" s="206"/>
      <x:c r="AG45" s="206"/>
      <x:c r="AH45" s="206"/>
      <x:c r="AI45" s="206"/>
      <x:c r="AJ45" s="206"/>
      <x:c r="AK45" s="206"/>
      <x:c r="AL45" s="206"/>
      <x:c r="AM45" s="206"/>
      <x:c r="AN45" s="206"/>
      <x:c r="AO45" s="206"/>
      <x:c r="AP45" s="206"/>
      <x:c r="AQ45" s="206"/>
      <x:c r="AR45" s="206"/>
      <x:c r="AS45" s="206"/>
      <x:c r="AT45" s="206"/>
      <x:c r="AU45" s="206"/>
      <x:c r="AV45" s="206"/>
      <x:c r="AW45" s="206"/>
      <x:c r="AX45" s="206"/>
      <x:c r="AY45" s="206"/>
      <x:c r="AZ45" s="206"/>
    </x:row>
    <x:row r="46">
      <x:c r="G46" s="206"/>
      <x:c r="H46" s="206"/>
      <x:c r="I46" s="206"/>
      <x:c r="J46" s="206"/>
      <x:c r="K46" s="206"/>
      <x:c r="L46" s="206"/>
      <x:c r="M46" s="206"/>
      <x:c r="N46" s="206"/>
      <x:c r="O46" s="206"/>
      <x:c r="P46" s="206"/>
      <x:c r="Q46" s="206"/>
      <x:c r="R46" s="206"/>
      <x:c r="S46" s="206"/>
      <x:c r="T46" s="206"/>
      <x:c r="U46" s="206"/>
      <x:c r="V46" s="206"/>
      <x:c r="W46" s="206"/>
      <x:c r="X46" s="206"/>
      <x:c r="Y46" s="206"/>
      <x:c r="Z46" s="206"/>
      <x:c r="AA46" s="206"/>
      <x:c r="AB46" s="206"/>
      <x:c r="AC46" s="206"/>
      <x:c r="AD46" s="206"/>
      <x:c r="AE46" s="206"/>
      <x:c r="AF46" s="206"/>
      <x:c r="AG46" s="206"/>
      <x:c r="AH46" s="206"/>
      <x:c r="AI46" s="206"/>
      <x:c r="AJ46" s="206"/>
      <x:c r="AK46" s="206"/>
      <x:c r="AL46" s="206"/>
      <x:c r="AM46" s="206"/>
      <x:c r="AN46" s="206"/>
      <x:c r="AO46" s="206"/>
      <x:c r="AP46" s="206"/>
      <x:c r="AQ46" s="206"/>
      <x:c r="AR46" s="206"/>
      <x:c r="AS46" s="206"/>
      <x:c r="AT46" s="206"/>
      <x:c r="AU46" s="206"/>
      <x:c r="AV46" s="206"/>
      <x:c r="AW46" s="206"/>
      <x:c r="AX46" s="206"/>
      <x:c r="AY46" s="206"/>
      <x:c r="AZ46" s="206"/>
    </x:row>
    <x:row r="47">
      <x:c r="G47" s="206"/>
      <x:c r="H47" s="206"/>
      <x:c r="I47" s="206"/>
      <x:c r="J47" s="206"/>
      <x:c r="K47" s="206"/>
      <x:c r="L47" s="206"/>
      <x:c r="M47" s="206"/>
      <x:c r="N47" s="206"/>
      <x:c r="O47" s="206"/>
      <x:c r="P47" s="206"/>
      <x:c r="Q47" s="206"/>
      <x:c r="R47" s="206"/>
      <x:c r="S47" s="206"/>
      <x:c r="T47" s="206"/>
      <x:c r="U47" s="206"/>
      <x:c r="V47" s="206"/>
      <x:c r="W47" s="206"/>
      <x:c r="X47" s="206"/>
      <x:c r="Y47" s="206"/>
      <x:c r="Z47" s="206"/>
      <x:c r="AA47" s="206"/>
      <x:c r="AB47" s="206"/>
      <x:c r="AC47" s="206"/>
      <x:c r="AD47" s="206"/>
      <x:c r="AE47" s="206"/>
      <x:c r="AF47" s="206"/>
      <x:c r="AG47" s="206"/>
      <x:c r="AH47" s="206"/>
      <x:c r="AI47" s="206"/>
      <x:c r="AJ47" s="206"/>
      <x:c r="AK47" s="206"/>
      <x:c r="AL47" s="206"/>
      <x:c r="AM47" s="206"/>
      <x:c r="AN47" s="206"/>
      <x:c r="AO47" s="206"/>
      <x:c r="AP47" s="206"/>
      <x:c r="AQ47" s="206"/>
      <x:c r="AR47" s="206"/>
      <x:c r="AS47" s="206"/>
      <x:c r="AT47" s="206"/>
      <x:c r="AU47" s="206"/>
      <x:c r="AV47" s="206"/>
      <x:c r="AW47" s="206"/>
      <x:c r="AX47" s="206"/>
      <x:c r="AY47" s="206"/>
      <x:c r="AZ47" s="206"/>
    </x:row>
    <x:row r="48">
      <x:c r="G48" s="206"/>
      <x:c r="H48" s="206"/>
      <x:c r="I48" s="206"/>
      <x:c r="J48" s="206"/>
      <x:c r="K48" s="206"/>
      <x:c r="L48" s="206"/>
      <x:c r="M48" s="206"/>
      <x:c r="N48" s="206"/>
      <x:c r="O48" s="206"/>
      <x:c r="P48" s="206"/>
      <x:c r="Q48" s="206"/>
      <x:c r="R48" s="206"/>
      <x:c r="S48" s="206"/>
      <x:c r="T48" s="206"/>
      <x:c r="U48" s="206"/>
      <x:c r="V48" s="206"/>
      <x:c r="W48" s="206"/>
      <x:c r="X48" s="206"/>
      <x:c r="Y48" s="206"/>
      <x:c r="Z48" s="206"/>
      <x:c r="AA48" s="206"/>
      <x:c r="AB48" s="206"/>
      <x:c r="AC48" s="206"/>
      <x:c r="AD48" s="206"/>
      <x:c r="AE48" s="206"/>
      <x:c r="AF48" s="206"/>
      <x:c r="AG48" s="206"/>
      <x:c r="AH48" s="206"/>
      <x:c r="AI48" s="206"/>
      <x:c r="AJ48" s="206"/>
      <x:c r="AK48" s="206"/>
      <x:c r="AL48" s="206"/>
      <x:c r="AM48" s="206"/>
      <x:c r="AN48" s="206"/>
      <x:c r="AO48" s="206"/>
      <x:c r="AP48" s="206"/>
      <x:c r="AQ48" s="206"/>
      <x:c r="AR48" s="206"/>
      <x:c r="AS48" s="206"/>
      <x:c r="AT48" s="206"/>
      <x:c r="AU48" s="206"/>
      <x:c r="AV48" s="206"/>
      <x:c r="AW48" s="206"/>
      <x:c r="AX48" s="206"/>
      <x:c r="AY48" s="206"/>
      <x:c r="AZ48" s="206"/>
    </x:row>
    <x:row r="49">
      <x:c r="G49" s="206"/>
      <x:c r="H49" s="206"/>
      <x:c r="I49" s="206"/>
      <x:c r="J49" s="206"/>
      <x:c r="K49" s="206"/>
      <x:c r="L49" s="206"/>
      <x:c r="M49" s="206"/>
      <x:c r="N49" s="206"/>
      <x:c r="O49" s="206"/>
      <x:c r="P49" s="206"/>
      <x:c r="Q49" s="206"/>
      <x:c r="R49" s="206"/>
      <x:c r="S49" s="206"/>
      <x:c r="T49" s="206"/>
      <x:c r="U49" s="206"/>
      <x:c r="V49" s="206"/>
      <x:c r="W49" s="206"/>
      <x:c r="X49" s="206"/>
      <x:c r="Y49" s="206"/>
      <x:c r="Z49" s="206"/>
      <x:c r="AA49" s="206"/>
      <x:c r="AB49" s="206"/>
      <x:c r="AC49" s="206"/>
      <x:c r="AD49" s="206"/>
      <x:c r="AE49" s="206"/>
      <x:c r="AF49" s="206"/>
      <x:c r="AG49" s="206"/>
      <x:c r="AH49" s="206"/>
      <x:c r="AI49" s="206"/>
      <x:c r="AJ49" s="206"/>
      <x:c r="AK49" s="206"/>
      <x:c r="AL49" s="206"/>
      <x:c r="AM49" s="206"/>
      <x:c r="AN49" s="206"/>
      <x:c r="AO49" s="206"/>
      <x:c r="AP49" s="206"/>
      <x:c r="AQ49" s="206"/>
      <x:c r="AR49" s="206"/>
      <x:c r="AS49" s="206"/>
      <x:c r="AT49" s="206"/>
      <x:c r="AU49" s="206"/>
      <x:c r="AV49" s="206"/>
      <x:c r="AW49" s="206"/>
      <x:c r="AX49" s="206"/>
      <x:c r="AY49" s="206"/>
      <x:c r="AZ49" s="206"/>
    </x:row>
    <x:row r="50">
      <x:c r="G50" s="206"/>
      <x:c r="H50" s="206"/>
      <x:c r="I50" s="206"/>
      <x:c r="J50" s="206"/>
      <x:c r="K50" s="206"/>
      <x:c r="L50" s="206"/>
      <x:c r="M50" s="206"/>
      <x:c r="N50" s="206"/>
      <x:c r="O50" s="206"/>
      <x:c r="P50" s="206"/>
      <x:c r="Q50" s="206"/>
      <x:c r="R50" s="206"/>
      <x:c r="S50" s="206"/>
      <x:c r="T50" s="206"/>
      <x:c r="U50" s="206"/>
      <x:c r="V50" s="206"/>
      <x:c r="W50" s="206"/>
      <x:c r="X50" s="206"/>
      <x:c r="Y50" s="206"/>
      <x:c r="Z50" s="206"/>
      <x:c r="AA50" s="206"/>
      <x:c r="AB50" s="206"/>
      <x:c r="AC50" s="206"/>
      <x:c r="AD50" s="206"/>
      <x:c r="AE50" s="206"/>
      <x:c r="AF50" s="206"/>
      <x:c r="AG50" s="206"/>
      <x:c r="AH50" s="206"/>
      <x:c r="AI50" s="206"/>
      <x:c r="AJ50" s="206"/>
      <x:c r="AK50" s="206"/>
      <x:c r="AL50" s="206"/>
      <x:c r="AM50" s="206"/>
      <x:c r="AN50" s="206"/>
      <x:c r="AO50" s="206"/>
      <x:c r="AP50" s="206"/>
      <x:c r="AQ50" s="206"/>
      <x:c r="AR50" s="206"/>
      <x:c r="AS50" s="206"/>
      <x:c r="AT50" s="206"/>
      <x:c r="AU50" s="206"/>
      <x:c r="AV50" s="206"/>
      <x:c r="AW50" s="206"/>
      <x:c r="AX50" s="206"/>
      <x:c r="AY50" s="206"/>
      <x:c r="AZ50" s="206"/>
    </x:row>
    <x:row r="51">
      <x:c r="G51" s="206"/>
      <x:c r="H51" s="206"/>
      <x:c r="I51" s="206"/>
      <x:c r="J51" s="206"/>
      <x:c r="K51" s="206"/>
      <x:c r="L51" s="206"/>
      <x:c r="M51" s="206"/>
      <x:c r="N51" s="206"/>
      <x:c r="O51" s="206"/>
      <x:c r="P51" s="206"/>
      <x:c r="Q51" s="206"/>
      <x:c r="R51" s="206"/>
      <x:c r="S51" s="206"/>
      <x:c r="T51" s="206"/>
      <x:c r="U51" s="206"/>
      <x:c r="V51" s="206"/>
      <x:c r="W51" s="206"/>
      <x:c r="X51" s="206"/>
      <x:c r="Y51" s="206"/>
      <x:c r="Z51" s="206"/>
      <x:c r="AA51" s="206"/>
      <x:c r="AB51" s="206"/>
      <x:c r="AC51" s="206"/>
      <x:c r="AD51" s="206"/>
      <x:c r="AE51" s="206"/>
      <x:c r="AF51" s="206"/>
      <x:c r="AG51" s="206"/>
      <x:c r="AH51" s="206"/>
      <x:c r="AI51" s="206"/>
      <x:c r="AJ51" s="206"/>
      <x:c r="AK51" s="206"/>
      <x:c r="AL51" s="206"/>
      <x:c r="AM51" s="206"/>
      <x:c r="AN51" s="206"/>
      <x:c r="AO51" s="206"/>
      <x:c r="AP51" s="206"/>
      <x:c r="AQ51" s="206"/>
      <x:c r="AR51" s="206"/>
      <x:c r="AS51" s="206"/>
      <x:c r="AT51" s="206"/>
      <x:c r="AU51" s="206"/>
      <x:c r="AV51" s="206"/>
      <x:c r="AW51" s="206"/>
      <x:c r="AX51" s="206"/>
      <x:c r="AY51" s="206"/>
      <x:c r="AZ51" s="206"/>
    </x:row>
    <x:row r="52">
      <x:c r="G52" s="206"/>
      <x:c r="H52" s="206"/>
      <x:c r="I52" s="206"/>
      <x:c r="J52" s="206"/>
      <x:c r="K52" s="206"/>
      <x:c r="L52" s="206"/>
      <x:c r="M52" s="206"/>
      <x:c r="N52" s="206"/>
      <x:c r="O52" s="206"/>
      <x:c r="P52" s="206"/>
      <x:c r="Q52" s="206"/>
      <x:c r="R52" s="206"/>
      <x:c r="S52" s="206"/>
      <x:c r="T52" s="206"/>
      <x:c r="U52" s="206"/>
      <x:c r="V52" s="206"/>
      <x:c r="W52" s="206"/>
      <x:c r="X52" s="206"/>
      <x:c r="Y52" s="206"/>
      <x:c r="Z52" s="206"/>
      <x:c r="AA52" s="206"/>
      <x:c r="AB52" s="206"/>
      <x:c r="AC52" s="206"/>
      <x:c r="AD52" s="206"/>
      <x:c r="AE52" s="206"/>
      <x:c r="AF52" s="206"/>
      <x:c r="AG52" s="206"/>
      <x:c r="AH52" s="206"/>
      <x:c r="AI52" s="206"/>
      <x:c r="AJ52" s="206"/>
      <x:c r="AK52" s="206"/>
      <x:c r="AL52" s="206"/>
      <x:c r="AM52" s="206"/>
      <x:c r="AN52" s="206"/>
      <x:c r="AO52" s="206"/>
      <x:c r="AP52" s="206"/>
      <x:c r="AQ52" s="206"/>
      <x:c r="AR52" s="206"/>
      <x:c r="AS52" s="206"/>
      <x:c r="AT52" s="206"/>
      <x:c r="AU52" s="206"/>
      <x:c r="AV52" s="206"/>
      <x:c r="AW52" s="206"/>
      <x:c r="AX52" s="206"/>
      <x:c r="AY52" s="206"/>
      <x:c r="AZ52" s="206"/>
    </x:row>
    <x:row r="53">
      <x:c r="G53" s="206"/>
      <x:c r="H53" s="206"/>
      <x:c r="I53" s="206"/>
      <x:c r="J53" s="206"/>
      <x:c r="K53" s="206"/>
      <x:c r="L53" s="206"/>
      <x:c r="M53" s="206"/>
      <x:c r="N53" s="206"/>
      <x:c r="O53" s="206"/>
      <x:c r="P53" s="206"/>
      <x:c r="Q53" s="206"/>
      <x:c r="R53" s="206"/>
      <x:c r="S53" s="206"/>
      <x:c r="T53" s="206"/>
      <x:c r="U53" s="206"/>
      <x:c r="V53" s="206"/>
      <x:c r="W53" s="206"/>
      <x:c r="X53" s="206"/>
      <x:c r="Y53" s="206"/>
      <x:c r="Z53" s="206"/>
      <x:c r="AA53" s="206"/>
      <x:c r="AB53" s="206"/>
      <x:c r="AC53" s="206"/>
      <x:c r="AD53" s="206"/>
      <x:c r="AE53" s="206"/>
      <x:c r="AF53" s="206"/>
      <x:c r="AG53" s="206"/>
      <x:c r="AH53" s="206"/>
      <x:c r="AI53" s="206"/>
      <x:c r="AJ53" s="206"/>
      <x:c r="AK53" s="206"/>
      <x:c r="AL53" s="206"/>
      <x:c r="AM53" s="206"/>
      <x:c r="AN53" s="206"/>
      <x:c r="AO53" s="206"/>
      <x:c r="AP53" s="206"/>
      <x:c r="AQ53" s="206"/>
      <x:c r="AR53" s="206"/>
      <x:c r="AS53" s="206"/>
      <x:c r="AT53" s="206"/>
      <x:c r="AU53" s="206"/>
      <x:c r="AV53" s="206"/>
      <x:c r="AW53" s="206"/>
      <x:c r="AX53" s="206"/>
      <x:c r="AY53" s="206"/>
      <x:c r="AZ53" s="206"/>
    </x:row>
    <x:row r="54">
      <x:c r="G54" s="206"/>
      <x:c r="H54" s="206"/>
      <x:c r="I54" s="206"/>
      <x:c r="J54" s="206"/>
      <x:c r="K54" s="206"/>
      <x:c r="L54" s="206"/>
      <x:c r="M54" s="206"/>
      <x:c r="N54" s="206"/>
      <x:c r="O54" s="206"/>
      <x:c r="P54" s="206"/>
      <x:c r="Q54" s="206"/>
      <x:c r="R54" s="206"/>
      <x:c r="S54" s="206"/>
      <x:c r="T54" s="206"/>
      <x:c r="U54" s="206"/>
      <x:c r="V54" s="206"/>
      <x:c r="W54" s="206"/>
      <x:c r="X54" s="206"/>
      <x:c r="Y54" s="206"/>
      <x:c r="Z54" s="206"/>
      <x:c r="AA54" s="206"/>
      <x:c r="AB54" s="206"/>
      <x:c r="AC54" s="206"/>
      <x:c r="AD54" s="206"/>
      <x:c r="AE54" s="206"/>
      <x:c r="AF54" s="206"/>
      <x:c r="AG54" s="206"/>
      <x:c r="AH54" s="206"/>
      <x:c r="AI54" s="206"/>
      <x:c r="AJ54" s="206"/>
      <x:c r="AK54" s="206"/>
      <x:c r="AL54" s="206"/>
      <x:c r="AM54" s="206"/>
      <x:c r="AN54" s="206"/>
      <x:c r="AO54" s="206"/>
      <x:c r="AP54" s="206"/>
      <x:c r="AQ54" s="206"/>
      <x:c r="AR54" s="206"/>
      <x:c r="AS54" s="206"/>
      <x:c r="AT54" s="206"/>
      <x:c r="AU54" s="206"/>
      <x:c r="AV54" s="206"/>
      <x:c r="AW54" s="206"/>
      <x:c r="AX54" s="206"/>
      <x:c r="AY54" s="206"/>
      <x:c r="AZ54" s="206"/>
    </x:row>
    <x:row r="55">
      <x:c r="G55" s="206"/>
      <x:c r="H55" s="206"/>
      <x:c r="I55" s="206"/>
      <x:c r="J55" s="206"/>
      <x:c r="K55" s="206"/>
      <x:c r="L55" s="206"/>
      <x:c r="M55" s="206"/>
      <x:c r="N55" s="206"/>
      <x:c r="O55" s="206"/>
      <x:c r="P55" s="206"/>
      <x:c r="Q55" s="206"/>
      <x:c r="R55" s="206"/>
      <x:c r="S55" s="206"/>
      <x:c r="T55" s="206"/>
      <x:c r="U55" s="206"/>
      <x:c r="V55" s="206"/>
      <x:c r="W55" s="206"/>
      <x:c r="X55" s="206"/>
      <x:c r="Y55" s="206"/>
      <x:c r="Z55" s="206"/>
      <x:c r="AA55" s="206"/>
      <x:c r="AB55" s="206"/>
      <x:c r="AC55" s="206"/>
      <x:c r="AD55" s="206"/>
      <x:c r="AE55" s="206"/>
      <x:c r="AF55" s="206"/>
      <x:c r="AG55" s="206"/>
      <x:c r="AH55" s="206"/>
      <x:c r="AI55" s="206"/>
      <x:c r="AJ55" s="206"/>
      <x:c r="AK55" s="206"/>
      <x:c r="AL55" s="206"/>
      <x:c r="AM55" s="206"/>
      <x:c r="AN55" s="206"/>
      <x:c r="AO55" s="206"/>
      <x:c r="AP55" s="206"/>
      <x:c r="AQ55" s="206"/>
      <x:c r="AR55" s="206"/>
      <x:c r="AS55" s="206"/>
      <x:c r="AT55" s="206"/>
      <x:c r="AU55" s="206"/>
      <x:c r="AV55" s="206"/>
      <x:c r="AW55" s="206"/>
      <x:c r="AX55" s="206"/>
      <x:c r="AY55" s="206"/>
      <x:c r="AZ55" s="206"/>
    </x:row>
    <x:row r="56">
      <x:c r="G56" s="206"/>
      <x:c r="H56" s="206"/>
      <x:c r="I56" s="206"/>
      <x:c r="J56" s="206"/>
      <x:c r="K56" s="206"/>
      <x:c r="L56" s="206"/>
      <x:c r="M56" s="206"/>
      <x:c r="N56" s="206"/>
      <x:c r="O56" s="206"/>
      <x:c r="P56" s="206"/>
      <x:c r="Q56" s="206"/>
      <x:c r="R56" s="206"/>
      <x:c r="S56" s="206"/>
      <x:c r="T56" s="206"/>
      <x:c r="U56" s="206"/>
      <x:c r="V56" s="206"/>
      <x:c r="W56" s="206"/>
      <x:c r="X56" s="206"/>
      <x:c r="Y56" s="206"/>
      <x:c r="Z56" s="206"/>
      <x:c r="AA56" s="206"/>
      <x:c r="AB56" s="206"/>
      <x:c r="AC56" s="206"/>
      <x:c r="AD56" s="206"/>
      <x:c r="AE56" s="206"/>
      <x:c r="AF56" s="206"/>
      <x:c r="AG56" s="206"/>
      <x:c r="AH56" s="206"/>
      <x:c r="AI56" s="206"/>
      <x:c r="AJ56" s="206"/>
      <x:c r="AK56" s="206"/>
      <x:c r="AL56" s="206"/>
      <x:c r="AM56" s="206"/>
      <x:c r="AN56" s="206"/>
      <x:c r="AO56" s="206"/>
      <x:c r="AP56" s="206"/>
      <x:c r="AQ56" s="206"/>
      <x:c r="AR56" s="206"/>
      <x:c r="AS56" s="206"/>
      <x:c r="AT56" s="206"/>
      <x:c r="AU56" s="206"/>
      <x:c r="AV56" s="206"/>
      <x:c r="AW56" s="206"/>
      <x:c r="AX56" s="206"/>
      <x:c r="AY56" s="206"/>
      <x:c r="AZ56" s="206"/>
    </x:row>
    <x:row r="57"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  <x:c r="AG57" s="206"/>
      <x:c r="AH57" s="206"/>
      <x:c r="AI57" s="206"/>
      <x:c r="AJ57" s="206"/>
      <x:c r="AK57" s="206"/>
      <x:c r="AL57" s="206"/>
      <x:c r="AM57" s="206"/>
      <x:c r="AN57" s="206"/>
      <x:c r="AO57" s="206"/>
      <x:c r="AP57" s="206"/>
      <x:c r="AQ57" s="206"/>
      <x:c r="AR57" s="206"/>
      <x:c r="AS57" s="206"/>
      <x:c r="AT57" s="206"/>
      <x:c r="AU57" s="206"/>
      <x:c r="AV57" s="206"/>
      <x:c r="AW57" s="206"/>
      <x:c r="AX57" s="206"/>
      <x:c r="AY57" s="206"/>
      <x:c r="AZ57" s="206"/>
    </x:row>
    <x:row r="58">
      <x:c r="G58" s="206"/>
      <x:c r="H58" s="206"/>
      <x:c r="I58" s="206"/>
      <x:c r="J58" s="206"/>
      <x:c r="K58" s="206"/>
      <x:c r="L58" s="206"/>
      <x:c r="M58" s="206"/>
      <x:c r="N58" s="206"/>
      <x:c r="O58" s="206"/>
      <x:c r="P58" s="206"/>
      <x:c r="Q58" s="206"/>
      <x:c r="R58" s="206"/>
      <x:c r="S58" s="206"/>
      <x:c r="T58" s="206"/>
      <x:c r="U58" s="206"/>
      <x:c r="V58" s="206"/>
      <x:c r="W58" s="206"/>
      <x:c r="X58" s="206"/>
      <x:c r="Y58" s="206"/>
      <x:c r="Z58" s="206"/>
      <x:c r="AA58" s="206"/>
      <x:c r="AB58" s="206"/>
      <x:c r="AC58" s="206"/>
      <x:c r="AD58" s="206"/>
      <x:c r="AE58" s="206"/>
      <x:c r="AF58" s="206"/>
      <x:c r="AG58" s="206"/>
      <x:c r="AH58" s="206"/>
      <x:c r="AI58" s="206"/>
      <x:c r="AJ58" s="206"/>
      <x:c r="AK58" s="206"/>
      <x:c r="AL58" s="206"/>
      <x:c r="AM58" s="206"/>
      <x:c r="AN58" s="206"/>
      <x:c r="AO58" s="206"/>
      <x:c r="AP58" s="206"/>
      <x:c r="AQ58" s="206"/>
      <x:c r="AR58" s="206"/>
      <x:c r="AS58" s="206"/>
      <x:c r="AT58" s="206"/>
      <x:c r="AU58" s="206"/>
      <x:c r="AV58" s="206"/>
      <x:c r="AW58" s="206"/>
      <x:c r="AX58" s="206"/>
      <x:c r="AY58" s="206"/>
      <x:c r="AZ58" s="206"/>
    </x:row>
    <x:row r="59">
      <x:c r="G59" s="206"/>
      <x:c r="H59" s="206"/>
      <x:c r="I59" s="206"/>
      <x:c r="J59" s="206"/>
      <x:c r="K59" s="206"/>
      <x:c r="L59" s="206"/>
      <x:c r="M59" s="206"/>
      <x:c r="N59" s="206"/>
      <x:c r="O59" s="206"/>
      <x:c r="P59" s="206"/>
      <x:c r="Q59" s="206"/>
      <x:c r="R59" s="206"/>
      <x:c r="S59" s="206"/>
      <x:c r="T59" s="206"/>
      <x:c r="U59" s="206"/>
      <x:c r="V59" s="206"/>
      <x:c r="W59" s="206"/>
      <x:c r="X59" s="206"/>
      <x:c r="Y59" s="206"/>
      <x:c r="Z59" s="206"/>
      <x:c r="AA59" s="206"/>
      <x:c r="AB59" s="206"/>
      <x:c r="AC59" s="206"/>
      <x:c r="AD59" s="206"/>
      <x:c r="AE59" s="206"/>
      <x:c r="AF59" s="206"/>
      <x:c r="AG59" s="206"/>
      <x:c r="AH59" s="206"/>
      <x:c r="AI59" s="206"/>
      <x:c r="AJ59" s="206"/>
      <x:c r="AK59" s="206"/>
      <x:c r="AL59" s="206"/>
      <x:c r="AM59" s="206"/>
      <x:c r="AN59" s="206"/>
      <x:c r="AO59" s="206"/>
      <x:c r="AP59" s="206"/>
      <x:c r="AQ59" s="206"/>
      <x:c r="AR59" s="206"/>
      <x:c r="AS59" s="206"/>
      <x:c r="AT59" s="206"/>
      <x:c r="AU59" s="206"/>
      <x:c r="AV59" s="206"/>
      <x:c r="AW59" s="206"/>
      <x:c r="AX59" s="206"/>
      <x:c r="AY59" s="206"/>
      <x:c r="AZ59" s="206"/>
    </x:row>
    <x:row r="60">
      <x:c r="G60" s="206"/>
      <x:c r="H60" s="206"/>
      <x:c r="I60" s="206"/>
      <x:c r="J60" s="206"/>
      <x:c r="K60" s="206"/>
      <x:c r="L60" s="206"/>
      <x:c r="M60" s="206"/>
      <x:c r="N60" s="206"/>
      <x:c r="O60" s="206"/>
      <x:c r="P60" s="206"/>
      <x:c r="Q60" s="206"/>
      <x:c r="R60" s="206"/>
      <x:c r="S60" s="206"/>
      <x:c r="T60" s="206"/>
      <x:c r="U60" s="206"/>
      <x:c r="V60" s="206"/>
      <x:c r="W60" s="206"/>
      <x:c r="X60" s="206"/>
      <x:c r="Y60" s="206"/>
      <x:c r="Z60" s="206"/>
      <x:c r="AA60" s="206"/>
      <x:c r="AB60" s="206"/>
      <x:c r="AC60" s="206"/>
      <x:c r="AD60" s="206"/>
      <x:c r="AE60" s="206"/>
      <x:c r="AF60" s="206"/>
      <x:c r="AG60" s="206"/>
      <x:c r="AH60" s="206"/>
      <x:c r="AI60" s="206"/>
      <x:c r="AJ60" s="206"/>
      <x:c r="AK60" s="206"/>
      <x:c r="AL60" s="206"/>
      <x:c r="AM60" s="206"/>
      <x:c r="AN60" s="206"/>
      <x:c r="AO60" s="206"/>
      <x:c r="AP60" s="206"/>
      <x:c r="AQ60" s="206"/>
      <x:c r="AR60" s="206"/>
      <x:c r="AS60" s="206"/>
      <x:c r="AT60" s="206"/>
      <x:c r="AU60" s="206"/>
      <x:c r="AV60" s="206"/>
      <x:c r="AW60" s="206"/>
      <x:c r="AX60" s="206"/>
      <x:c r="AY60" s="206"/>
      <x:c r="AZ60" s="206"/>
    </x:row>
    <x:row r="61">
      <x:c r="G61" s="206"/>
      <x:c r="H61" s="206"/>
      <x:c r="I61" s="206"/>
      <x:c r="J61" s="206"/>
      <x:c r="K61" s="206"/>
      <x:c r="L61" s="206"/>
      <x:c r="M61" s="206"/>
      <x:c r="N61" s="206"/>
      <x:c r="O61" s="206"/>
      <x:c r="P61" s="206"/>
      <x:c r="Q61" s="206"/>
      <x:c r="R61" s="206"/>
      <x:c r="S61" s="206"/>
      <x:c r="T61" s="206"/>
      <x:c r="U61" s="206"/>
      <x:c r="V61" s="206"/>
      <x:c r="W61" s="206"/>
      <x:c r="X61" s="206"/>
      <x:c r="Y61" s="206"/>
      <x:c r="Z61" s="206"/>
      <x:c r="AA61" s="206"/>
      <x:c r="AB61" s="206"/>
      <x:c r="AC61" s="206"/>
      <x:c r="AD61" s="206"/>
      <x:c r="AE61" s="206"/>
      <x:c r="AF61" s="206"/>
      <x:c r="AG61" s="206"/>
      <x:c r="AH61" s="206"/>
      <x:c r="AI61" s="206"/>
      <x:c r="AJ61" s="206"/>
      <x:c r="AK61" s="206"/>
      <x:c r="AL61" s="206"/>
      <x:c r="AM61" s="206"/>
      <x:c r="AN61" s="206"/>
      <x:c r="AO61" s="206"/>
      <x:c r="AP61" s="206"/>
      <x:c r="AQ61" s="206"/>
      <x:c r="AR61" s="206"/>
      <x:c r="AS61" s="206"/>
      <x:c r="AT61" s="206"/>
      <x:c r="AU61" s="206"/>
      <x:c r="AV61" s="206"/>
      <x:c r="AW61" s="206"/>
      <x:c r="AX61" s="206"/>
      <x:c r="AY61" s="206"/>
      <x:c r="AZ61" s="206"/>
    </x:row>
    <x:row r="62">
      <x:c r="G62" s="206"/>
      <x:c r="H62" s="206"/>
      <x:c r="I62" s="206"/>
      <x:c r="J62" s="206"/>
      <x:c r="K62" s="206"/>
      <x:c r="L62" s="206"/>
      <x:c r="M62" s="206"/>
      <x:c r="N62" s="206"/>
      <x:c r="O62" s="206"/>
      <x:c r="P62" s="206"/>
      <x:c r="Q62" s="206"/>
      <x:c r="R62" s="206"/>
      <x:c r="S62" s="206"/>
      <x:c r="T62" s="206"/>
      <x:c r="U62" s="206"/>
      <x:c r="V62" s="206"/>
      <x:c r="W62" s="206"/>
      <x:c r="X62" s="206"/>
      <x:c r="Y62" s="206"/>
      <x:c r="Z62" s="206"/>
      <x:c r="AA62" s="206"/>
      <x:c r="AB62" s="206"/>
      <x:c r="AC62" s="206"/>
      <x:c r="AD62" s="206"/>
      <x:c r="AE62" s="206"/>
      <x:c r="AF62" s="206"/>
      <x:c r="AG62" s="206"/>
      <x:c r="AH62" s="206"/>
      <x:c r="AI62" s="206"/>
      <x:c r="AJ62" s="206"/>
      <x:c r="AK62" s="206"/>
      <x:c r="AL62" s="206"/>
      <x:c r="AM62" s="206"/>
      <x:c r="AN62" s="206"/>
      <x:c r="AO62" s="206"/>
      <x:c r="AP62" s="206"/>
      <x:c r="AQ62" s="206"/>
      <x:c r="AR62" s="206"/>
      <x:c r="AS62" s="206"/>
      <x:c r="AT62" s="206"/>
      <x:c r="AU62" s="206"/>
      <x:c r="AV62" s="206"/>
      <x:c r="AW62" s="206"/>
      <x:c r="AX62" s="206"/>
      <x:c r="AY62" s="206"/>
      <x:c r="AZ62" s="206"/>
    </x:row>
    <x:row r="63">
      <x:c r="G63" s="206"/>
      <x:c r="H63" s="206"/>
      <x:c r="I63" s="206"/>
      <x:c r="J63" s="206"/>
      <x:c r="K63" s="206"/>
      <x:c r="L63" s="206"/>
      <x:c r="M63" s="206"/>
      <x:c r="N63" s="206"/>
      <x:c r="O63" s="206"/>
      <x:c r="P63" s="206"/>
      <x:c r="Q63" s="206"/>
      <x:c r="R63" s="206"/>
      <x:c r="S63" s="206"/>
      <x:c r="T63" s="206"/>
      <x:c r="U63" s="206"/>
      <x:c r="V63" s="206"/>
      <x:c r="W63" s="206"/>
      <x:c r="X63" s="206"/>
      <x:c r="Y63" s="206"/>
      <x:c r="Z63" s="206"/>
      <x:c r="AA63" s="206"/>
      <x:c r="AB63" s="206"/>
      <x:c r="AC63" s="206"/>
      <x:c r="AD63" s="206"/>
      <x:c r="AE63" s="206"/>
      <x:c r="AF63" s="206"/>
      <x:c r="AG63" s="206"/>
      <x:c r="AH63" s="206"/>
      <x:c r="AI63" s="206"/>
      <x:c r="AJ63" s="206"/>
      <x:c r="AK63" s="206"/>
      <x:c r="AL63" s="206"/>
      <x:c r="AM63" s="206"/>
      <x:c r="AN63" s="206"/>
      <x:c r="AO63" s="206"/>
      <x:c r="AP63" s="206"/>
      <x:c r="AQ63" s="206"/>
      <x:c r="AR63" s="206"/>
      <x:c r="AS63" s="206"/>
      <x:c r="AT63" s="206"/>
      <x:c r="AU63" s="206"/>
      <x:c r="AV63" s="206"/>
      <x:c r="AW63" s="206"/>
      <x:c r="AX63" s="206"/>
      <x:c r="AY63" s="206"/>
      <x:c r="AZ63" s="206"/>
    </x:row>
    <x:row r="64">
      <x:c r="G64" s="206"/>
      <x:c r="H64" s="206"/>
      <x:c r="I64" s="206"/>
      <x:c r="J64" s="206"/>
      <x:c r="K64" s="206"/>
      <x:c r="L64" s="206"/>
      <x:c r="M64" s="206"/>
      <x:c r="N64" s="206"/>
      <x:c r="O64" s="206"/>
      <x:c r="P64" s="206"/>
      <x:c r="Q64" s="206"/>
      <x:c r="R64" s="206"/>
      <x:c r="S64" s="206"/>
      <x:c r="T64" s="206"/>
      <x:c r="U64" s="206"/>
      <x:c r="V64" s="206"/>
      <x:c r="W64" s="206"/>
      <x:c r="X64" s="206"/>
      <x:c r="Y64" s="206"/>
      <x:c r="Z64" s="206"/>
      <x:c r="AA64" s="206"/>
      <x:c r="AB64" s="206"/>
      <x:c r="AC64" s="206"/>
      <x:c r="AD64" s="206"/>
      <x:c r="AE64" s="206"/>
      <x:c r="AF64" s="206"/>
      <x:c r="AG64" s="206"/>
      <x:c r="AH64" s="206"/>
      <x:c r="AI64" s="206"/>
      <x:c r="AJ64" s="206"/>
      <x:c r="AK64" s="206"/>
      <x:c r="AL64" s="206"/>
      <x:c r="AM64" s="206"/>
      <x:c r="AN64" s="206"/>
      <x:c r="AO64" s="206"/>
      <x:c r="AP64" s="206"/>
      <x:c r="AQ64" s="206"/>
      <x:c r="AR64" s="206"/>
      <x:c r="AS64" s="206"/>
      <x:c r="AT64" s="206"/>
      <x:c r="AU64" s="206"/>
      <x:c r="AV64" s="206"/>
      <x:c r="AW64" s="206"/>
      <x:c r="AX64" s="206"/>
      <x:c r="AY64" s="206"/>
      <x:c r="AZ64" s="206"/>
    </x:row>
    <x:row r="65">
      <x:c r="G65" s="206"/>
      <x:c r="H65" s="206"/>
      <x:c r="I65" s="206"/>
      <x:c r="J65" s="206"/>
      <x:c r="K65" s="206"/>
      <x:c r="L65" s="206"/>
      <x:c r="M65" s="206"/>
      <x:c r="N65" s="206"/>
      <x:c r="O65" s="206"/>
      <x:c r="P65" s="206"/>
      <x:c r="Q65" s="206"/>
      <x:c r="R65" s="206"/>
      <x:c r="S65" s="206"/>
      <x:c r="T65" s="206"/>
      <x:c r="U65" s="206"/>
      <x:c r="V65" s="206"/>
      <x:c r="W65" s="206"/>
      <x:c r="X65" s="206"/>
      <x:c r="Y65" s="206"/>
      <x:c r="Z65" s="206"/>
      <x:c r="AA65" s="206"/>
      <x:c r="AB65" s="206"/>
      <x:c r="AC65" s="206"/>
      <x:c r="AD65" s="206"/>
      <x:c r="AE65" s="206"/>
      <x:c r="AF65" s="206"/>
      <x:c r="AG65" s="206"/>
      <x:c r="AH65" s="206"/>
      <x:c r="AI65" s="206"/>
      <x:c r="AJ65" s="206"/>
      <x:c r="AK65" s="206"/>
      <x:c r="AL65" s="206"/>
      <x:c r="AM65" s="206"/>
      <x:c r="AN65" s="206"/>
      <x:c r="AO65" s="206"/>
      <x:c r="AP65" s="206"/>
      <x:c r="AQ65" s="206"/>
      <x:c r="AR65" s="206"/>
      <x:c r="AS65" s="206"/>
      <x:c r="AT65" s="206"/>
      <x:c r="AU65" s="206"/>
      <x:c r="AV65" s="206"/>
      <x:c r="AW65" s="206"/>
      <x:c r="AX65" s="206"/>
      <x:c r="AY65" s="206"/>
      <x:c r="AZ65" s="206"/>
    </x:row>
    <x:row r="66">
      <x:c r="G66" s="206"/>
      <x:c r="H66" s="206"/>
      <x:c r="I66" s="206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206"/>
      <x:c r="AX66" s="206"/>
      <x:c r="AY66" s="206"/>
      <x:c r="AZ66" s="206"/>
    </x:row>
    <x:row r="67">
      <x:c r="G67" s="206"/>
      <x:c r="H67" s="206"/>
      <x:c r="I67" s="206"/>
      <x:c r="J67" s="206"/>
      <x:c r="K67" s="206"/>
      <x:c r="L67" s="206"/>
      <x:c r="M67" s="206"/>
      <x:c r="N67" s="206"/>
      <x:c r="O67" s="206"/>
      <x:c r="P67" s="206"/>
      <x:c r="Q67" s="206"/>
      <x:c r="R67" s="206"/>
      <x:c r="S67" s="206"/>
      <x:c r="T67" s="206"/>
      <x:c r="U67" s="206"/>
      <x:c r="V67" s="206"/>
      <x:c r="W67" s="206"/>
      <x:c r="X67" s="206"/>
      <x:c r="Y67" s="206"/>
      <x:c r="Z67" s="206"/>
      <x:c r="AA67" s="206"/>
      <x:c r="AB67" s="206"/>
      <x:c r="AC67" s="206"/>
      <x:c r="AD67" s="206"/>
      <x:c r="AE67" s="206"/>
      <x:c r="AF67" s="206"/>
      <x:c r="AG67" s="206"/>
      <x:c r="AH67" s="206"/>
      <x:c r="AI67" s="206"/>
      <x:c r="AJ67" s="206"/>
      <x:c r="AK67" s="206"/>
      <x:c r="AL67" s="206"/>
      <x:c r="AM67" s="206"/>
      <x:c r="AN67" s="206"/>
      <x:c r="AO67" s="206"/>
      <x:c r="AP67" s="206"/>
      <x:c r="AQ67" s="206"/>
      <x:c r="AR67" s="206"/>
      <x:c r="AS67" s="206"/>
      <x:c r="AT67" s="206"/>
      <x:c r="AU67" s="206"/>
      <x:c r="AV67" s="206"/>
      <x:c r="AW67" s="206"/>
      <x:c r="AX67" s="206"/>
      <x:c r="AY67" s="206"/>
      <x:c r="AZ67" s="206"/>
    </x:row>
    <x:row r="68">
      <x:c r="G68" s="206"/>
      <x:c r="H68" s="206"/>
      <x:c r="I68" s="206"/>
      <x:c r="J68" s="206"/>
      <x:c r="K68" s="206"/>
      <x:c r="L68" s="206"/>
      <x:c r="M68" s="206"/>
      <x:c r="N68" s="206"/>
      <x:c r="O68" s="206"/>
      <x:c r="P68" s="206"/>
      <x:c r="Q68" s="206"/>
      <x:c r="R68" s="206"/>
      <x:c r="S68" s="206"/>
      <x:c r="T68" s="206"/>
      <x:c r="U68" s="206"/>
      <x:c r="V68" s="206"/>
      <x:c r="W68" s="206"/>
      <x:c r="X68" s="206"/>
      <x:c r="Y68" s="206"/>
      <x:c r="Z68" s="206"/>
      <x:c r="AA68" s="206"/>
      <x:c r="AB68" s="206"/>
      <x:c r="AC68" s="206"/>
      <x:c r="AD68" s="206"/>
      <x:c r="AE68" s="206"/>
      <x:c r="AF68" s="206"/>
      <x:c r="AG68" s="206"/>
      <x:c r="AH68" s="206"/>
      <x:c r="AI68" s="206"/>
      <x:c r="AJ68" s="206"/>
      <x:c r="AK68" s="206"/>
      <x:c r="AL68" s="206"/>
      <x:c r="AM68" s="206"/>
      <x:c r="AN68" s="206"/>
      <x:c r="AO68" s="206"/>
      <x:c r="AP68" s="206"/>
      <x:c r="AQ68" s="206"/>
      <x:c r="AR68" s="206"/>
      <x:c r="AS68" s="206"/>
      <x:c r="AT68" s="206"/>
      <x:c r="AU68" s="206"/>
      <x:c r="AV68" s="206"/>
      <x:c r="AW68" s="206"/>
      <x:c r="AX68" s="206"/>
      <x:c r="AY68" s="206"/>
      <x:c r="AZ68" s="206"/>
    </x:row>
    <x:row r="69">
      <x:c r="G69" s="206"/>
      <x:c r="H69" s="206"/>
      <x:c r="I69" s="206"/>
      <x:c r="J69" s="206"/>
      <x:c r="K69" s="206"/>
      <x:c r="L69" s="206"/>
      <x:c r="M69" s="206"/>
      <x:c r="N69" s="206"/>
      <x:c r="O69" s="206"/>
      <x:c r="P69" s="206"/>
      <x:c r="Q69" s="206"/>
      <x:c r="R69" s="206"/>
      <x:c r="S69" s="206"/>
      <x:c r="T69" s="206"/>
      <x:c r="U69" s="206"/>
      <x:c r="V69" s="206"/>
      <x:c r="W69" s="206"/>
      <x:c r="X69" s="206"/>
      <x:c r="Y69" s="206"/>
      <x:c r="Z69" s="206"/>
      <x:c r="AA69" s="206"/>
      <x:c r="AB69" s="206"/>
      <x:c r="AC69" s="206"/>
      <x:c r="AD69" s="206"/>
      <x:c r="AE69" s="206"/>
      <x:c r="AF69" s="206"/>
      <x:c r="AG69" s="206"/>
      <x:c r="AH69" s="206"/>
      <x:c r="AI69" s="206"/>
      <x:c r="AJ69" s="206"/>
      <x:c r="AK69" s="206"/>
      <x:c r="AL69" s="206"/>
      <x:c r="AM69" s="206"/>
      <x:c r="AN69" s="206"/>
      <x:c r="AO69" s="206"/>
      <x:c r="AP69" s="206"/>
      <x:c r="AQ69" s="206"/>
      <x:c r="AR69" s="206"/>
      <x:c r="AS69" s="206"/>
      <x:c r="AT69" s="206"/>
      <x:c r="AU69" s="206"/>
      <x:c r="AV69" s="206"/>
      <x:c r="AW69" s="206"/>
      <x:c r="AX69" s="206"/>
      <x:c r="AY69" s="206"/>
      <x:c r="AZ69" s="206"/>
    </x:row>
    <x:row r="70">
      <x:c r="G70" s="206"/>
      <x:c r="H70" s="206"/>
      <x:c r="I70" s="206"/>
      <x:c r="J70" s="206"/>
      <x:c r="K70" s="206"/>
      <x:c r="L70" s="206"/>
      <x:c r="M70" s="206"/>
      <x:c r="N70" s="206"/>
      <x:c r="O70" s="206"/>
      <x:c r="P70" s="206"/>
      <x:c r="Q70" s="206"/>
      <x:c r="R70" s="206"/>
      <x:c r="S70" s="206"/>
      <x:c r="T70" s="206"/>
      <x:c r="U70" s="206"/>
      <x:c r="V70" s="206"/>
      <x:c r="W70" s="206"/>
      <x:c r="X70" s="206"/>
      <x:c r="Y70" s="206"/>
      <x:c r="Z70" s="206"/>
      <x:c r="AA70" s="206"/>
      <x:c r="AB70" s="206"/>
      <x:c r="AC70" s="206"/>
      <x:c r="AD70" s="206"/>
      <x:c r="AE70" s="206"/>
      <x:c r="AF70" s="206"/>
      <x:c r="AG70" s="206"/>
      <x:c r="AH70" s="206"/>
      <x:c r="AI70" s="206"/>
      <x:c r="AJ70" s="206"/>
      <x:c r="AK70" s="206"/>
      <x:c r="AL70" s="206"/>
      <x:c r="AM70" s="206"/>
      <x:c r="AN70" s="206"/>
      <x:c r="AO70" s="206"/>
      <x:c r="AP70" s="206"/>
      <x:c r="AQ70" s="206"/>
      <x:c r="AR70" s="206"/>
      <x:c r="AS70" s="206"/>
      <x:c r="AT70" s="206"/>
      <x:c r="AU70" s="206"/>
      <x:c r="AV70" s="206"/>
      <x:c r="AW70" s="206"/>
      <x:c r="AX70" s="206"/>
      <x:c r="AY70" s="206"/>
      <x:c r="AZ70" s="206"/>
    </x:row>
    <x:row r="71">
      <x:c r="G71" s="206"/>
      <x:c r="H71" s="206"/>
      <x:c r="I71" s="206"/>
      <x:c r="J71" s="206"/>
      <x:c r="K71" s="206"/>
      <x:c r="L71" s="206"/>
      <x:c r="M71" s="206"/>
      <x:c r="N71" s="206"/>
      <x:c r="O71" s="206"/>
      <x:c r="P71" s="206"/>
      <x:c r="Q71" s="206"/>
      <x:c r="R71" s="206"/>
      <x:c r="S71" s="206"/>
      <x:c r="T71" s="206"/>
      <x:c r="U71" s="206"/>
      <x:c r="V71" s="206"/>
      <x:c r="W71" s="206"/>
      <x:c r="X71" s="206"/>
      <x:c r="Y71" s="206"/>
      <x:c r="Z71" s="206"/>
      <x:c r="AA71" s="206"/>
      <x:c r="AB71" s="206"/>
      <x:c r="AC71" s="206"/>
      <x:c r="AD71" s="206"/>
      <x:c r="AE71" s="206"/>
      <x:c r="AF71" s="206"/>
      <x:c r="AG71" s="206"/>
      <x:c r="AH71" s="206"/>
      <x:c r="AI71" s="206"/>
      <x:c r="AJ71" s="206"/>
      <x:c r="AK71" s="206"/>
      <x:c r="AL71" s="206"/>
      <x:c r="AM71" s="206"/>
      <x:c r="AN71" s="206"/>
      <x:c r="AO71" s="206"/>
      <x:c r="AP71" s="206"/>
      <x:c r="AQ71" s="206"/>
      <x:c r="AR71" s="206"/>
      <x:c r="AS71" s="206"/>
      <x:c r="AT71" s="206"/>
      <x:c r="AU71" s="206"/>
      <x:c r="AV71" s="206"/>
      <x:c r="AW71" s="206"/>
      <x:c r="AX71" s="206"/>
      <x:c r="AY71" s="206"/>
      <x:c r="AZ71" s="206"/>
    </x:row>
    <x:row r="72">
      <x:c r="G72" s="206"/>
      <x:c r="H72" s="206"/>
      <x:c r="I72" s="206"/>
      <x:c r="J72" s="206"/>
      <x:c r="K72" s="206"/>
      <x:c r="L72" s="206"/>
      <x:c r="M72" s="206"/>
      <x:c r="N72" s="206"/>
      <x:c r="O72" s="206"/>
      <x:c r="P72" s="206"/>
      <x:c r="Q72" s="206"/>
      <x:c r="R72" s="206"/>
      <x:c r="S72" s="206"/>
      <x:c r="T72" s="206"/>
      <x:c r="U72" s="206"/>
      <x:c r="V72" s="206"/>
      <x:c r="W72" s="206"/>
      <x:c r="X72" s="206"/>
      <x:c r="Y72" s="206"/>
      <x:c r="Z72" s="206"/>
      <x:c r="AA72" s="206"/>
      <x:c r="AB72" s="206"/>
      <x:c r="AC72" s="206"/>
      <x:c r="AD72" s="206"/>
      <x:c r="AE72" s="206"/>
      <x:c r="AF72" s="206"/>
      <x:c r="AG72" s="206"/>
      <x:c r="AH72" s="206"/>
      <x:c r="AI72" s="206"/>
      <x:c r="AJ72" s="206"/>
      <x:c r="AK72" s="206"/>
      <x:c r="AL72" s="206"/>
      <x:c r="AM72" s="206"/>
      <x:c r="AN72" s="206"/>
      <x:c r="AO72" s="206"/>
      <x:c r="AP72" s="206"/>
      <x:c r="AQ72" s="206"/>
      <x:c r="AR72" s="206"/>
      <x:c r="AS72" s="206"/>
      <x:c r="AT72" s="206"/>
      <x:c r="AU72" s="206"/>
      <x:c r="AV72" s="206"/>
      <x:c r="AW72" s="206"/>
      <x:c r="AX72" s="206"/>
      <x:c r="AY72" s="206"/>
      <x:c r="AZ72" s="206"/>
    </x:row>
    <x:row r="73">
      <x:c r="G73" s="206"/>
      <x:c r="H73" s="206"/>
      <x:c r="I73" s="206"/>
      <x:c r="J73" s="206"/>
      <x:c r="K73" s="206"/>
      <x:c r="L73" s="206"/>
      <x:c r="M73" s="206"/>
      <x:c r="N73" s="206"/>
      <x:c r="O73" s="206"/>
      <x:c r="P73" s="206"/>
      <x:c r="Q73" s="206"/>
      <x:c r="R73" s="206"/>
      <x:c r="S73" s="206"/>
      <x:c r="T73" s="206"/>
      <x:c r="U73" s="206"/>
      <x:c r="V73" s="206"/>
      <x:c r="W73" s="206"/>
      <x:c r="X73" s="206"/>
      <x:c r="Y73" s="206"/>
      <x:c r="Z73" s="206"/>
      <x:c r="AA73" s="206"/>
      <x:c r="AB73" s="206"/>
      <x:c r="AC73" s="206"/>
      <x:c r="AD73" s="206"/>
      <x:c r="AE73" s="206"/>
      <x:c r="AF73" s="206"/>
      <x:c r="AG73" s="206"/>
      <x:c r="AH73" s="206"/>
      <x:c r="AI73" s="206"/>
      <x:c r="AJ73" s="206"/>
      <x:c r="AK73" s="206"/>
      <x:c r="AL73" s="206"/>
      <x:c r="AM73" s="206"/>
      <x:c r="AN73" s="206"/>
      <x:c r="AO73" s="206"/>
      <x:c r="AP73" s="206"/>
      <x:c r="AQ73" s="206"/>
      <x:c r="AR73" s="206"/>
      <x:c r="AS73" s="206"/>
      <x:c r="AT73" s="206"/>
      <x:c r="AU73" s="206"/>
      <x:c r="AV73" s="206"/>
      <x:c r="AW73" s="206"/>
      <x:c r="AX73" s="206"/>
      <x:c r="AY73" s="206"/>
      <x:c r="AZ73" s="206"/>
    </x:row>
    <x:row r="74">
      <x:c r="G74" s="206"/>
      <x:c r="H74" s="206"/>
      <x:c r="I74" s="206"/>
      <x:c r="J74" s="206"/>
      <x:c r="K74" s="206"/>
      <x:c r="L74" s="206"/>
      <x:c r="M74" s="206"/>
      <x:c r="N74" s="206"/>
      <x:c r="O74" s="206"/>
      <x:c r="P74" s="206"/>
      <x:c r="Q74" s="206"/>
      <x:c r="R74" s="206"/>
      <x:c r="S74" s="206"/>
      <x:c r="T74" s="206"/>
      <x:c r="U74" s="206"/>
      <x:c r="V74" s="206"/>
      <x:c r="W74" s="206"/>
      <x:c r="X74" s="206"/>
      <x:c r="Y74" s="206"/>
      <x:c r="Z74" s="206"/>
      <x:c r="AA74" s="206"/>
      <x:c r="AB74" s="206"/>
      <x:c r="AC74" s="206"/>
      <x:c r="AD74" s="206"/>
      <x:c r="AE74" s="206"/>
      <x:c r="AF74" s="206"/>
      <x:c r="AG74" s="206"/>
      <x:c r="AH74" s="206"/>
      <x:c r="AI74" s="206"/>
      <x:c r="AJ74" s="206"/>
      <x:c r="AK74" s="206"/>
      <x:c r="AL74" s="206"/>
      <x:c r="AM74" s="206"/>
      <x:c r="AN74" s="206"/>
      <x:c r="AO74" s="206"/>
      <x:c r="AP74" s="206"/>
      <x:c r="AQ74" s="206"/>
      <x:c r="AR74" s="206"/>
      <x:c r="AS74" s="206"/>
      <x:c r="AT74" s="206"/>
      <x:c r="AU74" s="206"/>
      <x:c r="AV74" s="206"/>
      <x:c r="AW74" s="206"/>
      <x:c r="AX74" s="206"/>
      <x:c r="AY74" s="206"/>
      <x:c r="AZ74" s="206"/>
    </x:row>
    <x:row r="75">
      <x:c r="G75" s="206"/>
      <x:c r="H75" s="206"/>
      <x:c r="I75" s="206"/>
      <x:c r="J75" s="206"/>
      <x:c r="K75" s="206"/>
      <x:c r="L75" s="206"/>
      <x:c r="M75" s="206"/>
      <x:c r="N75" s="206"/>
      <x:c r="O75" s="206"/>
      <x:c r="P75" s="206"/>
      <x:c r="Q75" s="206"/>
      <x:c r="R75" s="206"/>
      <x:c r="S75" s="206"/>
      <x:c r="T75" s="206"/>
      <x:c r="U75" s="206"/>
      <x:c r="V75" s="206"/>
      <x:c r="W75" s="206"/>
      <x:c r="X75" s="206"/>
      <x:c r="Y75" s="206"/>
      <x:c r="Z75" s="206"/>
      <x:c r="AA75" s="206"/>
      <x:c r="AB75" s="206"/>
      <x:c r="AC75" s="206"/>
      <x:c r="AD75" s="206"/>
      <x:c r="AE75" s="206"/>
      <x:c r="AF75" s="206"/>
      <x:c r="AG75" s="206"/>
      <x:c r="AH75" s="206"/>
      <x:c r="AI75" s="206"/>
      <x:c r="AJ75" s="206"/>
      <x:c r="AK75" s="206"/>
      <x:c r="AL75" s="206"/>
      <x:c r="AM75" s="206"/>
      <x:c r="AN75" s="206"/>
      <x:c r="AO75" s="206"/>
      <x:c r="AP75" s="206"/>
      <x:c r="AQ75" s="206"/>
      <x:c r="AR75" s="206"/>
      <x:c r="AS75" s="206"/>
      <x:c r="AT75" s="206"/>
      <x:c r="AU75" s="206"/>
      <x:c r="AV75" s="206"/>
      <x:c r="AW75" s="206"/>
      <x:c r="AX75" s="206"/>
      <x:c r="AY75" s="206"/>
      <x:c r="AZ75" s="206"/>
    </x:row>
    <x:row r="76">
      <x:c r="G76" s="206"/>
      <x:c r="H76" s="206"/>
      <x:c r="I76" s="206"/>
      <x:c r="J76" s="206"/>
      <x:c r="K76" s="206"/>
      <x:c r="L76" s="206"/>
      <x:c r="M76" s="206"/>
      <x:c r="N76" s="206"/>
      <x:c r="O76" s="206"/>
      <x:c r="P76" s="206"/>
      <x:c r="Q76" s="206"/>
      <x:c r="R76" s="206"/>
      <x:c r="S76" s="206"/>
      <x:c r="T76" s="206"/>
      <x:c r="U76" s="206"/>
      <x:c r="V76" s="206"/>
      <x:c r="W76" s="206"/>
      <x:c r="X76" s="206"/>
      <x:c r="Y76" s="206"/>
      <x:c r="Z76" s="206"/>
      <x:c r="AA76" s="206"/>
      <x:c r="AB76" s="206"/>
      <x:c r="AC76" s="206"/>
      <x:c r="AD76" s="206"/>
      <x:c r="AE76" s="206"/>
      <x:c r="AF76" s="206"/>
      <x:c r="AG76" s="206"/>
      <x:c r="AH76" s="206"/>
      <x:c r="AI76" s="206"/>
      <x:c r="AJ76" s="206"/>
      <x:c r="AK76" s="206"/>
      <x:c r="AL76" s="206"/>
      <x:c r="AM76" s="206"/>
      <x:c r="AN76" s="206"/>
      <x:c r="AO76" s="206"/>
      <x:c r="AP76" s="206"/>
      <x:c r="AQ76" s="206"/>
      <x:c r="AR76" s="206"/>
      <x:c r="AS76" s="206"/>
      <x:c r="AT76" s="206"/>
      <x:c r="AU76" s="206"/>
      <x:c r="AV76" s="206"/>
      <x:c r="AW76" s="206"/>
      <x:c r="AX76" s="206"/>
      <x:c r="AY76" s="206"/>
      <x:c r="AZ76" s="206"/>
    </x:row>
    <x:row r="77">
      <x:c r="G77" s="206"/>
      <x:c r="H77" s="206"/>
      <x:c r="I77" s="206"/>
      <x:c r="J77" s="206"/>
      <x:c r="K77" s="206"/>
      <x:c r="L77" s="206"/>
      <x:c r="M77" s="206"/>
      <x:c r="N77" s="206"/>
      <x:c r="O77" s="206"/>
      <x:c r="P77" s="206"/>
      <x:c r="Q77" s="206"/>
      <x:c r="R77" s="206"/>
      <x:c r="S77" s="206"/>
      <x:c r="T77" s="206"/>
      <x:c r="U77" s="206"/>
      <x:c r="V77" s="206"/>
      <x:c r="W77" s="206"/>
      <x:c r="X77" s="206"/>
      <x:c r="Y77" s="206"/>
      <x:c r="Z77" s="206"/>
      <x:c r="AA77" s="206"/>
      <x:c r="AB77" s="206"/>
      <x:c r="AC77" s="206"/>
      <x:c r="AD77" s="206"/>
      <x:c r="AE77" s="206"/>
      <x:c r="AF77" s="206"/>
      <x:c r="AG77" s="206"/>
      <x:c r="AH77" s="206"/>
      <x:c r="AI77" s="206"/>
      <x:c r="AJ77" s="206"/>
      <x:c r="AK77" s="206"/>
      <x:c r="AL77" s="206"/>
      <x:c r="AM77" s="206"/>
      <x:c r="AN77" s="206"/>
      <x:c r="AO77" s="206"/>
      <x:c r="AP77" s="206"/>
      <x:c r="AQ77" s="206"/>
      <x:c r="AR77" s="206"/>
      <x:c r="AS77" s="206"/>
      <x:c r="AT77" s="206"/>
      <x:c r="AU77" s="206"/>
      <x:c r="AV77" s="206"/>
      <x:c r="AW77" s="206"/>
      <x:c r="AX77" s="206"/>
      <x:c r="AY77" s="206"/>
      <x:c r="AZ77" s="206"/>
    </x:row>
    <x:row r="78">
      <x:c r="G78" s="206"/>
      <x:c r="H78" s="206"/>
      <x:c r="I78" s="206"/>
      <x:c r="J78" s="206"/>
      <x:c r="K78" s="206"/>
      <x:c r="L78" s="206"/>
      <x:c r="M78" s="206"/>
      <x:c r="N78" s="206"/>
      <x:c r="O78" s="206"/>
      <x:c r="P78" s="206"/>
      <x:c r="Q78" s="206"/>
      <x:c r="R78" s="206"/>
      <x:c r="S78" s="206"/>
      <x:c r="T78" s="206"/>
      <x:c r="U78" s="206"/>
      <x:c r="V78" s="206"/>
      <x:c r="W78" s="206"/>
      <x:c r="X78" s="206"/>
      <x:c r="Y78" s="206"/>
      <x:c r="Z78" s="206"/>
      <x:c r="AA78" s="206"/>
      <x:c r="AB78" s="206"/>
      <x:c r="AC78" s="206"/>
      <x:c r="AD78" s="206"/>
      <x:c r="AE78" s="206"/>
      <x:c r="AF78" s="206"/>
      <x:c r="AG78" s="206"/>
      <x:c r="AH78" s="206"/>
      <x:c r="AI78" s="206"/>
      <x:c r="AJ78" s="206"/>
      <x:c r="AK78" s="206"/>
      <x:c r="AL78" s="206"/>
      <x:c r="AM78" s="206"/>
      <x:c r="AN78" s="206"/>
      <x:c r="AO78" s="206"/>
      <x:c r="AP78" s="206"/>
      <x:c r="AQ78" s="206"/>
      <x:c r="AR78" s="206"/>
      <x:c r="AS78" s="206"/>
      <x:c r="AT78" s="206"/>
      <x:c r="AU78" s="206"/>
      <x:c r="AV78" s="206"/>
      <x:c r="AW78" s="206"/>
      <x:c r="AX78" s="206"/>
      <x:c r="AY78" s="206"/>
      <x:c r="AZ78" s="206"/>
    </x:row>
    <x:row r="79">
      <x:c r="G79" s="206"/>
      <x:c r="H79" s="206"/>
      <x:c r="I79" s="206"/>
      <x:c r="J79" s="206"/>
      <x:c r="K79" s="206"/>
      <x:c r="L79" s="206"/>
      <x:c r="M79" s="206"/>
      <x:c r="N79" s="206"/>
      <x:c r="O79" s="206"/>
      <x:c r="P79" s="206"/>
      <x:c r="Q79" s="206"/>
      <x:c r="R79" s="206"/>
      <x:c r="S79" s="206"/>
      <x:c r="T79" s="206"/>
      <x:c r="U79" s="206"/>
      <x:c r="V79" s="206"/>
      <x:c r="W79" s="206"/>
      <x:c r="X79" s="206"/>
      <x:c r="Y79" s="206"/>
      <x:c r="Z79" s="206"/>
      <x:c r="AA79" s="206"/>
      <x:c r="AB79" s="206"/>
      <x:c r="AC79" s="206"/>
      <x:c r="AD79" s="206"/>
      <x:c r="AE79" s="206"/>
      <x:c r="AF79" s="206"/>
      <x:c r="AG79" s="206"/>
      <x:c r="AH79" s="206"/>
      <x:c r="AI79" s="206"/>
      <x:c r="AJ79" s="206"/>
      <x:c r="AK79" s="206"/>
      <x:c r="AL79" s="206"/>
      <x:c r="AM79" s="206"/>
      <x:c r="AN79" s="206"/>
      <x:c r="AO79" s="206"/>
      <x:c r="AP79" s="206"/>
      <x:c r="AQ79" s="206"/>
      <x:c r="AR79" s="206"/>
      <x:c r="AS79" s="206"/>
      <x:c r="AT79" s="206"/>
      <x:c r="AU79" s="206"/>
      <x:c r="AV79" s="206"/>
      <x:c r="AW79" s="206"/>
      <x:c r="AX79" s="206"/>
      <x:c r="AY79" s="206"/>
      <x:c r="AZ79" s="206"/>
    </x:row>
    <x:row r="80">
      <x:c r="G80" s="206"/>
      <x:c r="H80" s="206"/>
      <x:c r="I80" s="206"/>
      <x:c r="J80" s="206"/>
      <x:c r="K80" s="206"/>
      <x:c r="L80" s="206"/>
      <x:c r="M80" s="206"/>
      <x:c r="N80" s="206"/>
      <x:c r="O80" s="206"/>
      <x:c r="P80" s="206"/>
      <x:c r="Q80" s="206"/>
      <x:c r="R80" s="206"/>
      <x:c r="S80" s="206"/>
      <x:c r="T80" s="206"/>
      <x:c r="U80" s="206"/>
      <x:c r="V80" s="206"/>
      <x:c r="W80" s="206"/>
      <x:c r="X80" s="206"/>
      <x:c r="Y80" s="206"/>
      <x:c r="Z80" s="206"/>
      <x:c r="AA80" s="206"/>
      <x:c r="AB80" s="206"/>
      <x:c r="AC80" s="206"/>
      <x:c r="AD80" s="206"/>
      <x:c r="AE80" s="206"/>
      <x:c r="AF80" s="206"/>
      <x:c r="AG80" s="206"/>
      <x:c r="AH80" s="206"/>
      <x:c r="AI80" s="206"/>
      <x:c r="AJ80" s="206"/>
      <x:c r="AK80" s="206"/>
      <x:c r="AL80" s="206"/>
      <x:c r="AM80" s="206"/>
      <x:c r="AN80" s="206"/>
      <x:c r="AO80" s="206"/>
      <x:c r="AP80" s="206"/>
      <x:c r="AQ80" s="206"/>
      <x:c r="AR80" s="206"/>
      <x:c r="AS80" s="206"/>
      <x:c r="AT80" s="206"/>
      <x:c r="AU80" s="206"/>
      <x:c r="AV80" s="206"/>
      <x:c r="AW80" s="206"/>
      <x:c r="AX80" s="206"/>
      <x:c r="AY80" s="206"/>
      <x:c r="AZ80" s="206"/>
    </x:row>
    <x:row r="81">
      <x:c r="G81" s="206"/>
      <x:c r="H81" s="206"/>
      <x:c r="I81" s="206"/>
      <x:c r="J81" s="206"/>
      <x:c r="K81" s="206"/>
      <x:c r="L81" s="206"/>
      <x:c r="M81" s="206"/>
      <x:c r="N81" s="206"/>
      <x:c r="O81" s="206"/>
      <x:c r="P81" s="206"/>
      <x:c r="Q81" s="206"/>
      <x:c r="R81" s="206"/>
      <x:c r="S81" s="206"/>
      <x:c r="T81" s="206"/>
      <x:c r="U81" s="206"/>
      <x:c r="V81" s="206"/>
      <x:c r="W81" s="206"/>
      <x:c r="X81" s="206"/>
      <x:c r="Y81" s="206"/>
      <x:c r="Z81" s="206"/>
      <x:c r="AA81" s="206"/>
      <x:c r="AB81" s="206"/>
      <x:c r="AC81" s="206"/>
      <x:c r="AD81" s="206"/>
      <x:c r="AE81" s="206"/>
      <x:c r="AF81" s="206"/>
      <x:c r="AG81" s="206"/>
      <x:c r="AH81" s="206"/>
      <x:c r="AI81" s="206"/>
      <x:c r="AJ81" s="206"/>
      <x:c r="AK81" s="206"/>
      <x:c r="AL81" s="206"/>
      <x:c r="AM81" s="206"/>
      <x:c r="AN81" s="206"/>
      <x:c r="AO81" s="206"/>
      <x:c r="AP81" s="206"/>
      <x:c r="AQ81" s="206"/>
      <x:c r="AR81" s="206"/>
      <x:c r="AS81" s="206"/>
      <x:c r="AT81" s="206"/>
      <x:c r="AU81" s="206"/>
      <x:c r="AV81" s="206"/>
      <x:c r="AW81" s="206"/>
      <x:c r="AX81" s="206"/>
      <x:c r="AY81" s="206"/>
      <x:c r="AZ81" s="206"/>
    </x:row>
    <x:row r="82">
      <x:c r="G82" s="206"/>
      <x:c r="H82" s="206"/>
      <x:c r="I82" s="206"/>
      <x:c r="J82" s="206"/>
      <x:c r="K82" s="206"/>
      <x:c r="L82" s="206"/>
      <x:c r="M82" s="206"/>
      <x:c r="N82" s="206"/>
      <x:c r="O82" s="206"/>
      <x:c r="P82" s="206"/>
      <x:c r="Q82" s="206"/>
      <x:c r="R82" s="206"/>
      <x:c r="S82" s="206"/>
      <x:c r="T82" s="206"/>
      <x:c r="U82" s="206"/>
      <x:c r="V82" s="206"/>
      <x:c r="W82" s="206"/>
      <x:c r="X82" s="206"/>
      <x:c r="Y82" s="206"/>
      <x:c r="Z82" s="206"/>
      <x:c r="AA82" s="206"/>
      <x:c r="AB82" s="206"/>
      <x:c r="AC82" s="206"/>
      <x:c r="AD82" s="206"/>
      <x:c r="AE82" s="206"/>
      <x:c r="AF82" s="206"/>
      <x:c r="AG82" s="206"/>
      <x:c r="AH82" s="206"/>
      <x:c r="AI82" s="206"/>
      <x:c r="AJ82" s="206"/>
      <x:c r="AK82" s="206"/>
      <x:c r="AL82" s="206"/>
      <x:c r="AM82" s="206"/>
      <x:c r="AN82" s="206"/>
      <x:c r="AO82" s="206"/>
      <x:c r="AP82" s="206"/>
      <x:c r="AQ82" s="206"/>
      <x:c r="AR82" s="206"/>
      <x:c r="AS82" s="206"/>
      <x:c r="AT82" s="206"/>
      <x:c r="AU82" s="206"/>
      <x:c r="AV82" s="206"/>
      <x:c r="AW82" s="206"/>
      <x:c r="AX82" s="206"/>
      <x:c r="AY82" s="206"/>
      <x:c r="AZ82" s="206"/>
    </x:row>
    <x:row r="83">
      <x:c r="G83" s="206"/>
      <x:c r="H83" s="206"/>
      <x:c r="I83" s="206"/>
      <x:c r="J83" s="206"/>
      <x:c r="K83" s="206"/>
      <x:c r="L83" s="206"/>
      <x:c r="M83" s="206"/>
      <x:c r="N83" s="206"/>
      <x:c r="O83" s="206"/>
      <x:c r="P83" s="206"/>
      <x:c r="Q83" s="206"/>
      <x:c r="R83" s="206"/>
      <x:c r="S83" s="206"/>
      <x:c r="T83" s="206"/>
      <x:c r="U83" s="206"/>
      <x:c r="V83" s="206"/>
      <x:c r="W83" s="206"/>
      <x:c r="X83" s="206"/>
      <x:c r="Y83" s="206"/>
      <x:c r="Z83" s="206"/>
      <x:c r="AA83" s="206"/>
      <x:c r="AB83" s="206"/>
      <x:c r="AC83" s="206"/>
      <x:c r="AD83" s="206"/>
      <x:c r="AE83" s="206"/>
      <x:c r="AF83" s="206"/>
      <x:c r="AG83" s="206"/>
      <x:c r="AH83" s="206"/>
      <x:c r="AI83" s="206"/>
      <x:c r="AJ83" s="206"/>
      <x:c r="AK83" s="206"/>
      <x:c r="AL83" s="206"/>
      <x:c r="AM83" s="206"/>
      <x:c r="AN83" s="206"/>
      <x:c r="AO83" s="206"/>
      <x:c r="AP83" s="206"/>
      <x:c r="AQ83" s="206"/>
      <x:c r="AR83" s="206"/>
      <x:c r="AS83" s="206"/>
      <x:c r="AT83" s="206"/>
      <x:c r="AU83" s="206"/>
      <x:c r="AV83" s="206"/>
      <x:c r="AW83" s="206"/>
      <x:c r="AX83" s="206"/>
      <x:c r="AY83" s="206"/>
      <x:c r="AZ83" s="206"/>
    </x:row>
    <x:row r="84">
      <x:c r="G84" s="206"/>
      <x:c r="H84" s="206"/>
      <x:c r="I84" s="206"/>
      <x:c r="J84" s="206"/>
      <x:c r="K84" s="206"/>
      <x:c r="L84" s="206"/>
      <x:c r="M84" s="206"/>
      <x:c r="N84" s="206"/>
      <x:c r="O84" s="206"/>
      <x:c r="P84" s="206"/>
      <x:c r="Q84" s="206"/>
      <x:c r="R84" s="206"/>
      <x:c r="S84" s="206"/>
      <x:c r="T84" s="206"/>
      <x:c r="U84" s="206"/>
      <x:c r="V84" s="206"/>
      <x:c r="W84" s="206"/>
      <x:c r="X84" s="206"/>
      <x:c r="Y84" s="206"/>
      <x:c r="Z84" s="206"/>
      <x:c r="AA84" s="206"/>
      <x:c r="AB84" s="206"/>
      <x:c r="AC84" s="206"/>
      <x:c r="AD84" s="206"/>
      <x:c r="AE84" s="206"/>
      <x:c r="AF84" s="206"/>
      <x:c r="AG84" s="206"/>
      <x:c r="AH84" s="206"/>
      <x:c r="AI84" s="206"/>
      <x:c r="AJ84" s="206"/>
      <x:c r="AK84" s="206"/>
      <x:c r="AL84" s="206"/>
      <x:c r="AM84" s="206"/>
      <x:c r="AN84" s="206"/>
      <x:c r="AO84" s="206"/>
      <x:c r="AP84" s="206"/>
      <x:c r="AQ84" s="206"/>
      <x:c r="AR84" s="206"/>
      <x:c r="AS84" s="206"/>
      <x:c r="AT84" s="206"/>
      <x:c r="AU84" s="206"/>
      <x:c r="AV84" s="206"/>
      <x:c r="AW84" s="206"/>
      <x:c r="AX84" s="206"/>
      <x:c r="AY84" s="206"/>
      <x:c r="AZ84" s="206"/>
    </x:row>
    <x:row r="85">
      <x:c r="G85" s="206"/>
      <x:c r="H85" s="206"/>
      <x:c r="I85" s="206"/>
      <x:c r="J85" s="206"/>
      <x:c r="K85" s="206"/>
      <x:c r="L85" s="206"/>
      <x:c r="M85" s="206"/>
      <x:c r="N85" s="206"/>
      <x:c r="O85" s="206"/>
      <x:c r="P85" s="206"/>
      <x:c r="Q85" s="206"/>
      <x:c r="R85" s="206"/>
      <x:c r="S85" s="206"/>
      <x:c r="T85" s="206"/>
      <x:c r="U85" s="206"/>
      <x:c r="V85" s="206"/>
      <x:c r="W85" s="206"/>
      <x:c r="X85" s="206"/>
      <x:c r="Y85" s="206"/>
      <x:c r="Z85" s="206"/>
      <x:c r="AA85" s="206"/>
      <x:c r="AB85" s="206"/>
      <x:c r="AC85" s="206"/>
      <x:c r="AD85" s="206"/>
      <x:c r="AE85" s="206"/>
      <x:c r="AF85" s="206"/>
      <x:c r="AG85" s="206"/>
      <x:c r="AH85" s="206"/>
      <x:c r="AI85" s="206"/>
      <x:c r="AJ85" s="206"/>
      <x:c r="AK85" s="206"/>
      <x:c r="AL85" s="206"/>
      <x:c r="AM85" s="206"/>
      <x:c r="AN85" s="206"/>
      <x:c r="AO85" s="206"/>
      <x:c r="AP85" s="206"/>
      <x:c r="AQ85" s="206"/>
      <x:c r="AR85" s="206"/>
      <x:c r="AS85" s="206"/>
      <x:c r="AT85" s="206"/>
      <x:c r="AU85" s="206"/>
      <x:c r="AV85" s="206"/>
      <x:c r="AW85" s="206"/>
      <x:c r="AX85" s="206"/>
      <x:c r="AY85" s="206"/>
      <x:c r="AZ85" s="206"/>
    </x:row>
    <x:row r="86">
      <x:c r="G86" s="206"/>
      <x:c r="H86" s="206"/>
      <x:c r="I86" s="206"/>
      <x:c r="J86" s="206"/>
      <x:c r="K86" s="206"/>
      <x:c r="L86" s="206"/>
      <x:c r="M86" s="206"/>
      <x:c r="N86" s="206"/>
      <x:c r="O86" s="206"/>
      <x:c r="P86" s="206"/>
      <x:c r="Q86" s="206"/>
      <x:c r="R86" s="206"/>
      <x:c r="S86" s="206"/>
      <x:c r="T86" s="206"/>
      <x:c r="U86" s="206"/>
      <x:c r="V86" s="206"/>
      <x:c r="W86" s="206"/>
      <x:c r="X86" s="206"/>
      <x:c r="Y86" s="206"/>
      <x:c r="Z86" s="206"/>
      <x:c r="AA86" s="206"/>
      <x:c r="AB86" s="206"/>
      <x:c r="AC86" s="206"/>
      <x:c r="AD86" s="206"/>
      <x:c r="AE86" s="206"/>
      <x:c r="AF86" s="206"/>
      <x:c r="AG86" s="206"/>
      <x:c r="AH86" s="206"/>
      <x:c r="AI86" s="206"/>
      <x:c r="AJ86" s="206"/>
      <x:c r="AK86" s="206"/>
      <x:c r="AL86" s="206"/>
      <x:c r="AM86" s="206"/>
      <x:c r="AN86" s="206"/>
      <x:c r="AO86" s="206"/>
      <x:c r="AP86" s="206"/>
      <x:c r="AQ86" s="206"/>
      <x:c r="AR86" s="206"/>
      <x:c r="AS86" s="206"/>
      <x:c r="AT86" s="206"/>
      <x:c r="AU86" s="206"/>
      <x:c r="AV86" s="206"/>
      <x:c r="AW86" s="206"/>
      <x:c r="AX86" s="206"/>
      <x:c r="AY86" s="206"/>
      <x:c r="AZ86" s="206"/>
    </x:row>
    <x:row r="87">
      <x:c r="G87" s="206"/>
      <x:c r="H87" s="206"/>
      <x:c r="I87" s="206"/>
      <x:c r="J87" s="206"/>
      <x:c r="K87" s="206"/>
      <x:c r="L87" s="206"/>
      <x:c r="M87" s="206"/>
      <x:c r="N87" s="206"/>
      <x:c r="O87" s="206"/>
      <x:c r="P87" s="206"/>
      <x:c r="Q87" s="206"/>
      <x:c r="R87" s="206"/>
      <x:c r="S87" s="206"/>
      <x:c r="T87" s="206"/>
      <x:c r="U87" s="206"/>
      <x:c r="V87" s="206"/>
      <x:c r="W87" s="206"/>
      <x:c r="X87" s="206"/>
      <x:c r="Y87" s="206"/>
      <x:c r="Z87" s="206"/>
      <x:c r="AA87" s="206"/>
      <x:c r="AB87" s="206"/>
      <x:c r="AC87" s="206"/>
      <x:c r="AD87" s="206"/>
      <x:c r="AE87" s="206"/>
      <x:c r="AF87" s="206"/>
      <x:c r="AG87" s="206"/>
      <x:c r="AH87" s="206"/>
      <x:c r="AI87" s="206"/>
      <x:c r="AJ87" s="206"/>
      <x:c r="AK87" s="206"/>
      <x:c r="AL87" s="206"/>
      <x:c r="AM87" s="206"/>
      <x:c r="AN87" s="206"/>
      <x:c r="AO87" s="206"/>
      <x:c r="AP87" s="206"/>
      <x:c r="AQ87" s="206"/>
      <x:c r="AR87" s="206"/>
      <x:c r="AS87" s="206"/>
      <x:c r="AT87" s="206"/>
      <x:c r="AU87" s="206"/>
      <x:c r="AV87" s="206"/>
      <x:c r="AW87" s="206"/>
      <x:c r="AX87" s="206"/>
      <x:c r="AY87" s="206"/>
      <x:c r="AZ87" s="206"/>
    </x:row>
    <x:row r="88">
      <x:c r="G88" s="206"/>
      <x:c r="H88" s="206"/>
      <x:c r="I88" s="206"/>
      <x:c r="J88" s="206"/>
      <x:c r="K88" s="206"/>
      <x:c r="L88" s="206"/>
      <x:c r="M88" s="206"/>
      <x:c r="N88" s="206"/>
      <x:c r="O88" s="206"/>
      <x:c r="P88" s="206"/>
      <x:c r="Q88" s="206"/>
      <x:c r="R88" s="206"/>
      <x:c r="S88" s="206"/>
      <x:c r="T88" s="206"/>
      <x:c r="U88" s="206"/>
      <x:c r="V88" s="206"/>
      <x:c r="W88" s="206"/>
      <x:c r="X88" s="206"/>
      <x:c r="Y88" s="206"/>
      <x:c r="Z88" s="206"/>
      <x:c r="AA88" s="206"/>
      <x:c r="AB88" s="206"/>
      <x:c r="AC88" s="206"/>
      <x:c r="AD88" s="206"/>
      <x:c r="AE88" s="206"/>
      <x:c r="AF88" s="206"/>
      <x:c r="AG88" s="206"/>
      <x:c r="AH88" s="206"/>
      <x:c r="AI88" s="206"/>
      <x:c r="AJ88" s="206"/>
      <x:c r="AK88" s="206"/>
      <x:c r="AL88" s="206"/>
      <x:c r="AM88" s="206"/>
      <x:c r="AN88" s="206"/>
      <x:c r="AO88" s="206"/>
      <x:c r="AP88" s="206"/>
      <x:c r="AQ88" s="206"/>
      <x:c r="AR88" s="206"/>
      <x:c r="AS88" s="206"/>
      <x:c r="AT88" s="206"/>
      <x:c r="AU88" s="206"/>
      <x:c r="AV88" s="206"/>
      <x:c r="AW88" s="206"/>
      <x:c r="AX88" s="206"/>
      <x:c r="AY88" s="206"/>
      <x:c r="AZ88" s="206"/>
    </x:row>
    <x:row r="89">
      <x:c r="G89" s="206"/>
      <x:c r="H89" s="206"/>
      <x:c r="I89" s="206"/>
      <x:c r="J89" s="206"/>
      <x:c r="K89" s="206"/>
      <x:c r="L89" s="206"/>
      <x:c r="M89" s="206"/>
      <x:c r="N89" s="206"/>
      <x:c r="O89" s="206"/>
      <x:c r="P89" s="206"/>
      <x:c r="Q89" s="206"/>
      <x:c r="R89" s="206"/>
      <x:c r="S89" s="206"/>
      <x:c r="T89" s="206"/>
      <x:c r="U89" s="206"/>
      <x:c r="V89" s="206"/>
      <x:c r="W89" s="206"/>
      <x:c r="X89" s="206"/>
      <x:c r="Y89" s="206"/>
      <x:c r="Z89" s="206"/>
      <x:c r="AA89" s="206"/>
      <x:c r="AB89" s="206"/>
      <x:c r="AC89" s="206"/>
      <x:c r="AD89" s="206"/>
      <x:c r="AE89" s="206"/>
      <x:c r="AF89" s="206"/>
      <x:c r="AG89" s="206"/>
      <x:c r="AH89" s="206"/>
      <x:c r="AI89" s="206"/>
      <x:c r="AJ89" s="206"/>
      <x:c r="AK89" s="206"/>
      <x:c r="AL89" s="206"/>
      <x:c r="AM89" s="206"/>
      <x:c r="AN89" s="206"/>
      <x:c r="AO89" s="206"/>
      <x:c r="AP89" s="206"/>
      <x:c r="AQ89" s="206"/>
      <x:c r="AR89" s="206"/>
      <x:c r="AS89" s="206"/>
      <x:c r="AT89" s="206"/>
      <x:c r="AU89" s="206"/>
      <x:c r="AV89" s="206"/>
      <x:c r="AW89" s="206"/>
      <x:c r="AX89" s="206"/>
      <x:c r="AY89" s="206"/>
      <x:c r="AZ89" s="206"/>
    </x:row>
    <x:row r="90">
      <x:c r="G90" s="206"/>
      <x:c r="H90" s="206"/>
      <x:c r="I90" s="206"/>
      <x:c r="J90" s="206"/>
      <x:c r="K90" s="206"/>
      <x:c r="L90" s="206"/>
      <x:c r="M90" s="206"/>
      <x:c r="N90" s="206"/>
      <x:c r="O90" s="206"/>
      <x:c r="P90" s="206"/>
      <x:c r="Q90" s="206"/>
      <x:c r="R90" s="206"/>
      <x:c r="S90" s="206"/>
      <x:c r="T90" s="206"/>
      <x:c r="U90" s="206"/>
      <x:c r="V90" s="206"/>
      <x:c r="W90" s="206"/>
      <x:c r="X90" s="206"/>
      <x:c r="Y90" s="206"/>
      <x:c r="Z90" s="206"/>
      <x:c r="AA90" s="206"/>
      <x:c r="AB90" s="206"/>
      <x:c r="AC90" s="206"/>
      <x:c r="AD90" s="206"/>
      <x:c r="AE90" s="206"/>
      <x:c r="AF90" s="206"/>
      <x:c r="AG90" s="206"/>
      <x:c r="AH90" s="206"/>
      <x:c r="AI90" s="206"/>
      <x:c r="AJ90" s="206"/>
      <x:c r="AK90" s="206"/>
      <x:c r="AL90" s="206"/>
      <x:c r="AM90" s="206"/>
      <x:c r="AN90" s="206"/>
      <x:c r="AO90" s="206"/>
      <x:c r="AP90" s="206"/>
      <x:c r="AQ90" s="206"/>
      <x:c r="AR90" s="206"/>
      <x:c r="AS90" s="206"/>
      <x:c r="AT90" s="206"/>
      <x:c r="AU90" s="206"/>
      <x:c r="AV90" s="206"/>
      <x:c r="AW90" s="206"/>
      <x:c r="AX90" s="206"/>
      <x:c r="AY90" s="206"/>
      <x:c r="AZ90" s="206"/>
    </x:row>
    <x:row r="91">
      <x:c r="G91" s="206"/>
      <x:c r="H91" s="206"/>
      <x:c r="I91" s="206"/>
      <x:c r="J91" s="206"/>
      <x:c r="K91" s="206"/>
      <x:c r="L91" s="206"/>
      <x:c r="M91" s="206"/>
      <x:c r="N91" s="206"/>
      <x:c r="O91" s="206"/>
      <x:c r="P91" s="206"/>
      <x:c r="Q91" s="206"/>
      <x:c r="R91" s="206"/>
      <x:c r="S91" s="206"/>
      <x:c r="T91" s="206"/>
      <x:c r="U91" s="206"/>
      <x:c r="V91" s="206"/>
      <x:c r="W91" s="206"/>
      <x:c r="X91" s="206"/>
      <x:c r="Y91" s="206"/>
      <x:c r="Z91" s="206"/>
      <x:c r="AA91" s="206"/>
      <x:c r="AB91" s="206"/>
      <x:c r="AC91" s="206"/>
      <x:c r="AD91" s="206"/>
      <x:c r="AE91" s="206"/>
      <x:c r="AF91" s="206"/>
      <x:c r="AG91" s="206"/>
      <x:c r="AH91" s="206"/>
      <x:c r="AI91" s="206"/>
      <x:c r="AJ91" s="206"/>
      <x:c r="AK91" s="206"/>
      <x:c r="AL91" s="206"/>
      <x:c r="AM91" s="206"/>
      <x:c r="AN91" s="206"/>
      <x:c r="AO91" s="206"/>
      <x:c r="AP91" s="206"/>
      <x:c r="AQ91" s="206"/>
      <x:c r="AR91" s="206"/>
      <x:c r="AS91" s="206"/>
      <x:c r="AT91" s="206"/>
      <x:c r="AU91" s="206"/>
      <x:c r="AV91" s="206"/>
      <x:c r="AW91" s="206"/>
      <x:c r="AX91" s="206"/>
      <x:c r="AY91" s="206"/>
      <x:c r="AZ91" s="206"/>
    </x:row>
    <x:row r="92">
      <x:c r="G92" s="206"/>
      <x:c r="H92" s="206"/>
      <x:c r="I92" s="206"/>
      <x:c r="J92" s="206"/>
      <x:c r="K92" s="206"/>
      <x:c r="L92" s="206"/>
      <x:c r="M92" s="206"/>
      <x:c r="N92" s="206"/>
      <x:c r="O92" s="206"/>
      <x:c r="P92" s="206"/>
      <x:c r="Q92" s="206"/>
      <x:c r="R92" s="206"/>
      <x:c r="S92" s="206"/>
      <x:c r="T92" s="206"/>
      <x:c r="U92" s="206"/>
      <x:c r="V92" s="206"/>
      <x:c r="W92" s="206"/>
      <x:c r="X92" s="206"/>
      <x:c r="Y92" s="206"/>
      <x:c r="Z92" s="206"/>
      <x:c r="AA92" s="206"/>
      <x:c r="AB92" s="206"/>
      <x:c r="AC92" s="206"/>
      <x:c r="AD92" s="206"/>
      <x:c r="AE92" s="206"/>
      <x:c r="AF92" s="206"/>
      <x:c r="AG92" s="206"/>
      <x:c r="AH92" s="206"/>
      <x:c r="AI92" s="206"/>
      <x:c r="AJ92" s="206"/>
      <x:c r="AK92" s="206"/>
      <x:c r="AL92" s="206"/>
      <x:c r="AM92" s="206"/>
      <x:c r="AN92" s="206"/>
      <x:c r="AO92" s="206"/>
      <x:c r="AP92" s="206"/>
      <x:c r="AQ92" s="206"/>
      <x:c r="AR92" s="206"/>
      <x:c r="AS92" s="206"/>
      <x:c r="AT92" s="206"/>
      <x:c r="AU92" s="206"/>
      <x:c r="AV92" s="206"/>
      <x:c r="AW92" s="206"/>
      <x:c r="AX92" s="206"/>
      <x:c r="AY92" s="206"/>
      <x:c r="AZ92" s="206"/>
    </x:row>
    <x:row r="93">
      <x:c r="G93" s="206"/>
      <x:c r="H93" s="206"/>
      <x:c r="I93" s="206"/>
      <x:c r="J93" s="206"/>
      <x:c r="K93" s="206"/>
      <x:c r="L93" s="206"/>
      <x:c r="M93" s="206"/>
      <x:c r="N93" s="206"/>
      <x:c r="O93" s="206"/>
      <x:c r="P93" s="206"/>
      <x:c r="Q93" s="206"/>
      <x:c r="R93" s="206"/>
      <x:c r="S93" s="206"/>
      <x:c r="T93" s="206"/>
      <x:c r="U93" s="206"/>
      <x:c r="V93" s="206"/>
      <x:c r="W93" s="206"/>
      <x:c r="X93" s="206"/>
      <x:c r="Y93" s="206"/>
      <x:c r="Z93" s="206"/>
      <x:c r="AA93" s="206"/>
      <x:c r="AB93" s="206"/>
      <x:c r="AC93" s="206"/>
      <x:c r="AD93" s="206"/>
      <x:c r="AE93" s="206"/>
      <x:c r="AF93" s="206"/>
      <x:c r="AG93" s="206"/>
      <x:c r="AH93" s="206"/>
      <x:c r="AI93" s="206"/>
      <x:c r="AJ93" s="206"/>
      <x:c r="AK93" s="206"/>
      <x:c r="AL93" s="206"/>
      <x:c r="AM93" s="206"/>
      <x:c r="AN93" s="206"/>
      <x:c r="AO93" s="206"/>
      <x:c r="AP93" s="206"/>
      <x:c r="AQ93" s="206"/>
      <x:c r="AR93" s="206"/>
      <x:c r="AS93" s="206"/>
      <x:c r="AT93" s="206"/>
      <x:c r="AU93" s="206"/>
      <x:c r="AV93" s="206"/>
      <x:c r="AW93" s="206"/>
      <x:c r="AX93" s="206"/>
      <x:c r="AY93" s="206"/>
      <x:c r="AZ93" s="206"/>
    </x:row>
    <x:row r="94">
      <x:c r="G94" s="206"/>
      <x:c r="H94" s="206"/>
      <x:c r="I94" s="206"/>
      <x:c r="J94" s="206"/>
      <x:c r="K94" s="206"/>
      <x:c r="L94" s="206"/>
      <x:c r="M94" s="206"/>
      <x:c r="N94" s="206"/>
      <x:c r="O94" s="206"/>
      <x:c r="P94" s="206"/>
      <x:c r="Q94" s="206"/>
      <x:c r="R94" s="206"/>
      <x:c r="S94" s="206"/>
      <x:c r="T94" s="206"/>
      <x:c r="U94" s="206"/>
      <x:c r="V94" s="206"/>
      <x:c r="W94" s="206"/>
      <x:c r="X94" s="206"/>
      <x:c r="Y94" s="206"/>
      <x:c r="Z94" s="206"/>
      <x:c r="AA94" s="206"/>
      <x:c r="AB94" s="206"/>
      <x:c r="AC94" s="206"/>
      <x:c r="AD94" s="206"/>
      <x:c r="AE94" s="206"/>
      <x:c r="AF94" s="206"/>
      <x:c r="AG94" s="206"/>
      <x:c r="AH94" s="206"/>
      <x:c r="AI94" s="206"/>
      <x:c r="AJ94" s="206"/>
      <x:c r="AK94" s="206"/>
      <x:c r="AL94" s="206"/>
      <x:c r="AM94" s="206"/>
      <x:c r="AN94" s="206"/>
      <x:c r="AO94" s="206"/>
      <x:c r="AP94" s="206"/>
      <x:c r="AQ94" s="206"/>
      <x:c r="AR94" s="206"/>
      <x:c r="AS94" s="206"/>
      <x:c r="AT94" s="206"/>
      <x:c r="AU94" s="206"/>
      <x:c r="AV94" s="206"/>
      <x:c r="AW94" s="206"/>
      <x:c r="AX94" s="206"/>
      <x:c r="AY94" s="206"/>
      <x:c r="AZ94" s="206"/>
    </x:row>
    <x:row r="95">
      <x:c r="G95" s="206"/>
      <x:c r="H95" s="206"/>
      <x:c r="I95" s="206"/>
      <x:c r="J95" s="206"/>
      <x:c r="K95" s="206"/>
      <x:c r="L95" s="206"/>
      <x:c r="M95" s="206"/>
      <x:c r="N95" s="206"/>
      <x:c r="O95" s="206"/>
      <x:c r="P95" s="206"/>
      <x:c r="Q95" s="206"/>
      <x:c r="R95" s="206"/>
      <x:c r="S95" s="206"/>
      <x:c r="T95" s="206"/>
      <x:c r="U95" s="206"/>
      <x:c r="V95" s="206"/>
      <x:c r="W95" s="206"/>
      <x:c r="X95" s="206"/>
      <x:c r="Y95" s="206"/>
      <x:c r="Z95" s="206"/>
      <x:c r="AA95" s="206"/>
      <x:c r="AB95" s="206"/>
      <x:c r="AC95" s="206"/>
      <x:c r="AD95" s="206"/>
      <x:c r="AE95" s="206"/>
      <x:c r="AF95" s="206"/>
      <x:c r="AG95" s="206"/>
      <x:c r="AH95" s="206"/>
      <x:c r="AI95" s="206"/>
      <x:c r="AJ95" s="206"/>
      <x:c r="AK95" s="206"/>
      <x:c r="AL95" s="206"/>
      <x:c r="AM95" s="206"/>
      <x:c r="AN95" s="206"/>
      <x:c r="AO95" s="206"/>
      <x:c r="AP95" s="206"/>
      <x:c r="AQ95" s="206"/>
      <x:c r="AR95" s="206"/>
      <x:c r="AS95" s="206"/>
      <x:c r="AT95" s="206"/>
      <x:c r="AU95" s="206"/>
      <x:c r="AV95" s="206"/>
      <x:c r="AW95" s="206"/>
      <x:c r="AX95" s="206"/>
      <x:c r="AY95" s="206"/>
      <x:c r="AZ95" s="206"/>
    </x:row>
    <x:row r="96">
      <x:c r="G96" s="206"/>
      <x:c r="H96" s="206"/>
      <x:c r="I96" s="206"/>
      <x:c r="J96" s="206"/>
      <x:c r="K96" s="206"/>
      <x:c r="L96" s="206"/>
      <x:c r="M96" s="206"/>
      <x:c r="N96" s="206"/>
      <x:c r="O96" s="206"/>
      <x:c r="P96" s="206"/>
      <x:c r="Q96" s="206"/>
      <x:c r="R96" s="206"/>
      <x:c r="S96" s="206"/>
      <x:c r="T96" s="206"/>
      <x:c r="U96" s="206"/>
      <x:c r="V96" s="206"/>
      <x:c r="W96" s="206"/>
      <x:c r="X96" s="206"/>
      <x:c r="Y96" s="206"/>
      <x:c r="Z96" s="206"/>
      <x:c r="AA96" s="206"/>
      <x:c r="AB96" s="206"/>
      <x:c r="AC96" s="206"/>
      <x:c r="AD96" s="206"/>
      <x:c r="AE96" s="206"/>
      <x:c r="AF96" s="206"/>
      <x:c r="AG96" s="206"/>
      <x:c r="AH96" s="206"/>
      <x:c r="AI96" s="206"/>
      <x:c r="AJ96" s="206"/>
      <x:c r="AK96" s="206"/>
      <x:c r="AL96" s="206"/>
      <x:c r="AM96" s="206"/>
      <x:c r="AN96" s="206"/>
      <x:c r="AO96" s="206"/>
      <x:c r="AP96" s="206"/>
      <x:c r="AQ96" s="206"/>
      <x:c r="AR96" s="206"/>
      <x:c r="AS96" s="206"/>
      <x:c r="AT96" s="206"/>
      <x:c r="AU96" s="206"/>
      <x:c r="AV96" s="206"/>
      <x:c r="AW96" s="206"/>
      <x:c r="AX96" s="206"/>
      <x:c r="AY96" s="206"/>
      <x:c r="AZ96" s="206"/>
    </x:row>
    <x:row r="97">
      <x:c r="G97" s="206"/>
      <x:c r="H97" s="206"/>
      <x:c r="I97" s="206"/>
      <x:c r="J97" s="206"/>
      <x:c r="K97" s="206"/>
      <x:c r="L97" s="206"/>
      <x:c r="M97" s="206"/>
      <x:c r="N97" s="206"/>
      <x:c r="O97" s="206"/>
      <x:c r="P97" s="206"/>
      <x:c r="Q97" s="206"/>
      <x:c r="R97" s="206"/>
      <x:c r="S97" s="206"/>
      <x:c r="T97" s="206"/>
      <x:c r="U97" s="206"/>
      <x:c r="V97" s="206"/>
      <x:c r="W97" s="206"/>
      <x:c r="X97" s="206"/>
      <x:c r="Y97" s="206"/>
      <x:c r="Z97" s="206"/>
      <x:c r="AA97" s="206"/>
      <x:c r="AB97" s="206"/>
      <x:c r="AC97" s="206"/>
      <x:c r="AD97" s="206"/>
      <x:c r="AE97" s="206"/>
      <x:c r="AF97" s="206"/>
      <x:c r="AG97" s="206"/>
      <x:c r="AH97" s="206"/>
      <x:c r="AI97" s="206"/>
      <x:c r="AJ97" s="206"/>
      <x:c r="AK97" s="206"/>
      <x:c r="AL97" s="206"/>
      <x:c r="AM97" s="206"/>
      <x:c r="AN97" s="206"/>
      <x:c r="AO97" s="206"/>
      <x:c r="AP97" s="206"/>
      <x:c r="AQ97" s="206"/>
      <x:c r="AR97" s="206"/>
      <x:c r="AS97" s="206"/>
      <x:c r="AT97" s="206"/>
      <x:c r="AU97" s="206"/>
      <x:c r="AV97" s="206"/>
      <x:c r="AW97" s="206"/>
      <x:c r="AX97" s="206"/>
      <x:c r="AY97" s="206"/>
      <x:c r="AZ97" s="206"/>
    </x:row>
    <x:row r="98">
      <x:c r="G98" s="206"/>
      <x:c r="H98" s="206"/>
      <x:c r="I98" s="206"/>
      <x:c r="J98" s="206"/>
      <x:c r="K98" s="206"/>
      <x:c r="L98" s="206"/>
      <x:c r="M98" s="206"/>
      <x:c r="N98" s="206"/>
      <x:c r="O98" s="206"/>
      <x:c r="P98" s="206"/>
      <x:c r="Q98" s="206"/>
      <x:c r="R98" s="206"/>
      <x:c r="S98" s="206"/>
      <x:c r="T98" s="206"/>
      <x:c r="U98" s="206"/>
      <x:c r="V98" s="206"/>
      <x:c r="W98" s="206"/>
      <x:c r="X98" s="206"/>
      <x:c r="Y98" s="206"/>
      <x:c r="Z98" s="206"/>
      <x:c r="AA98" s="206"/>
      <x:c r="AB98" s="206"/>
      <x:c r="AC98" s="206"/>
      <x:c r="AD98" s="206"/>
      <x:c r="AE98" s="206"/>
      <x:c r="AF98" s="206"/>
      <x:c r="AG98" s="206"/>
      <x:c r="AH98" s="206"/>
      <x:c r="AI98" s="206"/>
      <x:c r="AJ98" s="206"/>
      <x:c r="AK98" s="206"/>
      <x:c r="AL98" s="206"/>
      <x:c r="AM98" s="206"/>
      <x:c r="AN98" s="206"/>
      <x:c r="AO98" s="206"/>
      <x:c r="AP98" s="206"/>
      <x:c r="AQ98" s="206"/>
      <x:c r="AR98" s="206"/>
      <x:c r="AS98" s="206"/>
      <x:c r="AT98" s="206"/>
      <x:c r="AU98" s="206"/>
      <x:c r="AV98" s="206"/>
      <x:c r="AW98" s="206"/>
      <x:c r="AX98" s="206"/>
      <x:c r="AY98" s="206"/>
      <x:c r="AZ98" s="206"/>
    </x:row>
    <x:row r="99">
      <x:c r="G99" s="206"/>
      <x:c r="H99" s="206"/>
      <x:c r="I99" s="206"/>
      <x:c r="J99" s="206"/>
      <x:c r="K99" s="206"/>
      <x:c r="L99" s="206"/>
      <x:c r="M99" s="206"/>
      <x:c r="N99" s="206"/>
      <x:c r="O99" s="206"/>
      <x:c r="P99" s="206"/>
      <x:c r="Q99" s="206"/>
      <x:c r="R99" s="206"/>
      <x:c r="S99" s="206"/>
      <x:c r="T99" s="206"/>
      <x:c r="U99" s="206"/>
      <x:c r="V99" s="206"/>
      <x:c r="W99" s="206"/>
      <x:c r="X99" s="206"/>
      <x:c r="Y99" s="206"/>
      <x:c r="Z99" s="206"/>
      <x:c r="AA99" s="206"/>
      <x:c r="AB99" s="206"/>
      <x:c r="AC99" s="206"/>
      <x:c r="AD99" s="206"/>
      <x:c r="AE99" s="206"/>
      <x:c r="AF99" s="206"/>
      <x:c r="AG99" s="206"/>
      <x:c r="AH99" s="206"/>
      <x:c r="AI99" s="206"/>
      <x:c r="AJ99" s="206"/>
      <x:c r="AK99" s="206"/>
      <x:c r="AL99" s="206"/>
      <x:c r="AM99" s="206"/>
      <x:c r="AN99" s="206"/>
      <x:c r="AO99" s="206"/>
      <x:c r="AP99" s="206"/>
      <x:c r="AQ99" s="206"/>
      <x:c r="AR99" s="206"/>
      <x:c r="AS99" s="206"/>
      <x:c r="AT99" s="206"/>
      <x:c r="AU99" s="206"/>
      <x:c r="AV99" s="206"/>
      <x:c r="AW99" s="206"/>
      <x:c r="AX99" s="206"/>
      <x:c r="AY99" s="206"/>
      <x:c r="AZ99" s="206"/>
    </x:row>
    <x:row r="100">
      <x:c r="G100" s="206"/>
      <x:c r="H100" s="206"/>
      <x:c r="I100" s="206"/>
      <x:c r="J100" s="206"/>
      <x:c r="K100" s="206"/>
      <x:c r="L100" s="206"/>
      <x:c r="M100" s="206"/>
      <x:c r="N100" s="206"/>
      <x:c r="O100" s="206"/>
      <x:c r="P100" s="206"/>
      <x:c r="Q100" s="206"/>
      <x:c r="R100" s="206"/>
      <x:c r="S100" s="206"/>
      <x:c r="T100" s="206"/>
      <x:c r="U100" s="206"/>
      <x:c r="V100" s="206"/>
      <x:c r="W100" s="206"/>
      <x:c r="X100" s="206"/>
      <x:c r="Y100" s="206"/>
      <x:c r="Z100" s="206"/>
      <x:c r="AA100" s="206"/>
      <x:c r="AB100" s="206"/>
      <x:c r="AC100" s="206"/>
      <x:c r="AD100" s="206"/>
      <x:c r="AE100" s="206"/>
      <x:c r="AF100" s="206"/>
      <x:c r="AG100" s="206"/>
      <x:c r="AH100" s="206"/>
      <x:c r="AI100" s="206"/>
      <x:c r="AJ100" s="206"/>
      <x:c r="AK100" s="206"/>
      <x:c r="AL100" s="206"/>
      <x:c r="AM100" s="206"/>
      <x:c r="AN100" s="206"/>
      <x:c r="AO100" s="206"/>
      <x:c r="AP100" s="206"/>
      <x:c r="AQ100" s="206"/>
      <x:c r="AR100" s="206"/>
      <x:c r="AS100" s="206"/>
      <x:c r="AT100" s="206"/>
      <x:c r="AU100" s="206"/>
      <x:c r="AV100" s="206"/>
      <x:c r="AW100" s="206"/>
      <x:c r="AX100" s="206"/>
      <x:c r="AY100" s="206"/>
      <x:c r="AZ100" s="206"/>
    </x:row>
  </x:sheetData>
  <x:mergeCells>
    <x:mergeCell ref="A2:AI2"/>
  </x:mergeCells>
  <x:conditionalFormatting sqref="G5:AI32">
    <x:cfRule type="cellIs" dxfId="51" priority="1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customWidth="1"/>
    <x:col min="2" max="2" width="38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42" customWidth="1"/>
    <x:col min="9" max="9" width="56" customWidth="1"/>
    <x:col min="10" max="10" width="34" customWidth="1"/>
  </x:cols>
  <x:sheetData>
    <x:row r="1" ht="32" customHeight="1">
      <x:c r="A1" s="237" t="str">
        <x:v>FDS v3.1.21 · Milestones &amp; Decisions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3">
      <x:c r="A3" s="9" t="inlineStr">
        <x:is>
          <x:t xml:space="preserve">ID</x:t>
        </x:is>
      </x:c>
      <x:c r="B3" s="9" t="inlineStr">
        <x:is>
          <x:t xml:space="preserve">Item</x:t>
        </x:is>
      </x:c>
      <x:c r="C3" s="9" t="inlineStr">
        <x:is>
          <x:t xml:space="preserve">Type</x:t>
        </x:is>
      </x:c>
      <x:c r="D3" s="9" t="inlineStr">
        <x:is>
          <x:t xml:space="preserve">Status</x:t>
        </x:is>
      </x:c>
      <x:c r="E3" s="9" t="inlineStr">
        <x:is>
          <x:t xml:space="preserve">Date / Start</x:t>
        </x:is>
      </x:c>
      <x:c r="F3" s="9" t="inlineStr">
        <x:is>
          <x:t xml:space="preserve">End</x:t>
        </x:is>
      </x:c>
      <x:c r="G3" s="9" t="inlineStr">
        <x:is>
          <x:t xml:space="preserve">Lead</x:t>
        </x:is>
      </x:c>
      <x:c r="H3" s="9" t="inlineStr">
        <x:is>
          <x:t xml:space="preserve">Decision / Exit</x:t>
        </x:is>
      </x:c>
      <x:c r="I3" s="9" t="inlineStr">
        <x:is>
          <x:t xml:space="preserve">Schedule note</x:t>
        </x:is>
      </x:c>
      <x:c r="J3" s="9" t="inlineStr">
        <x:is>
          <x:t xml:space="preserve">Lead action</x:t>
        </x:is>
      </x:c>
    </x:row>
    <x:row r="4" ht="95" customHeight="1">
      <x:c r="A4" s="13" t="str">
        <x:f>WBS!A4</x:f>
        <x:v>D-SEC-01</x:v>
      </x:c>
      <x:c r="B4" s="13" t="str">
        <x:f>WBS!B4</x:f>
        <x:v>Security Design Scope / Approval Review</x:v>
      </x:c>
      <x:c r="C4" s="13" t="str">
        <x:f>WBS!E4</x:f>
        <x:v>Decision</x:v>
      </x:c>
      <x:c r="D4" s="13" t="str">
        <x:f>WBS!G4</x:f>
        <x:v>Done</x:v>
      </x:c>
      <x:c r="E4" s="191" t="n">
        <x:f>WBS!H4</x:f>
        <x:v>46260</x:v>
      </x:c>
      <x:c r="F4" s="191" t="n">
        <x:f>WBS!I4</x:f>
        <x:v>46266</x:v>
      </x:c>
      <x:c r="G4" s="13" t="str">
        <x:f>WBS!L4</x:f>
        <x:v>이하영</x:v>
      </x:c>
      <x:c r="H4" s="195" t="str">
        <x:v>AC: 승인권자 지정, D-SEC-01 검토 범위·산출물·Exit Criteria 승인, P1-SEC-01과의 경계 승인, 요구사항과 검증 증적 연결 후 Done 판정</x:v>
      </x:c>
      <x:c r="I4" s="195" t="str">
        <x:f>WBS!Q4</x:f>
        <x:v>v3.1.14 최종 승인·정본 반영 완료. 구현은 P1-SEC-01로 이관.
GitHub closed/completed</x:v>
      </x:c>
      <x:c r="J4" s="195" t="str">
        <x:v>Lifecycle only; Runtime separate</x:v>
      </x:c>
    </x:row>
    <x:row r="5" ht="95" customHeight="1">
      <x:c r="A5" s="13" t="str">
        <x:f>WBS!A5</x:f>
        <x:v>MS-G0-01</x:v>
      </x:c>
      <x:c r="B5" s="13" t="str">
        <x:f>WBS!B5</x:f>
        <x:v>G0 Design Freeze</x:v>
      </x:c>
      <x:c r="C5" s="13" t="str">
        <x:f>WBS!E5</x:f>
        <x:v>Milestone</x:v>
      </x:c>
      <x:c r="D5" s="13" t="str">
        <x:f>WBS!G5</x:f>
        <x:v>Done</x:v>
      </x:c>
      <x:c r="E5" s="191" t="n">
        <x:f>WBS!H5</x:f>
        <x:v>46260</x:v>
      </x:c>
      <x:c r="F5" s="191" t="n">
        <x:f>WBS!I5</x:f>
        <x:v>46266</x:v>
      </x:c>
      <x:c r="G5" s="13" t="str">
        <x:f>WBS!L5</x:f>
        <x:v>이권욱</x:v>
      </x:c>
      <x:c r="H5" s="195" t="str">
        <x:v>AC: D-ARC-01·D-NET-01·D-WBS-01·D-SEC-01 승인과 정본 Evidence를 확인하고 G0 FULL PASS 기록 확보</x:v>
      </x:c>
      <x:c r="I5" s="195" t="str">
        <x:f>WBS!Q5</x:f>
        <x:v>G0 Design Freeze FULL PASS (2026-09-01).
GitHub closed/completed</x:v>
      </x:c>
      <x:c r="J5" s="195" t="str">
        <x:v>Lifecycle only; Runtime separate</x:v>
      </x:c>
    </x:row>
    <x:row r="6" ht="95" customHeight="1">
      <x:c r="A6" s="13" t="str">
        <x:f>WBS!A16</x:f>
        <x:v>MS-G1-01</x:v>
      </x:c>
      <x:c r="B6" s="13" t="str">
        <x:f>WBS!B16</x:f>
        <x:v>G1 Infrastructure Ready</x:v>
      </x:c>
      <x:c r="C6" s="13" t="str">
        <x:f>WBS!E16</x:f>
        <x:v>Milestone</x:v>
      </x:c>
      <x:c r="D6" s="13" t="str">
        <x:f>WBS!G16</x:f>
        <x:v>To Do</x:v>
      </x:c>
      <x:c r="E6" s="191" t="n">
        <x:f>WBS!H16</x:f>
        <x:v>46282</x:v>
      </x:c>
      <x:c r="F6" s="191" t="n">
        <x:f>WBS!I16</x:f>
        <x:v>46282</x:v>
      </x:c>
      <x:c r="G6" s="13" t="str">
        <x:f>WBS!L16</x:f>
        <x:v>이권욱</x:v>
      </x:c>
      <x:c r="H6" s="195" t="str">
        <x:v>AC: CentOS/containerd, Ansible Inventory/SSH/멱등성, 3CP+3Worker, API LB/Calico, Harbor/Runner/PostgreSQL, Node Connectivity와 Push/Pull 준비도 승인</x:v>
      </x:c>
      <x:c r="I6" s="195" t="str">
        <x:f>WBS!Q16</x:f>
        <x:v>09-17 오후 조건부 인수 목표. 6대·API/LB·Calico·DB·Harbor·Runner 증적 미충족이면 PASS 불가. 실제 상태·완료 판정은 유지한다. 세부 배정: Fast Track Plan 시트.
GitHub open/-</x:v>
      </x:c>
      <x:c r="J6" s="195" t="str">
        <x:v>Lifecycle only; Runtime separate</x:v>
      </x:c>
    </x:row>
    <x:row r="7" ht="95" customHeight="1">
      <x:c r="A7" s="13" t="str">
        <x:f>WBS!A21</x:f>
        <x:v>MS-G2-01</x:v>
      </x:c>
      <x:c r="B7" s="13" t="str">
        <x:f>WBS!B21</x:f>
        <x:v>G2 Security / Feature Ready</x:v>
      </x:c>
      <x:c r="C7" s="13" t="str">
        <x:f>WBS!E21</x:f>
        <x:v>Milestone</x:v>
      </x:c>
      <x:c r="D7" s="13" t="str">
        <x:f>WBS!G21</x:f>
        <x:v>To Do</x:v>
      </x:c>
      <x:c r="E7" s="191" t="n">
        <x:f>WBS!H21</x:f>
        <x:v>46286</x:v>
      </x:c>
      <x:c r="F7" s="191" t="n">
        <x:f>WBS!I21</x:f>
        <x:v>46286</x:v>
      </x:c>
      <x:c r="G7" s="13" t="str">
        <x:f>WBS!L21</x:f>
        <x:v>이하영</x:v>
      </x:c>
      <x:c r="H7" s="195" t="str">
        <x:v>AC: 2-Service MSA, DB 저장, Security P0, CI/CD, Monitoring, Initial E2E/Negative Test/Worker Drain 준비도를 승인</x:v>
      </x:c>
      <x:c r="I7" s="195" t="str">
        <x:f>WBS!Q21</x:f>
        <x:v>09-21 오후 종료 시점 목표. 앱/보안/CI/Monitoring·초기 E2E/Negative/Drain 준비도와 해당 증적이 선행한다. 실제 상태·완료 판정은 유지한다. 세부 배정: Fast Track Plan 시트.
GitHub open/-</x:v>
      </x:c>
      <x:c r="J7" s="195" t="str">
        <x:v>Lifecycle only; Runtime separate</x:v>
      </x:c>
    </x:row>
    <x:row r="8" ht="95" customHeight="1">
      <x:c r="A8" s="13" t="str">
        <x:f>WBS!A26</x:f>
        <x:v>DEC-CAL-P1-01</x:v>
      </x:c>
      <x:c r="B8" s="13" t="str">
        <x:f>WBS!B26</x:f>
        <x:v>Phase 1 Weekend Review Decision</x:v>
      </x:c>
      <x:c r="C8" s="13" t="str">
        <x:f>WBS!E26</x:f>
        <x:v>Decision</x:v>
      </x:c>
      <x:c r="D8" s="13" t="str">
        <x:f>WBS!G26</x:f>
        <x:v>Done</x:v>
      </x:c>
      <x:c r="E8" s="191" t="n">
        <x:f>WBS!H26</x:f>
        <x:v>46276</x:v>
      </x:c>
      <x:c r="F8" s="191" t="n">
        <x:f>WBS!I26</x:f>
        <x:v>46276</x:v>
      </x:c>
      <x:c r="G8" s="13" t="str">
        <x:f>WBS!L26</x:f>
        <x:v>이권욱</x:v>
      </x:c>
      <x:c r="H8" s="195" t="str">
        <x:v>AC: 09-20 일요일 Review 유지 또는 영업일 재배치, 참석자·승인권자·시간·대체일을 확정하고 WBS/Calendar 동기화</x:v>
      </x:c>
      <x:c r="I8" s="195" t="str">
        <x:f>WBS!Q26</x:f>
        <x:v>2026-09-22 오후 평일 Review로 확정. 발표자료 담당자별 상세 일정에 이권욱·이하영·이재환 Review 역할이 배정되어 있고 #29/#30/#31 일정도 09-22로 정렬됨. 사용자 확인을 일정 결정 승인 근거로 삼아 Done 처리한다. 실제 G3 PASS·Review 결과·Phase 1 Close 승인은 #29/#30/#31에서 별도 판정한다. 교육장 주말 작업 0 원칙 유지.
GitHub closed/completed</x:v>
      </x:c>
      <x:c r="J8" s="195" t="str">
        <x:v>Lifecycle only; Runtime separate</x:v>
      </x:c>
    </x:row>
    <x:row r="9" ht="95" customHeight="1">
      <x:c r="A9" s="13" t="str">
        <x:f>WBS!A27</x:f>
        <x:v>MS-G3-01</x:v>
      </x:c>
      <x:c r="B9" s="13" t="str">
        <x:f>WBS!B27</x:f>
        <x:v>G3 Review Ready</x:v>
      </x:c>
      <x:c r="C9" s="13" t="str">
        <x:f>WBS!E27</x:f>
        <x:v>Milestone</x:v>
      </x:c>
      <x:c r="D9" s="13" t="str">
        <x:f>WBS!G27</x:f>
        <x:v>To Do</x:v>
      </x:c>
      <x:c r="E9" s="191" t="n">
        <x:f>WBS!H27</x:f>
        <x:v>46297</x:v>
      </x:c>
      <x:c r="F9" s="191" t="n">
        <x:f>WBS!I27</x:f>
        <x:v>46297</x:v>
      </x:c>
      <x:c r="G9" s="13" t="str">
        <x:f>WBS!L27</x:f>
        <x:v>이권욱</x:v>
      </x:c>
      <x:c r="H9" s="195" t="str">
        <x:v>AC: Final E2E/Regression, Worker Drain, PostgreSQL Restore, Critical Issue 0, Architecture/Test/Runbook 준비도를 승인</x:v>
      </x:c>
      <x:c r="I9" s="195" t="str">
        <x:f>WBS!Q27</x:f>
        <x:v>10-02는 실작업·증적 cutoff/G3 Review Ready 판정일이다. 남은 Phase 1 P0는 담당자별 공유 Runtime으로 직렬화하고, 미완료 AC는 10-06 Review에서 사실 상태를 분류한다. 일정 도래만으로 Gate PASS 처리하지 않는다.
GitHub open/-</x:v>
      </x:c>
      <x:c r="J9" s="195" t="str">
        <x:v>Lifecycle only; Runtime separate</x:v>
      </x:c>
    </x:row>
    <x:row r="10" ht="95" customHeight="1">
      <x:c r="A10" s="13" t="str">
        <x:f>WBS!A29</x:f>
        <x:v>MS-P1-REVIEW-01</x:v>
      </x:c>
      <x:c r="B10" s="13" t="str">
        <x:f>WBS!B29</x:f>
        <x:v>Phase 1 Review</x:v>
      </x:c>
      <x:c r="C10" s="13" t="str">
        <x:f>WBS!E29</x:f>
        <x:v>Milestone</x:v>
      </x:c>
      <x:c r="D10" s="13" t="str">
        <x:f>WBS!G29</x:f>
        <x:v>To Do</x:v>
      </x:c>
      <x:c r="E10" s="191" t="n">
        <x:f>WBS!H29</x:f>
        <x:v>46301</x:v>
      </x:c>
      <x:c r="F10" s="191" t="n">
        <x:f>WBS!I29</x:f>
        <x:v>46301</x:v>
      </x:c>
      <x:c r="G10" s="13" t="str">
        <x:f>WBS!L29</x:f>
        <x:v>이권욱</x:v>
      </x:c>
      <x:c r="H10" s="195" t="str">
        <x:v>AC: 승인된 일정에 Demo/산출물/G3/Known Issue Review를 수행하고 Action 및 승인결과를 기록</x:v>
      </x:c>
      <x:c r="I10" s="195" t="str">
        <x:f>WBS!Q29</x:f>
        <x:v>2026-09-23 Lead 결정으로 09-22에서 10-06(화)으로 조정. 같은 날 #30 보완·Sign-off와 #32 Close로 이어진다. G3 통과와 참석자 확정이 필요하다. 실제 상태·완료 판정은 유지한다.
GitHub open/-</x:v>
      </x:c>
      <x:c r="J10" s="195" t="str">
        <x:v>Lifecycle only; Runtime separate</x:v>
      </x:c>
    </x:row>
    <x:row r="11" ht="95" customHeight="1">
      <x:c r="A11" s="13" t="str">
        <x:f>WBS!A30</x:f>
        <x:v>MS-P1-CLOSE-01</x:v>
      </x:c>
      <x:c r="B11" s="13" t="str">
        <x:f>WBS!B30</x:f>
        <x:v>Phase 1 Close</x:v>
      </x:c>
      <x:c r="C11" s="13" t="str">
        <x:f>WBS!E30</x:f>
        <x:v>Milestone</x:v>
      </x:c>
      <x:c r="D11" s="13" t="str">
        <x:f>WBS!G30</x:f>
        <x:v>To Do</x:v>
      </x:c>
      <x:c r="E11" s="191" t="n">
        <x:f>WBS!H30</x:f>
        <x:v>46301</x:v>
      </x:c>
      <x:c r="F11" s="191" t="n">
        <x:f>WBS!I30</x:f>
        <x:v>46301</x:v>
      </x:c>
      <x:c r="G11" s="13" t="str">
        <x:f>WBS!L30</x:f>
        <x:v>이권욱</x:v>
      </x:c>
      <x:c r="H11" s="195" t="str">
        <x:v>AC: Review Action 처리, P0 승인, P1/Known Issue Owner·Due 이관 및 Phase 1 Close Sign-off 확보</x:v>
      </x:c>
      <x:c r="I11" s="195" t="str">
        <x:f>WBS!Q30</x:f>
        <x:v>2026-09-23 Lead 결정으로 10-06에 종결한다(Phase 1 진행 항목 #74·#75 등 10-06 계획 감안). #31 Review → #30 보완·Sign-off → Close 순으로 같은 날 진행하며, Close 판정 후 Phase 2 Start(#33)로 이어진다.
GitHub open/-</x:v>
      </x:c>
      <x:c r="J11" s="195" t="str">
        <x:v>Lifecycle only; Runtime separate</x:v>
      </x:c>
    </x:row>
    <x:row r="12" ht="95" customHeight="1">
      <x:c r="A12" s="13" t="str">
        <x:f>WBS!A31</x:f>
        <x:v>MS-P2-START-01</x:v>
      </x:c>
      <x:c r="B12" s="13" t="str">
        <x:f>WBS!B31</x:f>
        <x:v>Phase 2 Start</x:v>
      </x:c>
      <x:c r="C12" s="13" t="str">
        <x:f>WBS!E31</x:f>
        <x:v>Milestone</x:v>
      </x:c>
      <x:c r="D12" s="13" t="str">
        <x:f>WBS!G31</x:f>
        <x:v>To Do</x:v>
      </x:c>
      <x:c r="E12" s="191" t="n">
        <x:f>WBS!H31</x:f>
        <x:v>46302</x:v>
      </x:c>
      <x:c r="F12" s="191" t="n">
        <x:f>WBS!I31</x:f>
        <x:v>46302</x:v>
      </x:c>
      <x:c r="G12" s="13" t="str">
        <x:f>WBS!L31</x:f>
        <x:v>이권욱</x:v>
      </x:c>
      <x:c r="H12" s="195" t="str">
        <x:v>AC: Phase 1 Close, Phase 2 계정·권한·일정·P0 범위·OCI Go/No-Go 계획을 확인하고 착수 승인</x:v>
      </x:c>
      <x:c r="I12" s="195" t="str">
        <x:f>WBS!Q31</x:f>
        <x:v>Phase 1 Close를 10-06에 완료한 다음 영업일인 10-07(수) 착수로 조정한다. 10-05 공휴일과 10-06 Phase 1 Review/Close를 Phase 2 작업일로 계산하지 않는다.
GitHub open/-</x:v>
      </x:c>
      <x:c r="J12" s="195" t="str">
        <x:v>Lifecycle only; Runtime separate</x:v>
      </x:c>
    </x:row>
    <x:row r="13" ht="95" customHeight="1">
      <x:c r="A13" s="13" t="str">
        <x:f>WBS!A34</x:f>
        <x:v>P2-OCI-01</x:v>
      </x:c>
      <x:c r="B13" s="13" t="str">
        <x:f>WBS!B34</x:f>
        <x:v>OCI Relay Go / No-Go</x:v>
      </x:c>
      <x:c r="C13" s="13" t="str">
        <x:f>WBS!E34</x:f>
        <x:v>Decision</x:v>
      </x:c>
      <x:c r="D13" s="13" t="str">
        <x:f>WBS!G34</x:f>
        <x:v>To Do</x:v>
      </x:c>
      <x:c r="E13" s="191" t="n">
        <x:f>WBS!H34</x:f>
        <x:v>46302</x:v>
      </x:c>
      <x:c r="F13" s="191" t="n">
        <x:f>WBS!I34</x:f>
        <x:v>46303</x:v>
      </x:c>
      <x:c r="G13" s="13" t="str">
        <x:f>WBS!L34</x:f>
        <x:v>이권욱</x:v>
      </x:c>
      <x:c r="H13" s="195" t="str">
        <x:v>AC: OCI Relay 가능성·권한·Public Endpoint·IPsec/NAT-T·Route를 검증하고 Primary 또는 승인 Fallback 경로를 선택</x:v>
      </x:c>
      <x:c r="I13" s="195" t="str">
        <x:f>WBS!Q34</x:f>
        <x:v>D21 결정창 10-07~10-08 유지. 교육장 UDP/500·4500 경로 관측 → return/NAT-T/IKE 검증 → 보안 노출·return-route·SPOF 판단 → Transport Adapter 선택을 거쳐 #34 최종 Freeze 및 #35 Stage-A에 인계한다. 경로 관측/Decision 미완료 시 D21 OPEN과 후속 HOLD를 유지한다.
D21 FINAL(10/3); raw publication·Issue Close HOLD. 계획일과 실제 결정일 별도.
GitHub open/-</x:v>
      </x:c>
      <x:c r="J13" s="195" t="str">
        <x:v>D21 FINAL(10/3); raw publication·Issue Close HOLD. 계획일과 실제 결정일 별도.</x:v>
      </x:c>
    </x:row>
    <x:row r="14" ht="95" customHeight="1">
      <x:c r="A14" s="13" t="str">
        <x:f>WBS!A37</x:f>
        <x:v>MS-G4-01</x:v>
      </x:c>
      <x:c r="B14" s="13" t="str">
        <x:f>WBS!B37</x:f>
        <x:v>G4 Cloud / VPN Ready</x:v>
      </x:c>
      <x:c r="C14" s="13" t="str">
        <x:f>WBS!E37</x:f>
        <x:v>Milestone</x:v>
      </x:c>
      <x:c r="D14" s="13" t="str">
        <x:f>WBS!G37</x:f>
        <x:v>To Do</x:v>
      </x:c>
      <x:c r="E14" s="191" t="n">
        <x:f>WBS!H37</x:f>
        <x:v>46309</x:v>
      </x:c>
      <x:c r="F14" s="191" t="n">
        <x:f>WBS!I37</x:f>
        <x:v>46309</x:v>
      </x:c>
      <x:c r="G14" s="13" t="str">
        <x:f>WBS!L37</x:f>
        <x:v>이권욱</x:v>
      </x:c>
      <x:c r="H14" s="195" t="str">
        <x:v>AC: Terraform 인프라, 승인 Transit/VPN, Route/Security, ROSA 선행조건 및 승인 TCP 경로 준비도 승인</x:v>
      </x:c>
      <x:c r="I14" s="195" t="str">
        <x:f>WBS!Q37</x:f>
        <x:v>G4 목표를 10-14로 조정한다. #35 IaC와 #37 VPN의 실제 Runtime/Evidence 충족 후 판정하며 날짜만으로 PASS하지 않는다.
GitHub open/-</x:v>
      </x:c>
      <x:c r="J14" s="195" t="str">
        <x:v>Lifecycle only; Runtime separate</x:v>
      </x:c>
    </x:row>
    <x:row r="15" ht="95" customHeight="1">
      <x:c r="A15" s="13" t="str">
        <x:f>WBS!A38</x:f>
        <x:v>DEC-P2-DNS-01</x:v>
      </x:c>
      <x:c r="B15" s="13" t="str">
        <x:f>WBS!B38</x:f>
        <x:v>Hybrid DNS Scope Decision</x:v>
      </x:c>
      <x:c r="C15" s="13" t="str">
        <x:f>WBS!E38</x:f>
        <x:v>Decision</x:v>
      </x:c>
      <x:c r="D15" s="13" t="str">
        <x:f>WBS!G38</x:f>
        <x:v>To Do</x:v>
      </x:c>
      <x:c r="E15" s="191" t="n">
        <x:f>WBS!H38</x:f>
        <x:v>46311</x:v>
      </x:c>
      <x:c r="F15" s="191" t="n">
        <x:f>WBS!I38</x:f>
        <x:v>46311</x:v>
      </x:c>
      <x:c r="G15" s="13" t="str">
        <x:f>WBS!L38</x:f>
        <x:v>이권욱</x:v>
      </x:c>
      <x:c r="H15" s="195" t="str">
        <x:v>AC: P0 IP Endpoint 유지 또는 Hybrid DNS P1 적용을 확정하고 Resolver/Forwarding/Zone/Route/테스트·Cancelled 결정 근거를 승인</x:v>
      </x:c>
      <x:c r="I15" s="195" t="str">
        <x:f>WBS!Q38</x:f>
        <x:v>P0 Hybrid 경로 차단을 피하기 위해 10-16 단일 Decision window에서 IP Endpoint 유지 또는 DNS P1 적용을 확정한다. 구현(#48)은 Go이면서 P0 잔여 capacity가 있을 때만 별도 착수한다.
TS04; 전체 P1 유지. private 필수 DNS subset은 pre-create 계약.
GitHub open/-</x:v>
      </x:c>
      <x:c r="J15" s="195" t="str">
        <x:v>TS04; 전체 P1 유지. private 필수 DNS subset은 pre-create 계약.</x:v>
      </x:c>
    </x:row>
    <x:row r="16" ht="95" customHeight="1">
      <x:c r="A16" s="13" t="str">
        <x:f>WBS!A39</x:f>
        <x:v>DEC-P2-OP-01</x:v>
      </x:c>
      <x:c r="B16" s="13" t="str">
        <x:f>WBS!B39</x:f>
        <x:v>Operator Supply Chain Scope Decision</x:v>
      </x:c>
      <x:c r="C16" s="13" t="str">
        <x:f>WBS!E39</x:f>
        <x:v>Decision</x:v>
      </x:c>
      <x:c r="D16" s="13" t="str">
        <x:f>WBS!G39</x:f>
        <x:v>To Do</x:v>
      </x:c>
      <x:c r="E16" s="191" t="n">
        <x:f>WBS!H39</x:f>
        <x:v>0</x:v>
      </x:c>
      <x:c r="F16" s="191" t="n">
        <x:f>WBS!I39</x:f>
        <x:v>0</x:v>
      </x:c>
      <x:c r="G16" s="13" t="str">
        <x:f>WBS!L39</x:f>
        <x:v>이하영</x:v>
      </x:c>
      <x:c r="H16" s="195" t="str">
        <x:v>AC: ROSA Operator 공급망을 Direct Catalog 또는 oc-mirror/Harbor/Custom CatalogSource 중 하나로 결정하고 구현·N/A 기준 승인</x:v>
      </x:c>
      <x:c r="I16" s="195" t="str">
        <x:f>WBS!Q39</x:f>
        <x:v>P1/non-blocking. #38 ROSA와 G5 P0를 침해하지 않도록 G5 이후 capacity가 있을 때만 결정하며, 여유가 없으면 Deferred로 기록한다.
GitHub open/-
원문 일정: TBD — G5 이후 P0 잔여 capacity 시 / TBD — 10-26 이전 강제하지 않음</x:v>
      </x:c>
      <x:c r="J16" s="195" t="str">
        <x:v>Lifecycle only; Runtime separate</x:v>
      </x:c>
    </x:row>
    <x:row r="17" ht="95" customHeight="1">
      <x:c r="A17" s="13" t="str">
        <x:f>WBS!A40</x:f>
        <x:v>DEC-P2-REG-01</x:v>
      </x:c>
      <x:c r="B17" s="13" t="str">
        <x:f>WBS!B40</x:f>
        <x:v>ROSA Image Registry Source Decision</x:v>
      </x:c>
      <x:c r="C17" s="13" t="str">
        <x:f>WBS!E40</x:f>
        <x:v>Decision</x:v>
      </x:c>
      <x:c r="D17" s="13" t="str">
        <x:f>WBS!G40</x:f>
        <x:v>To Do</x:v>
      </x:c>
      <x:c r="E17" s="191" t="n">
        <x:f>WBS!H40</x:f>
        <x:v>46310</x:v>
      </x:c>
      <x:c r="F17" s="191" t="n">
        <x:f>WBS!I40</x:f>
        <x:v>46310</x:v>
      </x:c>
      <x:c r="G17" s="13" t="str">
        <x:f>WBS!L40</x:f>
        <x:v>이권욱</x:v>
      </x:c>
      <x:c r="H17" s="195" t="str">
        <x:v>AC: ROSA Image Source를 On-Prem Harbor 또는 승인 Cloud Registry로 확정하고 Route·TLS·Credential·비용·Fallback을 승인</x:v>
      </x:c>
      <x:c r="I17" s="195" t="str">
        <x:f>WBS!Q40</x:f>
        <x:v>사전 Option 분석은 준비자료로만 수행하고, 최종 D22 결정은 10-15 #38 Basic Ready 실측 입력을 확인한 뒤 당일 확정한다. #43은 이 결정 이후 착수한다.
TS08; D22 논리 trust/digest/fallback은 생성 전, actual cold-pull은 생성 후.
GitHub open/-</x:v>
      </x:c>
      <x:c r="J17" s="195" t="str">
        <x:v>TS08; D22 논리 trust/digest/fallback은 생성 전, actual cold-pull은 생성 후.</x:v>
      </x:c>
    </x:row>
    <x:row r="18" ht="95" customHeight="1">
      <x:c r="A18" s="13" t="str">
        <x:f>WBS!A43</x:f>
        <x:v>MS-G5-01</x:v>
      </x:c>
      <x:c r="B18" s="13" t="str">
        <x:f>WBS!B43</x:f>
        <x:v>G5 ROSA Application Ready</x:v>
      </x:c>
      <x:c r="C18" s="13" t="str">
        <x:f>WBS!E43</x:f>
        <x:v>Milestone</x:v>
      </x:c>
      <x:c r="D18" s="13" t="str">
        <x:f>WBS!G43</x:f>
        <x:v>To Do</x:v>
      </x:c>
      <x:c r="E18" s="191" t="n">
        <x:f>WBS!H43</x:f>
        <x:v>46315</x:v>
      </x:c>
      <x:c r="F18" s="191" t="n">
        <x:f>WBS!I43</x:f>
        <x:v>46315</x:v>
      </x:c>
      <x:c r="G18" s="13" t="str">
        <x:f>WBS!L43</x:f>
        <x:v>이하영</x:v>
      </x:c>
      <x:c r="H18" s="195" t="str">
        <x:v>AC: ROSA Platform/Security, P2-CICD-01 Runner 기반 Delivery, transaction-api/fds-engine Health·Rule Smoke Test와 Registry/DNS/Operator Decision 상태 승인</x:v>
      </x:c>
      <x:c r="I18" s="195" t="str">
        <x:f>WBS!Q43</x:f>
        <x:v>기존 10-18(일) 목표를 폐기하고 10-20(화) G5로 조정한다. #38/#43/#46 P0 충족 후 판정한다. P1 #40/#41/#120/#121 미구현은 blocker가 아니다.
GitHub open/-</x:v>
      </x:c>
      <x:c r="J18" s="195" t="str">
        <x:v>Lifecycle only; Runtime separate</x:v>
      </x:c>
    </x:row>
    <x:row r="19" ht="95" customHeight="1">
      <x:c r="A19" s="67" t="str">
        <x:f>WBS!A50</x:f>
        <x:v>DEC-CAL-P2-01</x:v>
      </x:c>
      <x:c r="B19" s="67" t="str">
        <x:f>WBS!B50</x:f>
        <x:v>Phase 2 Review Schedule Decision</x:v>
      </x:c>
      <x:c r="C19" s="67" t="str">
        <x:f>WBS!E50</x:f>
        <x:v>Decision</x:v>
      </x:c>
      <x:c r="D19" s="67" t="str">
        <x:f>WBS!G50</x:f>
        <x:v>To Do</x:v>
      </x:c>
      <x:c r="E19" s="229" t="n">
        <x:f>WBS!H50</x:f>
        <x:v>46302</x:v>
      </x:c>
      <x:c r="F19" s="229" t="n">
        <x:f>WBS!I50</x:f>
        <x:v>46302</x:v>
      </x:c>
      <x:c r="G19" s="67" t="str">
        <x:f>WBS!L50</x:f>
        <x:v>이권욱</x:v>
      </x:c>
      <x:c r="H19" s="198" t="str">
        <x:v>AC: 10-23 Deliverable Freeze/Phase 2 Review와 10-26 Project Close 일정, 참석자·승인권자·시간을 확정하고 WBS/Calendar에 동기화</x:v>
      </x:c>
      <x:c r="I19" s="198" t="str">
        <x:f>WBS!Q50</x:f>
        <x:v>Phase 2 Start 시점에 10-23 Review/Freeze와 10-26 Project Close 일정을 고정한다. 10-22까지 Review 일정을 미결 상태로 남기지 않는다.
GitHub open/-</x:v>
      </x:c>
      <x:c r="J19" s="198" t="str">
        <x:v>Lifecycle only; Runtime separate</x:v>
      </x:c>
    </x:row>
    <x:row r="20" ht="95" customHeight="1">
      <x:c r="A20" s="67" t="str">
        <x:f>WBS!A51</x:f>
        <x:v>MS-G6-01</x:v>
      </x:c>
      <x:c r="B20" s="67" t="str">
        <x:f>WBS!B51</x:f>
        <x:v>G6 Hybrid Integration Ready</x:v>
      </x:c>
      <x:c r="C20" s="67" t="str">
        <x:f>WBS!E51</x:f>
        <x:v>Milestone</x:v>
      </x:c>
      <x:c r="D20" s="67" t="str">
        <x:f>WBS!G51</x:f>
        <x:v>To Do</x:v>
      </x:c>
      <x:c r="E20" s="229" t="n">
        <x:f>WBS!H51</x:f>
        <x:v>46317</x:v>
      </x:c>
      <x:c r="F20" s="229" t="n">
        <x:f>WBS!I51</x:f>
        <x:v>46317</x:v>
      </x:c>
      <x:c r="G20" s="67" t="str">
        <x:f>WBS!L51</x:f>
        <x:v>이권욱</x:v>
      </x:c>
      <x:c r="H20" s="198" t="str">
        <x:v>AC: Hybrid DB/Registry Integration, Hybrid E2E/Regression, Critical Issue 0을 승인하고 P1 OADP는 실행 시 결과 또는 Deferred/N/A 근거를 기록</x:v>
      </x:c>
      <x:c r="I20" s="198" t="str">
        <x:f>WBS!Q51</x:f>
        <x:v>G6 목표 10-22 유지. #47 Hybrid와 #50 E2E의 실제 Runtime/Evidence 충족 후 판정한다. P1 선택 기능 미구현은 blocker가 아니다.
GitHub open/-</x:v>
      </x:c>
      <x:c r="J20" s="198" t="str">
        <x:v>Lifecycle only; Runtime separate</x:v>
      </x:c>
    </x:row>
    <x:row r="21" ht="95" customHeight="1">
      <x:c r="A21" s="67" t="str">
        <x:f>WBS!A52</x:f>
        <x:v>MS-DELIVERABLE-FREEZE-01</x:v>
      </x:c>
      <x:c r="B21" s="67" t="str">
        <x:f>WBS!B52</x:f>
        <x:v>Deliverable Freeze</x:v>
      </x:c>
      <x:c r="C21" s="67" t="str">
        <x:f>WBS!E52</x:f>
        <x:v>Milestone</x:v>
      </x:c>
      <x:c r="D21" s="176" t="str">
        <x:f>WBS!G52</x:f>
        <x:v>To Do</x:v>
      </x:c>
      <x:c r="E21" s="229" t="n">
        <x:f>WBS!H52</x:f>
        <x:v>46318</x:v>
      </x:c>
      <x:c r="F21" s="229" t="n">
        <x:f>WBS!I52</x:f>
        <x:v>46318</x:v>
      </x:c>
      <x:c r="G21" s="67" t="str">
        <x:f>WBS!L52</x:f>
        <x:v>이권욱</x:v>
      </x:c>
      <x:c r="H21" s="198" t="str">
        <x:v>AC: Architecture/IaC/Test/Runbook/Evidence/Decision/Known Issue의 최종 Version과 변경금지를 승인</x:v>
      </x:c>
      <x:c r="I21" s="198" t="str">
        <x:f>WBS!Q52</x:f>
        <x:v>Deliverable Freeze는 10-23(금)로 유지한다. 이후 10-26 Close까지는 Review Action/오류 정정만 허용하며 신규 Scope를 추가하지 않는다.
GitHub open/-</x:v>
      </x:c>
      <x:c r="J21" s="198" t="str">
        <x:v>Lifecycle only; Runtime separate</x:v>
      </x:c>
    </x:row>
    <x:row r="22" ht="95" customHeight="1">
      <x:c r="A22" s="67" t="str">
        <x:f>WBS!A54</x:f>
        <x:v>MS-P2-REVIEW-01</x:v>
      </x:c>
      <x:c r="B22" s="67" t="str">
        <x:f>WBS!B54</x:f>
        <x:v>Phase 2 Review</x:v>
      </x:c>
      <x:c r="C22" s="67" t="str">
        <x:f>WBS!E54</x:f>
        <x:v>Milestone</x:v>
      </x:c>
      <x:c r="D22" s="67" t="str">
        <x:f>WBS!G54</x:f>
        <x:v>To Do</x:v>
      </x:c>
      <x:c r="E22" s="229" t="n">
        <x:f>WBS!H54</x:f>
        <x:v>46318</x:v>
      </x:c>
      <x:c r="F22" s="229" t="n">
        <x:f>WBS!I54</x:f>
        <x:v>46318</x:v>
      </x:c>
      <x:c r="G22" s="67" t="str">
        <x:f>WBS!L54</x:f>
        <x:v>이권욱</x:v>
      </x:c>
      <x:c r="H22" s="198" t="str">
        <x:v>AC: 승인된 일정에 Hybrid Demo/산출물/G6/Known Issue/Cloud Resource Review를 수행하고 Action·승인결과를 기록</x:v>
      </x:c>
      <x:c r="I22" s="198" t="str">
        <x:f>WBS!Q54</x:f>
        <x:v>Phase 2 Review를 10-23(금)로 고정한다. G6/Deliverable Freeze와 연결해 진행하며 10-24~25 주말 Review는 배정하지 않는다.
GitHub open/-</x:v>
      </x:c>
      <x:c r="J22" s="198" t="str">
        <x:v>Lifecycle only; Runtime separate</x:v>
      </x:c>
    </x:row>
    <x:row r="23" ht="95" customHeight="1">
      <x:c r="A23" s="83" t="str">
        <x:f>WBS!A55</x:f>
        <x:v>MS-PROJECT-CLOSE-01</x:v>
      </x:c>
      <x:c r="B23" s="83" t="str">
        <x:f>WBS!B55</x:f>
        <x:v>Project Close</x:v>
      </x:c>
      <x:c r="C23" s="83" t="str">
        <x:f>WBS!E55</x:f>
        <x:v>Milestone</x:v>
      </x:c>
      <x:c r="D23" s="83" t="str">
        <x:f>WBS!G55</x:f>
        <x:v>To Do</x:v>
      </x:c>
      <x:c r="E23" s="192" t="n">
        <x:f>WBS!H55</x:f>
        <x:v>46321</x:v>
      </x:c>
      <x:c r="F23" s="192" t="n">
        <x:f>WBS!I55</x:f>
        <x:v>46321</x:v>
      </x:c>
      <x:c r="G23" s="83" t="str">
        <x:f>WBS!L55</x:f>
        <x:v>이권욱</x:v>
      </x:c>
      <x:c r="H23" s="196" t="str">
        <x:v>AC: Review Action, P0 승인, 후속 P1/Known Issue, Cloud Resource/Cost, Source/Deliverable 인계 및 Project Close Sign-off 확보</x:v>
      </x:c>
      <x:c r="I23" s="196" t="str">
        <x:f>WBS!Q55</x:f>
        <x:v>프로젝트 종료일은 2026-10-26(월)로 확정한다. Review 미결 항목이 있더라도 일정은 자동 연장하지 않고 승인된 Known Issue/Deferred/잔여 Action으로 Close 기록에 남긴다. 종료일 변경은 별도 사용자 결정이 있을 때만 가능하다.
GitHub open/-</x:v>
      </x:c>
      <x:c r="J23" s="196" t="str">
        <x:v>Lifecycle only; Runtime separate</x:v>
      </x:c>
    </x:row>
    <x:row r="24" ht="95" customHeight="1">
      <x:c r="A24" s="83" t="str">
        <x:f>WBS!A56</x:f>
        <x:v>DEC-P1-FDS-01</x:v>
      </x:c>
      <x:c r="B24" s="83" t="str">
        <x:f>WBS!B56</x:f>
        <x:v>거래 보류 도입 범위·판정·평가 실패·Gate 편입 결정</x:v>
      </x:c>
      <x:c r="C24" s="83" t="str">
        <x:f>WBS!E56</x:f>
        <x:v>Decision</x:v>
      </x:c>
      <x:c r="D24" s="83" t="str">
        <x:f>WBS!G56</x:f>
        <x:v>Done</x:v>
      </x:c>
      <x:c r="E24" s="192" t="n">
        <x:f>WBS!H56</x:f>
        <x:v>46273</x:v>
      </x:c>
      <x:c r="F24" s="192" t="n">
        <x:f>WBS!I56</x:f>
        <x:v>46274</x:v>
      </x:c>
      <x:c r="G24" s="83" t="str">
        <x:f>WBS!L56</x:f>
        <x:v>이재환</x:v>
      </x:c>
      <x:c r="H24" s="196" t="str">
        <x:v>AC: 현행 탐지·기록 유지, 신규 보류·운영 기능 미도입, 실패 정책·계약 소유권, G2 영향 없음 및 후속 검증·재검토 조건 기록</x:v>
      </x:c>
      <x:c r="I24" s="196" t="str">
        <x:f>WBS!Q56</x:f>
        <x:v>현행 유지·신규 기능 확대 유예 결정 Done. 본 v3.1.18 후보에 통합하며 발행 전 운영 정본은 v3.1.17이다. 신규 기능 G2 편입·Runtime 승인은 아니다.
GitHub closed/completed</x:v>
      </x:c>
      <x:c r="J24" s="196" t="str">
        <x:v>Lifecycle only; Runtime separate</x:v>
      </x:c>
    </x:row>
    <x:row r="25" ht="95" customHeight="1">
      <x:c r="A25" s="83" t="str">
        <x:f>WBS!A57</x:f>
        <x:v>DEC-P1-TXN-01</x:v>
      </x:c>
      <x:c r="B25" s="83" t="str">
        <x:f>WBS!B57</x:f>
        <x:v>거래 상태·API 응답·재시도·데이터 정합성 계약 결정</x:v>
      </x:c>
      <x:c r="C25" s="83" t="str">
        <x:f>WBS!E57</x:f>
        <x:v>Decision</x:v>
      </x:c>
      <x:c r="D25" s="83" t="str">
        <x:f>WBS!G57</x:f>
        <x:v>Done</x:v>
      </x:c>
      <x:c r="E25" s="192" t="n">
        <x:f>WBS!H57</x:f>
        <x:v>46273</x:v>
      </x:c>
      <x:c r="F25" s="192" t="n">
        <x:f>WBS!I57</x:f>
        <x:v>46274</x:v>
      </x:c>
      <x:c r="G25" s="83" t="str">
        <x:f>WBS!L57</x:f>
        <x:v>이재환</x:v>
      </x:c>
      <x:c r="H25" s="196" t="str">
        <x:v>AC: 기존 계약 유지 선택, 신규 상태/API·Migration 변경 유예, #4/#6과 정책·표현 소유권 및 기존 구현 정합성 후속 기록</x:v>
      </x:c>
      <x:c r="I25" s="196" t="str">
        <x:f>WBS!Q57</x:f>
        <x:v>현행 유지·신규 기능 확대 유예 결정 Done. 본 v3.1.18 후보에 통합하며 발행 전 운영 정본은 v3.1.17이다. 신규 기능 G2 편입·Runtime 승인은 아니다.
GitHub closed/completed</x:v>
      </x:c>
      <x:c r="J25" s="196" t="str">
        <x:v>Lifecycle only; Runtime separate</x:v>
      </x:c>
    </x:row>
    <x:row r="26" ht="95" customHeight="1">
      <x:c r="A26" s="83" t="str">
        <x:f>WBS!A58</x:f>
        <x:v>DEC-P1-ADMIN-01</x:v>
      </x:c>
      <x:c r="B26" s="83" t="str">
        <x:f>WBS!B58</x:f>
        <x:v>보안 시연 범위·테스트 전제·조건부 운영 통제 결정</x:v>
      </x:c>
      <x:c r="C26" s="83" t="str">
        <x:f>WBS!E58</x:f>
        <x:v>Decision</x:v>
      </x:c>
      <x:c r="D26" s="83" t="str">
        <x:f>WBS!G58</x:f>
        <x:v>Done</x:v>
      </x:c>
      <x:c r="E26" s="192" t="n">
        <x:f>WBS!H58</x:f>
        <x:v>46273</x:v>
      </x:c>
      <x:c r="F26" s="192" t="n">
        <x:f>WBS!I58</x:f>
        <x:v>46274</x:v>
      </x:c>
      <x:c r="G26" s="83" t="str">
        <x:f>WBS!L58</x:f>
        <x:v>이하영</x:v>
      </x:c>
      <x:c r="H26" s="196" t="str">
        <x:v>AC: 프론트엔드 배치 제외, 합성 데이터·최소 노출 원칙, 5개 검토 축 적용/유예, 기존 접근 통제 재사용 및 후속 시나리오 인계 기록</x:v>
      </x:c>
      <x:c r="I26" s="196" t="str">
        <x:f>WBS!Q58</x:f>
        <x:v>현행 유지·신규 기능 확대 유예 결정 Done. 본 v3.1.18 후보에 통합하며 발행 전 운영 정본은 v3.1.17이다. 신규 기능 G2 편입·Runtime 승인은 아니다.
GitHub closed/completed</x:v>
      </x:c>
      <x:c r="J26" s="196" t="str">
        <x:v>Lifecycle only; Runtime separate</x:v>
      </x:c>
    </x:row>
    <x:row r="27" ht="95" customHeight="1">
      <x:c r="A27" s="83" t="str">
        <x:f>WBS!A61</x:f>
        <x:v>DEC-P1-EGRESS-01</x:v>
      </x:c>
      <x:c r="B27" s="83" t="str">
        <x:f>WBS!B61</x:f>
        <x:v>Alertmanager 전용 프록시 배치·예약 IP 사용 결정</x:v>
      </x:c>
      <x:c r="C27" s="83" t="str">
        <x:f>WBS!E61</x:f>
        <x:v>Decision</x:v>
      </x:c>
      <x:c r="D27" s="83" t="str">
        <x:f>WBS!G61</x:f>
        <x:v>Done</x:v>
      </x:c>
      <x:c r="E27" s="192" t="n">
        <x:f>WBS!H61</x:f>
        <x:v>46279</x:v>
      </x:c>
      <x:c r="F27" s="192" t="n">
        <x:f>WBS!I61</x:f>
        <x:v>46286</x:v>
      </x:c>
      <x:c r="G27" s="83" t="str">
        <x:f>WBS!L61</x:f>
        <x:v>이권욱</x:v>
      </x:c>
      <x:c r="H27" s="196" t="str">
        <x:v>AC: 배치·예외 정책 기록, 예약 IP/자산 충돌 확인, 자원 영향 검토, #74/#75 구현·인계 조건 연결</x:v>
      </x:c>
      <x:c r="I27" s="196" t="str">
        <x:f>WBS!Q61</x:f>
        <x:v>Decision 범위 종결. 초기 계획 End 2026-09-21은 G2 추적 목표로 보존한다. 배치·정책·예약 IP/자산·자원 영향·#74/#75 구현/인계 조건 확정이 완료되어 2026-09-16 Done 처리한다. #74/#75의 Squid/NetworkPolicy Runtime·독립 리뷰·서비스 인수는 계속 별도 추적하며 본 종결로 완료 처리하지 않는다. 교육장 주말 작업 0 원칙 유지.
GitHub closed/completed</x:v>
      </x:c>
      <x:c r="J27" s="196" t="str">
        <x:v>Lifecycle only; Runtime separate</x:v>
      </x:c>
    </x:row>
    <x:row r="28" ht="95" customHeight="1">
      <x:c r="A28" s="83" t="str">
        <x:f>WBS!A65</x:f>
        <x:v>DEC-P1-ENTRY-01</x:v>
      </x:c>
      <x:c r="B28" s="83" t="str">
        <x:f>WBS!B65</x:f>
        <x:v>Edge Service Exposure Decision</x:v>
      </x:c>
      <x:c r="C28" s="83" t="str">
        <x:f>WBS!E65</x:f>
        <x:v>Decision</x:v>
      </x:c>
      <x:c r="D28" s="83" t="str">
        <x:f>WBS!G65</x:f>
        <x:v>Done</x:v>
      </x:c>
      <x:c r="E28" s="192" t="n">
        <x:f>WBS!H65</x:f>
        <x:v>46261</x:v>
      </x:c>
      <x:c r="F28" s="192" t="n">
        <x:f>WBS!I65</x:f>
        <x:v>46265</x:v>
      </x:c>
      <x:c r="G28" s="83" t="str">
        <x:f>WBS!L65</x:f>
        <x:v>이권욱</x:v>
      </x:c>
      <x:c r="H28" s="196" t="str">
        <x:v>AC: edge01→transaction-api 노출 방식을 Ingress/Reverse Proxy/NodePort 후보 중 확정하고 Port·Health Check·Firewall·NetworkPolicy 변경을 승인</x:v>
      </x:c>
      <x:c r="I28" s="196" t="str">
        <x:f>WBS!Q65</x:f>
        <x:v>D18 PASS(2026-08-31). P1-APP-01 External Exposure와 P1-SEC-01 Allowlist/NetworkPolicy에 승인 결정을 전달한다. P1-LB-01 API LB와 P1-K8S-01 Cluster Bootstrap에는 Non-blocking이다.
GitHub closed/completed</x:v>
      </x:c>
      <x:c r="J28" s="196" t="str">
        <x:v>Lifecycle only; Runtime separate</x:v>
      </x:c>
    </x:row>
    <x:row r="29" ht="95" customHeight="1">
      <x:c r="A29" s="83" t="str">
        <x:f>WBS!A66</x:f>
        <x:v>DEC-P1-MON-01</x:v>
      </x:c>
      <x:c r="B29" s="83" t="str">
        <x:f>WBS!B66</x:f>
        <x:v>Kubernetes-Integrated Hybrid Monitoring Architecture</x:v>
      </x:c>
      <x:c r="C29" s="83" t="str">
        <x:f>WBS!E66</x:f>
        <x:v>Decision</x:v>
      </x:c>
      <x:c r="D29" s="83" t="str">
        <x:f>WBS!G66</x:f>
        <x:v>Done</x:v>
      </x:c>
      <x:c r="E29" s="192" t="n">
        <x:f>WBS!H66</x:f>
        <x:v>46265</x:v>
      </x:c>
      <x:c r="F29" s="192" t="n">
        <x:f>WBS!I66</x:f>
        <x:v>46265</x:v>
      </x:c>
      <x:c r="G29" s="83" t="str">
        <x:f>WBS!L66</x:f>
        <x:v>이권욱</x:v>
      </x:c>
      <x:c r="H29" s="196" t="str">
        <x:v>AC: Grafana 포함 Kubernetes 내부 관측 Stack, node-exporter 통제 예외, monitor01 외부 Watchdog, IF-05/IF-06 계열, 보안·Rollback·후속 구현 책임을 D33으로 승인하고 Baseline·Architecture·Addendum·Release Notes를 발행</x:v>
      </x:c>
      <x:c r="I29" s="196" t="str">
        <x:f>WBS!Q66</x:f>
        <x:v>D33 Done/2026-08-31. 본 후보의 Closed/Decision Register에 연결. Runtime 14개 Acceptance는 P1-MON-01, P1 고도화는 P1-MON-02 책임이다.
GitHub closed/completed</x:v>
      </x:c>
      <x:c r="J29" s="196" t="str">
        <x:v>Lifecycle only; Runtime separate</x:v>
      </x:c>
    </x:row>
    <x:row r="30" ht="95" customHeight="1">
      <x:c r="A30" s="83" t="str">
        <x:f>WBS!A67</x:f>
        <x:v>DEC-P1-TLS-01</x:v>
      </x:c>
      <x:c r="B30" s="83" t="str">
        <x:f>WBS!B67</x:f>
        <x:v>Harbor / Edge TLS Trust Decision</x:v>
      </x:c>
      <x:c r="C30" s="83" t="str">
        <x:f>WBS!E67</x:f>
        <x:v>Decision</x:v>
      </x:c>
      <x:c r="D30" s="83" t="str">
        <x:f>WBS!G67</x:f>
        <x:v>Done</x:v>
      </x:c>
      <x:c r="E30" s="192" t="n">
        <x:f>WBS!H67</x:f>
        <x:v>46261</x:v>
      </x:c>
      <x:c r="F30" s="192" t="n">
        <x:f>WBS!I67</x:f>
        <x:v>46265</x:v>
      </x:c>
      <x:c r="G30" s="83" t="str">
        <x:f>WBS!L67</x:f>
        <x:v>이권욱</x:v>
      </x:c>
      <x:c r="H30" s="196" t="str">
        <x:v>AC: Harbor와 edge01의 인증서 발급·SAN·CA Trust 배포·갱신·Rollback 방식을 확정하고 Consumer별 검증방법 승인</x:v>
      </x:c>
      <x:c r="I30" s="196" t="str">
        <x:f>WBS!Q67</x:f>
        <x:v>D19 PASS(2026-08-31). Private CA + 서비스별 Leaf + Consumer CA Trust를 고정한다. Robot Account 설계·발급은 병행 가능하나 실제 로그인·Push/Pull Runtime Test는 CA Trust 적용 후 수행한다.
GitHub closed/completed</x:v>
      </x:c>
      <x:c r="J30" s="196" t="str">
        <x:v>Lifecycle only; Runtime separate</x:v>
      </x:c>
    </x:row>
    <x:row r="31" ht="95" customHeight="1">
      <x:c r="A31" s="83" t="str">
        <x:f>WBS!A71</x:f>
        <x:v>DEC-P2-RHOAI-01</x:v>
      </x:c>
      <x:c r="B31" s="83" t="str">
        <x:f>WBS!B71</x:f>
        <x:v>RHOAI(Red Hat OpenShift AI) 도입 범위 결정</x:v>
      </x:c>
      <x:c r="C31" s="83" t="str">
        <x:f>WBS!E71</x:f>
        <x:v>Decision</x:v>
      </x:c>
      <x:c r="D31" s="83" t="str">
        <x:f>WBS!G71</x:f>
        <x:v>To Do</x:v>
      </x:c>
      <x:c r="E31" s="192" t="n">
        <x:f>WBS!H71</x:f>
        <x:v>0</x:v>
      </x:c>
      <x:c r="F31" s="192" t="n">
        <x:f>WBS!I71</x:f>
        <x:v>0</x:v>
      </x:c>
      <x:c r="G31" s="83" t="str">
        <x:f>WBS!L71</x:f>
        <x:v>이하영</x:v>
      </x:c>
      <x:c r="H31" s="196" t="str">
        <x:v>AC: RHOAI 도입/미도입/유예를 단일안으로 결정하고, 도입 시 적용 범위·ROSA 전제(Version/Quota/Operator 공급)·비용·삭제 절차와 Change Request 발행 근거를, 미도입·유예 시 N/A/Deferred 근거를 기록·승인</x:v>
      </x:c>
      <x:c r="I31" s="196" t="str">
        <x:f>WBS!Q71</x:f>
        <x:v>P1 / Deferred 우선. 2026-10-26 Project Close 전 구현 일정을 배정하지 않는다. 도입 Decision이 남더라도 P0를 차단하지 않으며 10-27 이후 PoC는 별도 프로젝트/승인 범위로 취급한다.
GitHub open/-
원문 일정: TBD — Deferred 우선 / TBD — 프로젝트 종료 후 별도 PoC는 Project Scope 밖</x:v>
      </x:c>
      <x:c r="J31" s="196" t="str">
        <x:v>Lifecycle only; Runtime separate</x:v>
      </x:c>
    </x:row>
    <x:row r="32" ht="95" customHeight="1">
      <x:c r="A32" s="67" t="str">
        <x:f>WBS!A72</x:f>
        <x:v>DEC-P1-MON-02</x:v>
      </x:c>
      <x:c r="B32" s="67" t="str">
        <x:f>WBS!B72</x:f>
        <x:v>Alertmanager Discord 제한 Egress·발송 범위·Secret Lifecycle 결정</x:v>
      </x:c>
      <x:c r="C32" s="67" t="str">
        <x:f>WBS!E72</x:f>
        <x:v>Decision</x:v>
      </x:c>
      <x:c r="D32" s="67" t="str">
        <x:f>WBS!G72</x:f>
        <x:v>Done</x:v>
      </x:c>
      <x:c r="E32" s="229" t="n">
        <x:f>WBS!H72</x:f>
        <x:v>46291</x:v>
      </x:c>
      <x:c r="F32" s="229" t="n">
        <x:f>WBS!I72</x:f>
        <x:v>46291</x:v>
      </x:c>
      <x:c r="G32" s="67" t="str">
        <x:f>WBS!L72</x:f>
        <x:v>이권욱</x:v>
      </x:c>
      <x:c r="H32" s="198" t="str">
        <x:v>AC: #75에서 승인된 Discord 제한 egress 범위, 발송 대상, Secret lifecycle, 실패·복구 인수 결과를 하나의 D-ID로 고정하고 #75/#17 및 v3.1.21 정본 인계 범위를 명시</x:v>
      </x:c>
      <x:c r="I32" s="198" t="str">
        <x:f>WBS!Q72</x:f>
        <x:v>2026-09-26 단일일 Decision으로 종결. #75의 Runtime/AC 인수 결과를 정책으로 고정했으며 P1-MON-01 route 형상·현장 반영 및 전체 Monitoring 인수는 별도 추적한다.
GitHub closed/completed</x:v>
      </x:c>
      <x:c r="J32" s="198" t="str">
        <x:v>Lifecycle only; Runtime separate</x:v>
      </x:c>
    </x:row>
    <x:row r="33" ht="95" customHeight="1">
      <x:c r="A33" s="148" t="str">
        <x:f>WBS!A73</x:f>
        <x:v>DEC-P1-IMG-01</x:v>
      </x:c>
      <x:c r="B33" s="148" t="str">
        <x:f>WBS!B73</x:f>
        <x:v>1단계 애플리케이션 런타임 이미지 공급망 변경 결정</x:v>
      </x:c>
      <x:c r="C33" s="148" t="str">
        <x:f>WBS!E73</x:f>
        <x:v>Decision</x:v>
      </x:c>
      <x:c r="D33" s="148" t="str">
        <x:f>WBS!G73</x:f>
        <x:v>Done</x:v>
      </x:c>
      <x:c r="E33" s="193" t="n">
        <x:f>WBS!H73</x:f>
        <x:v>46292</x:v>
      </x:c>
      <x:c r="F33" s="193" t="n">
        <x:f>WBS!I73</x:f>
        <x:v>46301</x:v>
      </x:c>
      <x:c r="G33" s="148" t="str">
        <x:f>WBS!L73</x:f>
        <x:v>이재환</x:v>
      </x:c>
      <x:c r="H33" s="197" t="str">
        <x:v>AC: P1 애플리케이션 런타임 공급망 선택안, signed attestation 처리 방식, 운영 Dockerfile·Harbor·Kubernetes 후속 게이트 및 롤백 조건을 명시적으로 승인</x:v>
      </x:c>
      <x:c r="I33" s="197" t="str">
        <x:f>WBS!Q73</x:f>
        <x:v>기존 G2 계획일은 경과했다. 본 Decision은 2026-10-06 Phase 1 Review / Close 전 공급망 방향을 확정하기 위한 후속 게이트이며, 일정 입력만으로 승인 또는 런타임 완료 상태를 상향하지 않는다.
Decision Done; Delivery Runtime 완료 아님.
GitHub closed/completed</x:v>
      </x:c>
      <x:c r="J33" s="197" t="str">
        <x:v>Decision Done; Delivery Runtime 완료 아님.</x:v>
      </x:c>
    </x:row>
    <x:row r="34" ht="95" customHeight="1">
      <x:c r="A34" s="148" t="str">
        <x:f>WBS!A75</x:f>
        <x:v>DEC-P2-GITOPS-01</x:v>
      </x:c>
      <x:c r="B34" s="148" t="str">
        <x:f>WBS!B75</x:f>
        <x:v>OpenShift GitOps (Argo CD) 도입 범위 결정</x:v>
      </x:c>
      <x:c r="C34" s="148" t="str">
        <x:f>WBS!E75</x:f>
        <x:v>Decision</x:v>
      </x:c>
      <x:c r="D34" s="148" t="str">
        <x:f>WBS!G75</x:f>
        <x:v>To Do</x:v>
      </x:c>
      <x:c r="E34" s="193" t="n">
        <x:f>WBS!H75</x:f>
        <x:v>0</x:v>
      </x:c>
      <x:c r="F34" s="193" t="n">
        <x:f>WBS!I75</x:f>
        <x:v>0</x:v>
      </x:c>
      <x:c r="G34" s="148" t="str">
        <x:f>WBS!L75</x:f>
        <x:v>이권욱</x:v>
      </x:c>
      <x:c r="H34" s="197" t="str">
        <x:v>AC: OpenShift GitOps 도입/미도입/유예를 단일안으로 결정하고, 도입 시 #46 Delivery Contract 변경 CR·권한모델·Git Source·재생성/Rollback·D26 Operator 공급경로를 승인</x:v>
      </x:c>
      <x:c r="I34" s="197" t="str">
        <x:f>WBS!Q75</x:f>
        <x:v>P1/non-blocking. #42/#46 P0 Registry/Delivery와 겹치지 않도록 G5 이후 capacity가 있을 때만 Go/No-Go를 판단한다. Go 전에는 기존 Runner direct ROSA Delivery Contract를 유지한다.
GitHub open/-
원문 일정: TBD — G5 이후 P0 잔여 capacity 시 / TBD — 10-26 이전 강제하지 않음</x:v>
      </x:c>
      <x:c r="J34" s="197" t="str">
        <x:v>Lifecycle only; Runtime separate</x:v>
      </x:c>
    </x:row>
    <x:row r="35" ht="95" customHeight="1">
      <x:c r="A35" s="148" t="str">
        <x:f>WBS!A76</x:f>
        <x:v>DEC-P2-COMP-01</x:v>
      </x:c>
      <x:c r="B35" s="148" t="str">
        <x:f>WBS!B76</x:f>
        <x:v>Compliance Operator 도입 범위 결정</x:v>
      </x:c>
      <x:c r="C35" s="148" t="str">
        <x:f>WBS!E76</x:f>
        <x:v>Decision</x:v>
      </x:c>
      <x:c r="D35" s="148" t="str">
        <x:f>WBS!G76</x:f>
        <x:v>To Do</x:v>
      </x:c>
      <x:c r="E35" s="193" t="n">
        <x:f>WBS!H76</x:f>
        <x:v>0</x:v>
      </x:c>
      <x:c r="F35" s="193" t="n">
        <x:f>WBS!I76</x:f>
        <x:v>0</x:v>
      </x:c>
      <x:c r="G35" s="148" t="str">
        <x:f>WBS!L76</x:f>
        <x:v>이하영</x:v>
      </x:c>
      <x:c r="H35" s="197" t="str">
        <x:v>AC: Compliance Operator 도입/미도입/유예를 단일안으로 결정하고, 도입 시 ROSA topology(HCP 여부)·지원 Version·Scan profile/suite·결과 처리·Known Issue 경계·Operator 공급경로를 승인</x:v>
      </x:c>
      <x:c r="I35" s="197" t="str">
        <x:f>WBS!Q76</x:f>
        <x:v>P1/non-blocking. #38 ROSA Platform/Security P0와 겹치지 않도록 G5 이후 capacity가 있을 때만 결정한다. Go 전에는 #38 현행 Security AC를 유지한다.
GitHub open/-
원문 일정: TBD — G5 이후 P0 잔여 capacity 시 / TBD — 10-26 이전 강제하지 않음</x:v>
      </x:c>
      <x:c r="J35" s="197" t="str">
        <x:v>Lifecycle only; Runtime separate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0" customWidth="1"/>
    <x:col min="3" max="3" width="36" customWidth="1"/>
    <x:col min="4" max="4" width="14" customWidth="1"/>
    <x:col min="5" max="5" width="14" customWidth="1"/>
    <x:col min="6" max="6" width="56" customWidth="1"/>
    <x:col min="7" max="7" width="30" customWidth="1"/>
    <x:col min="8" max="8" width="34" customWidth="1"/>
  </x:cols>
  <x:sheetData>
    <x:row r="1" ht="32" customHeight="1">
      <x:c r="A1" s="237" t="str">
        <x:v>FDS v3.1.21 · Risks &amp; Assumptions (RELEASED)</x:v>
      </x:c>
      <x:c r="B1" s="238"/>
      <x:c r="C1" s="238"/>
      <x:c r="D1" s="238"/>
      <x:c r="E1" s="238"/>
      <x:c r="F1" s="238"/>
      <x:c r="G1" s="238"/>
      <x:c r="H1" s="238"/>
    </x:row>
    <x:row r="3">
      <x:c r="A3" s="9" t="inlineStr">
        <x:is>
          <x:t xml:space="preserve">ID</x:t>
        </x:is>
      </x:c>
      <x:c r="B3" s="9" t="inlineStr">
        <x:is>
          <x:t xml:space="preserve">Risk / Assumption</x:t>
        </x:is>
      </x:c>
      <x:c r="C3" s="9" t="inlineStr">
        <x:is>
          <x:t xml:space="preserve">Impact</x:t>
        </x:is>
      </x:c>
      <x:c r="D3" s="9" t="inlineStr">
        <x:is>
          <x:t xml:space="preserve">Status</x:t>
        </x:is>
      </x:c>
      <x:c r="E3" s="9" t="inlineStr">
        <x:is>
          <x:t xml:space="preserve">Owner</x:t>
        </x:is>
      </x:c>
      <x:c r="F3" s="9" t="inlineStr">
        <x:is>
          <x:t xml:space="preserve">Mitigation / Recommendation</x:t>
        </x:is>
      </x:c>
      <x:c r="G3" s="9" t="inlineStr">
        <x:is>
          <x:t xml:space="preserve">Decision needed</x:t>
        </x:is>
      </x:c>
      <x:c r="H3" s="9" t="inlineStr">
        <x:is>
          <x:t xml:space="preserve">Evidence / Trigger</x:t>
        </x:is>
      </x:c>
    </x:row>
    <x:row r="4" ht="42" customHeight="1">
      <x:c r="A4" s="13" t="inlineStr">
        <x:is>
          <x:t xml:space="preserve">RA-01</x:t>
        </x:is>
      </x:c>
      <x:c r="B4" s="13" t="inlineStr">
        <x:is>
          <x:t xml:space="preserve">server01/server08 service concentration</x:t>
        </x:is>
      </x:c>
      <x:c r="C4" s="13" t="inlineStr">
        <x:is>
          <x:t xml:space="preserve">External SPOF remains despite 3CP+3Worker</x:t>
        </x:is>
      </x:c>
      <x:c r="D4" s="13" t="inlineStr">
        <x:is>
          <x:t xml:space="preserve">Open</x:t>
        </x:is>
      </x:c>
      <x:c r="E4" s="13" t="inlineStr">
        <x:is>
          <x:t xml:space="preserve">이권욱</x:t>
        </x:is>
      </x:c>
      <x:c r="F4" s="13" t="inlineStr">
        <x:is>
          <x:t xml:space="preserve">Prioritize LB/Registry/DB/management HA roadmap</x:t>
        </x:is>
      </x:c>
      <x:c r="G4" s="13" t="inlineStr">
        <x:is>
          <x:t xml:space="preserve">Mentor/Lead priority</x:t>
        </x:is>
      </x:c>
      <x:c r="H4" s="13" t="inlineStr">
        <x:is>
          <x:t xml:space="preserve">Failure domain review</x:t>
        </x:is>
      </x:c>
    </x:row>
    <x:row r="5" ht="42" customHeight="1">
      <x:c r="A5" s="13" t="inlineStr">
        <x:is>
          <x:t xml:space="preserve">RA-02</x:t>
        </x:is>
      </x:c>
      <x:c r="B5" s="13" t="inlineStr">
        <x:is>
          <x:t xml:space="preserve">ICR-D-NET-01-01 End TBD</x:t>
        </x:is>
      </x:c>
      <x:c r="C5" s="13" t="inlineStr">
        <x:is>
          <x:t xml:space="preserve">G2 schedule uncertainty</x:t>
        </x:is>
      </x:c>
      <x:c r="D5" s="13" t="inlineStr">
        <x:is>
          <x:t xml:space="preserve">Open</x:t>
        </x:is>
      </x:c>
      <x:c r="E5" s="13" t="inlineStr">
        <x:is>
          <x:t xml:space="preserve">이권욱</x:t>
        </x:is>
      </x:c>
      <x:c r="F5" s="13" t="inlineStr">
        <x:is>
          <x:t xml:space="preserve">Set end date after canary scope and rollback approval</x:t>
        </x:is>
      </x:c>
      <x:c r="G5" s="13" t="inlineStr">
        <x:is>
          <x:t xml:space="preserve">End date</x:t>
        </x:is>
      </x:c>
      <x:c r="H5" s="13" t="inlineStr">
        <x:is>
          <x:t xml:space="preserve">ICR plan</x:t>
        </x:is>
      </x:c>
    </x:row>
    <x:row r="6" ht="42" customHeight="1">
      <x:c r="A6" s="13" t="inlineStr">
        <x:is>
          <x:t xml:space="preserve">RA-03</x:t>
        </x:is>
      </x:c>
      <x:c r="B6" s="13" t="inlineStr">
        <x:is>
          <x:t xml:space="preserve">Management return route not closed</x:t>
        </x:is>
      </x:c>
      <x:c r="C6" s="13" t="inlineStr">
        <x:is>
          <x:t xml:space="preserve">P1-MON watchdog linkage blocked</x:t>
        </x:is>
      </x:c>
      <x:c r="D6" s="13" t="inlineStr">
        <x:is>
          <x:t xml:space="preserve">Open</x:t>
        </x:is>
      </x:c>
      <x:c r="E6" s="13" t="inlineStr">
        <x:is>
          <x:t xml:space="preserve">이권욱</x:t>
        </x:is>
      </x:c>
      <x:c r="F6" s="13" t="inlineStr">
        <x:is>
          <x:t xml:space="preserve">Validate .58 route on monitor/db/harbor/edge</x:t>
        </x:is>
      </x:c>
      <x:c r="G6" s="13" t="inlineStr">
        <x:is>
          <x:t xml:space="preserve">Completion date</x:t>
        </x:is>
      </x:c>
      <x:c r="H6" s="13" t="inlineStr">
        <x:is>
          <x:t xml:space="preserve">Positive/negative route evidence</x:t>
        </x:is>
      </x:c>
    </x:row>
    <x:row r="7" ht="42" customHeight="1">
      <x:c r="A7" s="13" t="inlineStr">
        <x:is>
          <x:t xml:space="preserve">RA-04</x:t>
        </x:is>
      </x:c>
      <x:c r="B7" s="13" t="inlineStr">
        <x:is>
          <x:t xml:space="preserve">Slides 11/12 screenshots absent</x:t>
        </x:is>
      </x:c>
      <x:c r="C7" s="13" t="inlineStr">
        <x:is>
          <x:t xml:space="preserve">Cannot claim runtime completion</x:t>
        </x:is>
      </x:c>
      <x:c r="D7" s="13" t="inlineStr">
        <x:is>
          <x:t xml:space="preserve">Open</x:t>
        </x:is>
      </x:c>
      <x:c r="E7" s="13" t="inlineStr">
        <x:is>
          <x:t xml:space="preserve">이재환</x:t>
        </x:is>
      </x:c>
      <x:c r="F7" s="13" t="inlineStr">
        <x:is>
          <x:t xml:space="preserve">Attach timestamped Test ID/result/path evidence</x:t>
        </x:is>
      </x:c>
      <x:c r="G7" s="13" t="inlineStr">
        <x:is>
          <x:t xml:space="preserve">Evidence acceptance</x:t>
        </x:is>
      </x:c>
      <x:c r="H7" s="13" t="inlineStr">
        <x:is>
          <x:t xml:space="preserve">P1-MON / DR evidence</x:t>
        </x:is>
      </x:c>
    </x:row>
    <x:row r="8" ht="42" customHeight="1">
      <x:c r="A8" s="13" t="inlineStr">
        <x:is>
          <x:t xml:space="preserve">RA-05</x:t>
        </x:is>
      </x:c>
      <x:c r="B8" s="13" t="inlineStr">
        <x:is>
          <x:t xml:space="preserve">Weekend classroom unavailable; reviews moved to weekdays</x:t>
        </x:is>
      </x:c>
      <x:c r="C8" s="13" t="inlineStr">
        <x:is>
          <x:t xml:space="preserve">Attendance and close-date risk</x:t>
        </x:is>
      </x:c>
      <x:c r="D8" s="13" t="inlineStr">
        <x:is>
          <x:t xml:space="preserve">Schedule proposal</x:t>
        </x:is>
      </x:c>
      <x:c r="E8" s="13" t="inlineStr">
        <x:is>
          <x:t xml:space="preserve">이권욱</x:t>
        </x:is>
      </x:c>
      <x:c r="F8" s="13" t="inlineStr">
        <x:is>
          <x:t xml:space="preserve">D20/D24 keep or move to business day</x:t>
        </x:is>
      </x:c>
      <x:c r="G8" s="13" t="inlineStr">
        <x:is>
          <x:t xml:space="preserve">Calendar decision</x:t>
        </x:is>
      </x:c>
      <x:c r="H8" s="13" t="inlineStr">
        <x:is>
          <x:t xml:space="preserve">Approved calendar</x:t>
        </x:is>
      </x:c>
    </x:row>
    <x:row r="9" ht="42" customHeight="1">
      <x:c r="A9" s="13" t="inlineStr">
        <x:is>
          <x:t xml:space="preserve">RA-06</x:t>
        </x:is>
      </x:c>
      <x:c r="B9" s="13" t="inlineStr">
        <x:is>
          <x:t xml:space="preserve">JH absent 09-14–17; handoff due 09-11</x:t>
        </x:is>
      </x:c>
      <x:c r="C9" s="13" t="inlineStr">
        <x:is>
          <x:t xml:space="preserve">P1-DB/G1/APP/MON 및 HA/DR/E2E ownership conflict</x:t>
        </x:is>
      </x:c>
      <x:c r="D9" s="13" t="inlineStr">
        <x:is>
          <x:t xml:space="preserve">Open / critical dependency</x:t>
        </x:is>
      </x:c>
      <x:c r="E9" s="13" t="inlineStr">
        <x:is>
          <x:t xml:space="preserve">이권욱</x:t>
        </x:is>
      </x:c>
      <x:c r="F9" s="13" t="inlineStr">
        <x:is>
          <x:t xml:space="preserve">09-04 owner-specific 일정 재기준선 반영; 지원 이권욱·이하영. 09/14–17 실행·리뷰 커버리지 유지.</x:t>
        </x:is>
      </x:c>
      <x:c r="G9" s="13" t="inlineStr">
        <x:is>
          <x:t xml:space="preserve">No further decision for 09-04; later absence coverage remains active</x:t>
        </x:is>
      </x:c>
      <x:c r="H9" s="13" t="inlineStr">
        <x:is>
          <x:t xml:space="preserve">D36; Team Calendar; updated WBS</x:t>
        </x:is>
      </x:c>
    </x:row>
    <x:row r="10" ht="42" customHeight="1">
      <x:c r="A10" s="13" t="inlineStr">
        <x:is>
          <x:t xml:space="preserve">RA-07</x:t>
        </x:is>
      </x:c>
      <x:c r="B10" s="13" t="inlineStr">
        <x:is>
          <x:t xml:space="preserve">HEP/GNP lockout</x:t>
        </x:is>
      </x:c>
      <x:c r="C10" s="13" t="inlineStr">
        <x:is>
          <x:t xml:space="preserve">SSH/API/CNI outage</x:t>
        </x:is>
      </x:c>
      <x:c r="D10" s="13" t="inlineStr">
        <x:is>
          <x:t xml:space="preserve">Open</x:t>
        </x:is>
      </x:c>
      <x:c r="E10" s="13" t="inlineStr">
        <x:is>
          <x:t xml:space="preserve">이하영</x:t>
        </x:is>
      </x:c>
      <x:c r="F10" s="13" t="inlineStr">
        <x:is>
          <x:t xml:space="preserve">Bootstrap allow → canary Worker → Worker → CP; rollback</x:t>
        </x:is>
      </x:c>
      <x:c r="G10" s="13" t="inlineStr">
        <x:is>
          <x:t xml:space="preserve">Canary gate</x:t>
        </x:is>
      </x:c>
      <x:c r="H10" s="13" t="inlineStr">
        <x:is>
          <x:t xml:space="preserve">Connectivity regression</x:t>
        </x:is>
      </x:c>
    </x:row>
    <x:row r="11" ht="42" customHeight="1">
      <x:c r="A11" s="13" t="inlineStr">
        <x:is>
          <x:t xml:space="preserve">RA-08</x:t>
        </x:is>
      </x:c>
      <x:c r="B11" s="13" t="inlineStr">
        <x:is>
          <x:t xml:space="preserve">externalTrafficPolicy Local without local endpoint</x:t>
        </x:is>
      </x:c>
      <x:c r="C11" s="13" t="inlineStr">
        <x:is>
          <x:t xml:space="preserve">Traffic dropped on selected Worker</x:t>
        </x:is>
      </x:c>
      <x:c r="D11" s="13" t="inlineStr">
        <x:is>
          <x:t xml:space="preserve">Open</x:t>
        </x:is>
      </x:c>
      <x:c r="E11" s="13" t="inlineStr">
        <x:is>
          <x:t xml:space="preserve">이권욱</x:t>
        </x:is>
      </x:c>
      <x:c r="F11" s="13" t="inlineStr">
        <x:is>
          <x:t xml:space="preserve">Replica topology + LB health excludes node</x:t>
        </x:is>
      </x:c>
      <x:c r="G11" s="13" t="inlineStr">
        <x:is>
          <x:t xml:space="preserve">Backend health policy</x:t>
        </x:is>
      </x:c>
      <x:c r="H11" s="13" t="inlineStr">
        <x:is>
          <x:t xml:space="preserve">Node-local endpoint test</x:t>
        </x:is>
      </x:c>
    </x:row>
    <x:row r="12" ht="42" customHeight="1">
      <x:c r="A12" s="13" t="inlineStr">
        <x:is>
          <x:t xml:space="preserve">RA-09</x:t>
        </x:is>
      </x:c>
      <x:c r="B12" s="13" t="inlineStr">
        <x:is>
          <x:t xml:space="preserve">Trivy severity threshold not explicit in canonical</x:t>
        </x:is>
      </x:c>
      <x:c r="C12" s="13" t="inlineStr">
        <x:is>
          <x:t xml:space="preserve">Pipeline gate ambiguity</x:t>
        </x:is>
      </x:c>
      <x:c r="D12" s="13" t="inlineStr">
        <x:is>
          <x:t xml:space="preserve">Open</x:t>
        </x:is>
      </x:c>
      <x:c r="E12" s="13" t="inlineStr">
        <x:is>
          <x:t xml:space="preserve">이하영</x:t>
        </x:is>
      </x:c>
      <x:c r="F12" s="13" t="inlineStr">
        <x:is>
          <x:t xml:space="preserve">Approve HIGH/CRITICAL fail threshold in P1-CICD-01</x:t>
        </x:is>
      </x:c>
      <x:c r="G12" s="13" t="inlineStr">
        <x:is>
          <x:t xml:space="preserve">Threshold approval</x:t>
        </x:is>
      </x:c>
      <x:c r="H12" s="13" t="inlineStr">
        <x:is>
          <x:t xml:space="preserve">Negative scan gate</x:t>
        </x:is>
      </x:c>
    </x:row>
    <x:row r="13" ht="42" customHeight="1">
      <x:c r="A13" s="13" t="inlineStr">
        <x:is>
          <x:t xml:space="preserve">RA-10</x:t>
        </x:is>
      </x:c>
      <x:c r="B13" s="13" t="inlineStr">
        <x:is>
          <x:t xml:space="preserve">Kubernetes minor / PSA version TBD</x:t>
        </x:is>
      </x:c>
      <x:c r="C13" s="13" t="inlineStr">
        <x:is>
          <x:t xml:space="preserve">Unexpected admission change on upgrade</x:t>
        </x:is>
      </x:c>
      <x:c r="D13" s="13" t="inlineStr">
        <x:is>
          <x:t xml:space="preserve">Open</x:t>
        </x:is>
      </x:c>
      <x:c r="E13" s="13" t="inlineStr">
        <x:is>
          <x:t xml:space="preserve">이하영</x:t>
        </x:is>
      </x:c>
      <x:c r="F13" s="13" t="inlineStr">
        <x:is>
          <x:t xml:space="preserve">Read cluster minor in P1-K8S then pin PSA version</x:t>
        </x:is>
      </x:c>
      <x:c r="G13" s="13" t="inlineStr">
        <x:is>
          <x:t xml:space="preserve">Version value</x:t>
        </x:is>
      </x:c>
      <x:c r="H13" s="13" t="inlineStr">
        <x:is>
          <x:t xml:space="preserve">kubectl version evidence</x:t>
        </x:is>
      </x:c>
    </x:row>
    <x:row r="14" ht="36" customHeight="1">
      <x:c r="A14" s="67" t="inlineStr">
        <x:is>
          <x:t xml:space="preserve">RA-11</x:t>
        </x:is>
      </x:c>
      <x:c r="B14" s="67" t="inlineStr">
        <x:is>
          <x:t xml:space="preserve">HY leave 09-08 / 09-10; review capacity constraint</x:t>
        </x:is>
      </x:c>
      <x:c r="C14" s="67" t="inlineStr">
        <x:is>
          <x:t xml:space="preserve">P1-K8S/P1-HBR/P1-SEC Lead gap; review/support capacity reduced</x:t>
        </x:is>
      </x:c>
      <x:c r="D14" s="67" t="inlineStr">
        <x:is>
          <x:t xml:space="preserve">Mitigated / Watch</x:t>
        </x:is>
      </x:c>
      <x:c r="E14" s="67" t="inlineStr">
        <x:is>
          <x:t xml:space="preserve">이권욱</x:t>
        </x:is>
      </x:c>
      <x:c r="F14" s="67" t="inlineStr">
        <x:is>
          <x:t xml:space="preserve">No solo closure; GU coverage; rebaseline only by separate approval</x:t>
        </x:is>
      </x:c>
      <x:c r="G14" s="67" t="inlineStr">
        <x:is>
          <x:t xml:space="preserve">Reassess actual delay after return</x:t>
        </x:is>
      </x:c>
      <x:c r="H14" s="67" t="inlineStr">
        <x:is>
          <x:t xml:space="preserve">Team Calendar; updated WBS/Gantt</x:t>
        </x:is>
      </x:c>
    </x:row>
    <x:row r="16" ht="55" customHeight="1">
      <x:c r="A16" s="198" t="str">
        <x:v>RA-12</x:v>
      </x:c>
      <x:c r="B16" s="198" t="str">
        <x:v>Freeze/capacity date conflict</x:v>
      </x:c>
      <x:c r="C16" s="198" t="str">
        <x:v>Stage-A/G4 readiness</x:v>
      </x:c>
      <x:c r="D16" s="198" t="str">
        <x:v>Open</x:v>
      </x:c>
      <x:c r="E16" s="198" t="str">
        <x:v>이권욱</x:v>
      </x:c>
      <x:c r="F16" s="198" t="str">
        <x:v>Capacity before first Freeze</x:v>
      </x:c>
      <x:c r="G16" s="198" t="str">
        <x:v>10/12 proposal vs10/8 target</x:v>
      </x:c>
      <x:c r="H16" s="198" t="str">
        <x:v>PR8 c421733/#43</x:v>
      </x:c>
    </x:row>
    <x:row r="17" ht="55" customHeight="1">
      <x:c r="A17" s="198" t="str">
        <x:v>RA-13</x:v>
      </x:c>
      <x:c r="B17" s="198" t="str">
        <x:v>Dynamic worker source</x:v>
      </x:c>
      <x:c r="C17" s="198" t="str">
        <x:v>DB/Harbor continuity</x:v>
      </x:c>
      <x:c r="D17" s="198" t="str">
        <x:v>Open</x:v>
      </x:c>
      <x:c r="E17" s="198" t="str">
        <x:v>이하영/이재환</x:v>
      </x:c>
      <x:c r="F17" s="198" t="str">
        <x:v>Approved model+inventory/SLA</x:v>
      </x:c>
      <x:c r="G17" s="198" t="str">
        <x:v>Model/permissions/runtime pending</x:v>
      </x:c>
      <x:c r="H17" s="198" t="str">
        <x:v>#38/#47</x:v>
      </x:c>
    </x:row>
    <x:row r="18" ht="55" customHeight="1">
      <x:c r="A18" s="198" t="str">
        <x:v>RA-14</x:v>
      </x:c>
      <x:c r="B18" s="198" t="str">
        <x:v>D21 raw missing</x:v>
      </x:c>
      <x:c r="C18" s="198" t="str">
        <x:v>Evidence publication</x:v>
      </x:c>
      <x:c r="D18" s="198" t="str">
        <x:v>Open</x:v>
      </x:c>
      <x:c r="E18" s="198" t="str">
        <x:v>이권욱</x:v>
      </x:c>
      <x:c r="F18" s="198" t="str">
        <x:v>Authorized intake+rehash</x:v>
      </x:c>
      <x:c r="G18" s="198" t="str">
        <x:v>8706B expected; not received</x:v>
      </x:c>
      <x:c r="H18" s="198" t="str">
        <x:v>#36</x:v>
      </x:c>
    </x:row>
    <x:row r="19" ht="55" customHeight="1">
      <x:c r="A19" s="198" t="str">
        <x:v>RA-15</x:v>
      </x:c>
      <x:c r="B19" s="198" t="str">
        <x:v>Cost authority/input</x:v>
      </x:c>
      <x:c r="C19" s="198" t="str">
        <x:v>Paid window</x:v>
      </x:c>
      <x:c r="D19" s="198" t="str">
        <x:v>Open</x:v>
      </x:c>
      <x:c r="E19" s="198" t="str">
        <x:v>이권욱/이하영</x:v>
      </x:c>
      <x:c r="F19" s="198" t="str">
        <x:v>Education limit/full cost/daily report</x:v>
      </x:c>
      <x:c r="G19" s="198" t="str">
        <x:v>Exact limit/time/rates pending</x:v>
      </x:c>
      <x:c r="H19" s="198" t="str">
        <x:v>#34/#35</x:v>
      </x:c>
    </x:row>
    <x:row r="20" ht="55" customHeight="1">
      <x:c r="A20" s="198" t="str">
        <x:v>RA-16</x:v>
      </x:c>
      <x:c r="B20" s="198" t="str">
        <x:v>P1 residuals</x:v>
      </x:c>
      <x:c r="C20" s="198" t="str">
        <x:v>10/6 Close</x:v>
      </x:c>
      <x:c r="D20" s="198" t="str">
        <x:v>Open</x:v>
      </x:c>
      <x:c r="E20" s="198" t="str">
        <x:v>각 P1 Lead</x:v>
      </x:c>
      <x:c r="F20" s="198" t="str">
        <x:v>Preserve NOT MET/Known Issue</x:v>
      </x:c>
      <x:c r="G20" s="198" t="str">
        <x:v>No automatic close</x:v>
      </x:c>
      <x:c r="H20" s="198" t="str">
        <x:v>#15/#16/#19</x:v>
      </x:c>
    </x:row>
  </x:sheetData>
  <x:conditionalFormatting sqref="D4:D13">
    <x:cfRule type="containsText" dxfId="2" priority="1" operator="containsText" text="Ope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8" customWidth="1"/>
    <x:col min="3" max="3" width="20" customWidth="1"/>
    <x:col min="4" max="4" width="30" customWidth="1"/>
    <x:col min="5" max="5" width="58" customWidth="1"/>
    <x:col min="7" max="7" width="24" customWidth="1"/>
    <x:col min="8" max="8" width="52" customWidth="1"/>
    <x:col min="10" max="10" width="24" customWidth="1"/>
  </x:cols>
  <x:sheetData>
    <x:row r="1" ht="32" customHeight="1">
      <x:c r="A1" s="237" t="str">
        <x:v>FDS v3.1.21 · Sources &amp; Change Log (RELEASED)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2">
      <x:c r="J2" s="177" t="n">
        <x:v>46289</x:v>
      </x:c>
    </x:row>
    <x:row r="3">
      <x:c r="A3" s="9" t="inlineStr">
        <x:is>
          <x:t xml:space="preserve">Type</x:t>
        </x:is>
      </x:c>
      <x:c r="B3" s="9" t="inlineStr">
        <x:is>
          <x:t xml:space="preserve">Source / Change</x:t>
        </x:is>
      </x:c>
      <x:c r="C3" s="9" t="inlineStr">
        <x:is>
          <x:t xml:space="preserve">Version / Date</x:t>
        </x:is>
      </x:c>
      <x:c r="D3" s="9" t="inlineStr">
        <x:is>
          <x:t xml:space="preserve">Use</x:t>
        </x:is>
      </x:c>
      <x:c r="E3" s="9" t="inlineStr">
        <x:is>
          <x:t xml:space="preserve">Notes</x:t>
        </x:is>
      </x:c>
      <x:c r="G3" s="9" t="inlineStr">
        <x:is>
          <x:t xml:space="preserve">Canonical change</x:t>
        </x:is>
      </x:c>
      <x:c r="H3" s="9" t="inlineStr">
        <x:is>
          <x:t xml:space="preserve">Applied result</x:t>
        </x:is>
      </x:c>
      <x:c r="J3" s="177" t="n">
        <x:v>46290</x:v>
      </x:c>
    </x:row>
    <x:row r="4">
      <x:c r="A4" s="13" t="inlineStr">
        <x:is>
          <x:t xml:space="preserve">Canonical baseline</x:t>
        </x:is>
      </x:c>
      <x:c r="B4" s="13" t="str">
        <x:v>FDS_Project_Implementation_Baseline_v3.1.21.md</x:v>
      </x:c>
      <x:c r="C4" s="13" t="str">
        <x:v>v3.1.21 RELEASED</x:v>
      </x:c>
      <x:c r="D4" s="13" t="str">
        <x:v>2026-10-03</x:v>
      </x:c>
      <x:c r="E4" s="13" t="str">
        <x:v>78 Issue snapshot; historical rows remain dated.</x:v>
      </x:c>
      <x:c r="G4" s="13" t="inlineStr">
        <x:is>
          <x:t xml:space="preserve">D36 / Team availability</x:t>
        </x:is>
      </x:c>
      <x:c r="H4" s="13" t="inlineStr">
        <x:is>
          <x:t xml:space="preserve">JH LEE 09-04 personal leave approved; owner-specific calendar added</x:t>
        </x:is>
      </x:c>
      <x:c r="J4" s="177" t="n">
        <x:v>46300</x:v>
      </x:c>
    </x:row>
    <x:row r="5">
      <x:c r="A5" s="13" t="inlineStr">
        <x:is>
          <x:t xml:space="preserve">Canonical ticket pack</x:t>
        </x:is>
      </x:c>
      <x:c r="B5" s="13" t="inlineStr">
        <x:is>
          <x:t xml:space="preserve">FDS_v3.1.19_Canonical_Ticket_Update_Pack_v1.0.md</x:t>
        </x:is>
      </x:c>
      <x:c r="C5" s="13" t="inlineStr">
        <x:is>
          <x:t xml:space="preserve">v3.1.19</x:t>
        </x:is>
      </x:c>
      <x:c r="D5" s="13" t="inlineStr">
        <x:is>
          <x:t xml:space="preserve">2026-09-17</x:t>
        </x:is>
      </x:c>
      <x:c r="E5" s="13" t="inlineStr">
        <x:is>
          <x:t xml:space="preserve">67 records; 58 planning + 9 historical closed</x:t>
        </x:is>
      </x:c>
      <x:c r="G5" s="13" t="inlineStr">
        <x:is>
          <x:t xml:space="preserve">P1-DNS-01</x:t>
        </x:is>
      </x:c>
      <x:c r="H5" s="13" t="inlineStr">
        <x:is>
          <x:t xml:space="preserve">Done; technical/Evidence/Support review closed 2026-09-03</x:t>
        </x:is>
      </x:c>
      <x:c r="J5" s="177" t="n">
        <x:v>46304</x:v>
      </x:c>
    </x:row>
    <x:row r="6">
      <x:c r="A6" s="13" t="inlineStr">
        <x:is>
          <x:t xml:space="preserve">Canonical</x:t>
        </x:is>
      </x:c>
      <x:c r="B6" s="13" t="inlineStr">
        <x:is>
          <x:t xml:space="preserve">D36_Team_Availability_and_Status_Update_Record_v1.0.md</x:t>
        </x:is>
      </x:c>
      <x:c r="C6" s="13" t="inlineStr">
        <x:is>
          <x:t xml:space="preserve">D36 / 2026-09-03</x:t>
        </x:is>
      </x:c>
      <x:c r="D6" s="13" t="inlineStr">
        <x:is>
          <x:t xml:space="preserve">Personal leave / status / linked dates</x:t>
        </x:is>
      </x:c>
      <x:c r="E6" s="13" t="inlineStr">
        <x:is>
          <x:t xml:space="preserve">User-approved change</x:t>
        </x:is>
      </x:c>
      <x:c r="G6" s="13" t="inlineStr">
        <x:is>
          <x:t xml:space="preserve">P1-K8S-01</x:t>
        </x:is>
      </x:c>
      <x:c r="H6" s="13" t="inlineStr">
        <x:is>
          <x:t xml:space="preserve">In Progress; started 2026-09-03 after LB Stage A handoff</x:t>
        </x:is>
      </x:c>
    </x:row>
    <x:row r="7">
      <x:c r="A7" s="13" t="inlineStr">
        <x:is>
          <x:t xml:space="preserve">Canonical</x:t>
        </x:is>
      </x:c>
      <x:c r="B7" s="13" t="inlineStr">
        <x:is>
          <x:t xml:space="preserve">D-SEC-01_Kubernetes_Security_Design_Baseline_v1.0.md</x:t>
        </x:is>
      </x:c>
      <x:c r="C7" s="13" t="inlineStr">
        <x:is>
          <x:t xml:space="preserve">v1.0 / APPROVED</x:t>
        </x:is>
      </x:c>
      <x:c r="D7" s="13" t="inlineStr">
        <x:is>
          <x:t xml:space="preserve">Security controls</x:t>
        </x:is>
      </x:c>
      <x:c r="E7" s="13" t="inlineStr">
        <x:is>
          <x:t xml:space="preserve">Design approved; runtime evidence separate</x:t>
        </x:is>
      </x:c>
      <x:c r="G7" s="13" t="inlineStr">
        <x:is>
          <x:t xml:space="preserve">P1-LB-01</x:t>
        </x:is>
      </x:c>
      <x:c r="H7" s="13" t="inlineStr">
        <x:is>
          <x:t xml:space="preserve">In Progress; Stage A technical/Evidence PASS, Stage B pending</x:t>
        </x:is>
      </x:c>
    </x:row>
    <x:row r="8">
      <x:c r="A8" s="13" t="inlineStr">
        <x:is>
          <x:t xml:space="preserve">Canonical</x:t>
        </x:is>
      </x:c>
      <x:c r="B8" s="13" t="inlineStr">
        <x:is>
          <x:t xml:space="preserve">ICR-D-NET-01-01_Kubernetes_Node_Host_Firewall_및_Monitoring_Route_변경요청_v1.4.md</x:t>
        </x:is>
      </x:c>
      <x:c r="C8" s="13" t="inlineStr">
        <x:is>
          <x:t xml:space="preserve">v1.4</x:t>
        </x:is>
      </x:c>
      <x:c r="D8" s="13" t="inlineStr">
        <x:is>
          <x:t xml:space="preserve">HEP/GNP / route change</x:t>
        </x:is>
      </x:c>
      <x:c r="E8" s="13" t="inlineStr">
        <x:is>
          <x:t xml:space="preserve">End date TBD</x:t>
        </x:is>
      </x:c>
      <x:c r="G8" s="13" t="inlineStr">
        <x:is>
          <x:t xml:space="preserve">Schedule rebaseline</x:t>
        </x:is>
      </x:c>
      <x:c r="H8" s="13" t="inlineStr">
        <x:is>
          <x:t xml:space="preserve">P1-DB/G1 → 09-07; APP → 09-10; MON starts 09-07; G2/G3/Close unchanged</x:t>
        </x:is>
      </x:c>
    </x:row>
    <x:row r="9">
      <x:c r="A9" s="13" t="inlineStr">
        <x:is>
          <x:t xml:space="preserve">Official</x:t>
        </x:is>
      </x:c>
      <x:c r="B9" s="13" t="inlineStr">
        <x:is>
          <x:t xml:space="preserve">Kubernetes NetworkPolicy</x:t>
        </x:is>
      </x:c>
      <x:c r="C9" s="13" t="inlineStr">
        <x:is>
          <x:t xml:space="preserve">current</x:t>
        </x:is>
      </x:c>
      <x:c r="D9" s="13" t="inlineStr">
        <x:is>
          <x:t xml:space="preserve">Layer 3/4 policy</x:t>
        </x:is>
      </x:c>
      <x:c r="E9" s="13" t="inlineStr">
        <x:is>
          <x:t xml:space="preserve">https://kubernetes.io/docs/concepts/services-networking/network-policies/</x:t>
        </x:is>
      </x:c>
      <x:c r="G9" s="13" t="inlineStr">
        <x:is>
          <x:t xml:space="preserve">P1-MON-01</x:t>
        </x:is>
      </x:c>
      <x:c r="H9" s="13" t="inlineStr">
        <x:is>
          <x:t xml:space="preserve">In Progress; IF-06B 5-minute heartbeat target</x:t>
        </x:is>
      </x:c>
    </x:row>
    <x:row r="10">
      <x:c r="A10" s="13" t="inlineStr">
        <x:is>
          <x:t xml:space="preserve">Official</x:t>
        </x:is>
      </x:c>
      <x:c r="B10" s="13" t="inlineStr">
        <x:is>
          <x:t xml:space="preserve">Kubernetes Secrets encryption at rest</x:t>
        </x:is>
      </x:c>
      <x:c r="C10" s="13" t="inlineStr">
        <x:is>
          <x:t xml:space="preserve">current</x:t>
        </x:is>
      </x:c>
      <x:c r="D10" s="13" t="inlineStr">
        <x:is>
          <x:t xml:space="preserve">EncryptionConfiguration</x:t>
        </x:is>
      </x:c>
      <x:c r="E10" s="13" t="inlineStr">
        <x:is>
          <x:t xml:space="preserve">https://kubernetes.io/docs/tasks/administer-cluster/encrypt-data/</x:t>
        </x:is>
      </x:c>
    </x:row>
    <x:row r="11">
      <x:c r="A11" s="13" t="inlineStr">
        <x:is>
          <x:t xml:space="preserve">Official</x:t>
        </x:is>
      </x:c>
      <x:c r="B11" s="13" t="inlineStr">
        <x:is>
          <x:t xml:space="preserve">Financial cloud usage guide</x:t>
        </x:is>
      </x:c>
      <x:c r="C11" s="13" t="inlineStr">
        <x:is>
          <x:t xml:space="preserve">2025 revision</x:t>
        </x:is>
      </x:c>
      <x:c r="D11" s="13" t="inlineStr">
        <x:is>
          <x:t xml:space="preserve">Trend discussion</x:t>
        </x:is>
      </x:c>
      <x:c r="E11" s="13" t="inlineStr">
        <x:is>
          <x:t xml:space="preserve">https://www.fsec.or.kr/bbs/detail?bbsNo=11691&amp;menuNo=222</x:t>
        </x:is>
      </x:c>
    </x:row>
    <x:row r="12" ht="42" customHeight="1">
      <x:c r="A12" s="67" t="inlineStr">
        <x:is>
          <x:t xml:space="preserve">Canonical</x:t>
        </x:is>
      </x:c>
      <x:c r="B12" s="67" t="inlineStr">
        <x:is>
          <x:t xml:space="preserve">D37_GitHub_Canonical_Baseline_Repository_and_v3.1.17_Release_Record_v1.0.md</x:t>
        </x:is>
      </x:c>
      <x:c r="C12" s="67" t="inlineStr">
        <x:is>
          <x:t xml:space="preserve">D37 / 2026-09-04</x:t>
        </x:is>
      </x:c>
      <x:c r="D12" s="67" t="inlineStr">
        <x:is>
          <x:t xml:space="preserve">Repository governance / integrity correction</x:t>
        </x:is>
      </x:c>
      <x:c r="E12" s="67" t="inlineStr">
        <x:is>
          <x:t xml:space="preserve">v3.1.17 RELEASED 2026-09-07; historical control retained</x:t>
        </x:is>
      </x:c>
    </x:row>
    <x:row r="13" ht="34" customHeight="1">
      <x:c r="A13" s="67" t="inlineStr">
        <x:is>
          <x:t xml:space="preserve">Canonical Candidate</x:t>
        </x:is>
      </x:c>
      <x:c r="B13" s="67" t="inlineStr">
        <x:is>
          <x:t xml:space="preserve">User instruction / Team Availability</x:t>
        </x:is>
      </x:c>
      <x:c r="C13" s="67" t="inlineStr">
        <x:is>
          <x:t xml:space="preserve">2026-09-08</x:t>
        </x:is>
      </x:c>
      <x:c r="D13" s="67" t="inlineStr">
        <x:is>
          <x:t xml:space="preserve">WBS/Gantt owner calendar update</x:t>
        </x:is>
      </x:c>
      <x:c r="E13" s="67" t="inlineStr">
        <x:is>
          <x:t xml:space="preserve">HY LEE interview leave; no automatic rebaseline</x:t>
        </x:is>
      </x:c>
      <x:c r="F13" s="67" t="n"/>
      <x:c r="G13" s="67" t="inlineStr">
        <x:is>
          <x:t xml:space="preserve">WBS/Gantt distribution</x:t>
        </x:is>
      </x:c>
      <x:c r="H13" s="67" t="inlineStr">
        <x:is>
          <x:t xml:space="preserve">Mandatory in every canonical ZIP and as an independent Release Asset</x:t>
        </x:is>
      </x:c>
      <x:c r="I13" s="67" t="n"/>
      <x:c r="J13" s="67" t="n"/>
    </x:row>
    <x:row r="14" ht="42" customHeight="1">
      <x:c r="A14" s="67" t="inlineStr">
        <x:is>
          <x:t xml:space="preserve">Canonical Candidate</x:t>
        </x:is>
      </x:c>
      <x:c r="B14" s="67" t="inlineStr">
        <x:is>
          <x:t xml:space="preserve">CR-P1-ANS-01-01 / infra-ansible PR #1</x:t>
        </x:is>
      </x:c>
      <x:c r="C14" s="67" t="inlineStr">
        <x:is>
          <x:t xml:space="preserve">2026-09-07</x:t>
        </x:is>
      </x:c>
      <x:c r="D14" s="67" t="inlineStr">
        <x:is>
          <x:t xml:space="preserve">완료 CR 정본 동기화</x:t>
        </x:is>
      </x:c>
      <x:c r="E14" s="67" t="inlineStr">
        <x:is>
          <x:t xml:space="preserve">Acceptance Criteria 11/11 PASS; Support Review 및 수동 병합 완료</x:t>
        </x:is>
      </x:c>
      <x:c r="F14" s="67" t="inlineStr">
        <x:is>
          <x:t xml:space="preserve">507d8882a04f53640b07251bcc234b7d6ee81c09</x:t>
        </x:is>
      </x:c>
      <x:c r="G14" s="67" t="inlineStr">
        <x:is>
          <x:t xml:space="preserve">Merge Commit</x:t>
        </x:is>
      </x:c>
      <x:c r="H14" s="67" t="inlineStr">
        <x:is>
          <x:t xml:space="preserve">4f9bdb7c08704eebb3d1b294751e51b0721b6af4</x:t>
        </x:is>
      </x:c>
      <x:c r="I14" s="67" t="inlineStr">
        <x:is>
          <x:t xml:space="preserve">CI</x:t>
        </x:is>
      </x:c>
      <x:c r="J14" s="67" t="inlineStr">
        <x:is>
          <x:t xml:space="preserve">NOT RUN</x:t>
        </x:is>
      </x:c>
    </x:row>
    <x:row r="15" ht="58" customHeight="1">
      <x:c r="A15" s="83" t="inlineStr">
        <x:is>
          <x:t xml:space="preserve">Issue snapshot</x:t>
        </x:is>
      </x:c>
      <x:c r="B15" s="83" t="inlineStr">
        <x:is>
          <x:t xml:space="preserve">tickets/v3.1.19/sources/</x:t>
        </x:is>
      </x:c>
      <x:c r="C15" s="83" t="inlineStr">
        <x:is>
          <x:t xml:space="preserve">2026-09-17</x:t>
        </x:is>
      </x:c>
      <x:c r="D15" s="83" t="inlineStr">
        <x:is>
          <x:t xml:space="preserve">Read-only capture</x:t>
        </x:is>
      </x:c>
      <x:c r="E15" s="83" t="inlineStr">
        <x:is>
          <x:t xml:space="preserve">Owner reports distinguished from independent evidence</x:t>
        </x:is>
      </x:c>
    </x:row>
    <x:row r="16" ht="58" customHeight="1">
      <x:c r="A16" s="83" t="inlineStr">
        <x:is>
          <x:t xml:space="preserve">CR merge</x:t>
        </x:is>
      </x:c>
      <x:c r="B16" s="83" t="inlineStr">
        <x:is>
          <x:t xml:space="preserve">https://github.com/321Team/infra-ansible/pull/1</x:t>
        </x:is>
      </x:c>
      <x:c r="C16" s="83" t="inlineStr">
        <x:is>
          <x:t xml:space="preserve">4f9bdb7c08704eebb3d1b294751e51b0721b6af4</x:t>
        </x:is>
      </x:c>
      <x:c r="D16" s="83" t="inlineStr">
        <x:is>
          <x:t xml:space="preserve">Done 2026-09-07</x:t>
        </x:is>
      </x:c>
      <x:c r="E16" s="83" t="inlineStr">
        <x:is>
          <x:t xml:space="preserve">DNS resolver CR; not Bootstrap approval</x:t>
        </x:is>
      </x:c>
    </x:row>
    <x:row r="17" ht="58" customHeight="1">
      <x:c r="A17" s="83" t="inlineStr">
        <x:is>
          <x:t xml:space="preserve">Follow-up merge</x:t>
        </x:is>
      </x:c>
      <x:c r="B17" s="83" t="inlineStr">
        <x:is>
          <x:t xml:space="preserve">https://github.com/321Team/infra-ansible/pull/3</x:t>
        </x:is>
      </x:c>
      <x:c r="C17" s="83" t="inlineStr">
        <x:is>
          <x:t xml:space="preserve">5cbf3b657014b32a20cb5816d90d3ea5fe4951ab</x:t>
        </x:is>
      </x:c>
      <x:c r="D17" s="83" t="inlineStr">
        <x:is>
          <x:t xml:space="preserve">Merged</x:t>
        </x:is>
      </x:c>
      <x:c r="E17" s="83" t="inlineStr">
        <x:is>
          <x:t xml:space="preserve">Gate 0 code; runtime separate</x:t>
        </x:is>
      </x:c>
    </x:row>
    <x:row r="18" ht="58" customHeight="1">
      <x:c r="A18" s="83" t="inlineStr">
        <x:is>
          <x:t xml:space="preserve">Follow-up merge</x:t>
        </x:is>
      </x:c>
      <x:c r="B18" s="83" t="inlineStr">
        <x:is>
          <x:t xml:space="preserve">https://github.com/321Team/infra-ansible/pull/4</x:t>
        </x:is>
      </x:c>
      <x:c r="C18" s="83" t="inlineStr">
        <x:is>
          <x:t xml:space="preserve">3a02dc8934adb1f80df48ec6763689c401a1e8d6</x:t>
        </x:is>
      </x:c>
      <x:c r="D18" s="83" t="inlineStr">
        <x:is>
          <x:t xml:space="preserve">Merged</x:t>
        </x:is>
      </x:c>
      <x:c r="E18" s="83" t="inlineStr">
        <x:is>
          <x:t xml:space="preserve">SSH count guard + issue #10 operational closure</x:t>
        </x:is>
      </x:c>
    </x:row>
    <x:row r="19" ht="58" customHeight="1">
      <x:c r="A19" s="83" t="inlineStr">
        <x:is>
          <x:t xml:space="preserve">Evidence merge</x:t>
        </x:is>
      </x:c>
      <x:c r="B19" s="83" t="inlineStr">
        <x:is>
          <x:t xml:space="preserve">https://github.com/321Team/fds-project-evidence/pull/2</x:t>
        </x:is>
      </x:c>
      <x:c r="C19" s="83" t="inlineStr">
        <x:is>
          <x:t xml:space="preserve">36a65c64763077eabe680b81827b1c4dc6ad3fc5</x:t>
        </x:is>
      </x:c>
      <x:c r="D19" s="83" t="inlineStr">
        <x:is>
          <x:t xml:space="preserve">Merged</x:t>
        </x:is>
      </x:c>
      <x:c r="E19" s="83" t="inlineStr">
        <x:is>
          <x:t xml:space="preserve">DB evidence merge; deployed app verification incomplete</x:t>
        </x:is>
      </x:c>
    </x:row>
    <x:row r="20" ht="58" customHeight="1">
      <x:c r="A20" s="83" t="inlineStr">
        <x:is>
          <x:t xml:space="preserve">Working days</x:t>
        </x:is>
      </x:c>
      <x:c r="B20" s="83" t="inlineStr">
        <x:is>
          <x:t xml:space="preserve">Team Calendar!A5:F12</x:t>
        </x:is>
      </x:c>
      <x:c r="C20" s="83" t="inlineStr">
        <x:is>
          <x:t xml:space="preserve">2026-09-10</x:t>
        </x:is>
      </x:c>
      <x:c r="D20" s="83" t="inlineStr">
        <x:is>
          <x:t xml:space="preserve">Corrected range</x:t>
        </x:is>
      </x:c>
      <x:c r="E20" s="83" t="inlineStr">
        <x:is>
          <x:t xml:space="preserve">HY 09-08/09-10. Old SEC window 4 days; proposed 09-21 window 10 days.</x:t>
        </x:is>
      </x:c>
    </x:row>
    <x:row r="21" ht="58" customHeight="1">
      <x:c r="A21" s="83" t="inlineStr">
        <x:is>
          <x:t xml:space="preserve">Candidate delta</x:t>
        </x:is>
      </x:c>
      <x:c r="B21" s="83" t="inlineStr">
        <x:is>
          <x:t xml:space="preserve">audit/v3.1.19/integration/property-delta.json</x:t>
        </x:is>
      </x:c>
      <x:c r="C21" s="83" t="inlineStr">
        <x:is>
          <x:t xml:space="preserve">v3.1.19</x:t>
        </x:is>
      </x:c>
      <x:c r="D21" s="83" t="inlineStr">
        <x:is>
          <x:t xml:space="preserve">No Issue write</x:t>
        </x:is>
      </x:c>
      <x:c r="E21" s="83" t="inlineStr">
        <x:is>
          <x:t xml:space="preserve">Description refresh must precede fresh metadata map / plan</x:t>
        </x:is>
      </x:c>
    </x:row>
    <x:row r="22" ht="58" customHeight="1">
      <x:c r="A22" s="83" t="inlineStr">
        <x:is>
          <x:t xml:space="preserve">Planning count</x:t>
        </x:is>
      </x:c>
      <x:c r="B22" s="83" t="inlineStr">
        <x:is>
          <x:t xml:space="preserve">WBS!A4:A61</x:t>
        </x:is>
      </x:c>
      <x:c r="C22" s="83" t="n">
        <x:v>58</x:v>
      </x:c>
      <x:c r="D22" s="83" t="inlineStr">
        <x:is>
          <x:t xml:space="preserve">기존55 + CR2 + Decision1</x:t>
        </x:is>
      </x:c>
      <x:c r="E22" s="83" t="inlineStr">
        <x:is>
          <x:t xml:space="preserve">Historic closed 9 retained in Ticket Pack, excluded from backlog</x:t>
        </x:is>
      </x:c>
    </x:row>
    <x:row r="23" ht="58" customHeight="1">
      <x:c r="A23" s="67" t="inlineStr">
        <x:is>
          <x:t xml:space="preserve">Calendar addition</x:t>
        </x:is>
      </x:c>
      <x:c r="B23" s="67" t="inlineStr">
        <x:is>
          <x:t xml:space="preserve">사용자 지시: 이하영 2026-09-10 면접 휴가</x:t>
        </x:is>
      </x:c>
      <x:c r="C23" s="67" t="inlineStr">
        <x:is>
          <x:t xml:space="preserve">2026-09-10</x:t>
        </x:is>
      </x:c>
      <x:c r="D23" s="67" t="inlineStr">
        <x:is>
          <x:t xml:space="preserve">Personal absence</x:t>
        </x:is>
      </x:c>
      <x:c r="E23" s="67" t="inlineStr">
        <x:is>
          <x:t xml:space="preserve">09-08 유지, P1-SEC 5→4, ICR End TBD</x:t>
        </x:is>
      </x:c>
    </x:row>
    <x:row r="24" ht="58" customHeight="1">
      <x:c r="A24" s="67" t="inlineStr">
        <x:is>
          <x:t xml:space="preserve">ICR follow-up</x:t>
        </x:is>
      </x:c>
      <x:c r="B24" s="67" t="inlineStr">
        <x:is>
          <x:t xml:space="preserve">https://github.com/321Team/infra-kubernetes/pull/3</x:t>
        </x:is>
      </x:c>
      <x:c r="C24" s="67" t="inlineStr">
        <x:is>
          <x:t xml:space="preserve">7d44afc3afff4d322cb4dbeff4433d61e23e111a</x:t>
        </x:is>
      </x:c>
      <x:c r="D24" s="67" t="inlineStr">
        <x:is>
          <x:t xml:space="preserve">Merged; supplement PASS</x:t>
        </x:is>
      </x:c>
      <x:c r="E24" s="67" t="inlineStr">
        <x:is>
          <x:t xml:space="preserve">24/24 queries; time, kubelet cause and Cockpit mask verified. Runtime pending.</x:t>
        </x:is>
      </x:c>
    </x:row>
    <x:row r="25" ht="58" customHeight="1">
      <x:c r="A25" s="67" t="inlineStr">
        <x:is>
          <x:t xml:space="preserve">Runtime plans</x:t>
        </x:is>
      </x:c>
      <x:c r="B25" s="67" t="inlineStr">
        <x:is>
          <x:t xml:space="preserve">https://github.com/321Team/infra-kubernetes/pull/4</x:t>
        </x:is>
      </x:c>
      <x:c r="C25" s="67" t="inlineStr">
        <x:is>
          <x:t xml:space="preserve">PR #2 097ddb5 / #4 75d476e</x:t>
        </x:is>
      </x:c>
      <x:c r="D25" s="67" t="inlineStr">
        <x:is>
          <x:t xml:space="preserve">New HEAD review pending</x:t>
        </x:is>
      </x:c>
      <x:c r="E25" s="67" t="inlineStr">
        <x:is>
          <x:t xml:space="preserve">PR #2: onsite mock 37/37, inspect 115. PR #4: local mock 74. Runtime not verified.</x:t>
        </x:is>
      </x:c>
    </x:row>
    <x:row r="26" ht="58" customHeight="1">
      <x:c r="A26" s="67" t="inlineStr">
        <x:is>
          <x:t xml:space="preserve">K8S intake</x:t>
        </x:is>
      </x:c>
      <x:c r="B26" s="67" t="inlineStr">
        <x:is>
          <x:t xml:space="preserve">audit/v3.1.18/k8s-intake-20260910.json</x:t>
        </x:is>
      </x:c>
      <x:c r="C26" s="67" t="inlineStr">
        <x:is>
          <x:t xml:space="preserve">2026-09-10</x:t>
        </x:is>
      </x:c>
      <x:c r="D26" s="67" t="inlineStr">
        <x:is>
          <x:t xml:space="preserve">Issues #10 / #14 / #19</x:t>
        </x:is>
      </x:c>
      <x:c r="E26" s="67" t="inlineStr">
        <x:is>
          <x:t xml:space="preserve">Original snapshots preserved; NTP, CP2 resume, final host protection and storage pending.</x:t>
        </x:is>
      </x:c>
    </x:row>
    <x:row r="27" ht="52" customHeight="1">
      <x:c r="A27" s="67" t="inlineStr">
        <x:is>
          <x:t xml:space="preserve">Schedule proposal</x:t>
        </x:is>
      </x:c>
      <x:c r="B27" s="67" t="inlineStr">
        <x:is>
          <x:t xml:space="preserve">audit/v3.1.18/fast-track-plan.json</x:t>
        </x:is>
      </x:c>
      <x:c r="C27" s="67" t="inlineStr">
        <x:is>
          <x:t xml:space="preserve">2026-09-10</x:t>
        </x:is>
      </x:c>
      <x:c r="D27" s="67" t="inlineStr">
        <x:is>
          <x:t xml:space="preserve">User request</x:t>
        </x:is>
      </x:c>
      <x:c r="E27" s="67" t="inlineStr">
        <x:is>
          <x:t xml:space="preserve">Fast Tracking recommendation; actual remaining effort unmeasured</x:t>
        </x:is>
      </x:c>
    </x:row>
    <x:row r="28" ht="52" customHeight="1">
      <x:c r="A28" s="67" t="inlineStr">
        <x:is>
          <x:t xml:space="preserve">Calendar constraint</x:t>
        </x:is>
      </x:c>
      <x:c r="B28" s="67" t="inlineStr">
        <x:is>
          <x:t xml:space="preserve">주말 교육장 이용 불가 / 주말반 유입</x:t>
        </x:is>
      </x:c>
      <x:c r="C28" s="67" t="inlineStr">
        <x:is>
          <x:t xml:space="preserve">2026-09-10</x:t>
        </x:is>
      </x:c>
      <x:c r="D28" s="67" t="inlineStr">
        <x:is>
          <x:t xml:space="preserve">User input</x:t>
        </x:is>
      </x:c>
      <x:c r="E28" s="67" t="inlineStr">
        <x:is>
          <x:t xml:space="preserve">No weekend/absence/after-hours capacity assumed</x:t>
        </x:is>
      </x:c>
    </x:row>
    <x:row r="29" ht="52" customHeight="1">
      <x:c r="A29" s="67" t="inlineStr">
        <x:is>
          <x:t xml:space="preserve">Resource plan</x:t>
        </x:is>
      </x:c>
      <x:c r="B29" s="67" t="inlineStr">
        <x:is>
          <x:t xml:space="preserve">Fast Track Plan</x:t>
        </x:is>
      </x:c>
      <x:c r="C29" s="67" t="inlineStr">
        <x:is>
          <x:t xml:space="preserve">23 person-days</x:t>
        </x:is>
      </x:c>
      <x:c r="D29" s="67" t="inlineStr">
        <x:is>
          <x:t xml:space="preserve">AM / PM</x:t>
        </x:is>
      </x:c>
      <x:c r="E29" s="67" t="inlineStr">
        <x:is>
          <x:t xml:space="preserve">21.5 planned + 1.5 buffer; no person double-booked</x:t>
        </x:is>
      </x:c>
    </x:row>
    <x:row r="30" ht="46" customHeight="1">
      <x:c r="A30" s="146" t="inlineStr">
        <x:is>
          <x:t xml:space="preserve">Review calendar</x:t>
        </x:is>
      </x:c>
      <x:c r="B30" s="146" t="inlineStr">
        <x:is>
          <x:t xml:space="preserve">DEC-CAL-P1-01 / DEC-CAL-P2-01</x:t>
        </x:is>
      </x:c>
      <x:c r="C30" s="146" t="inlineStr">
        <x:is>
          <x:t xml:space="preserve">P1 decision Done</x:t>
        </x:is>
      </x:c>
      <x:c r="D30" s="146" t="inlineStr">
        <x:is>
          <x:t xml:space="preserve">P2 recommendation</x:t>
        </x:is>
      </x:c>
      <x:c r="E30" s="146" t="inlineStr">
        <x:is>
          <x:t xml:space="preserve">P1 09-22 PM decision approved; actual review separate. P2 10-23 PM proposed.</x:t>
        </x:is>
      </x:c>
    </x:row>
    <x:row r="31" ht="46" customHeight="1">
      <x:c r="A31" s="146" t="inlineStr">
        <x:is>
          <x:t xml:space="preserve">v19 approved inputs</x:t>
        </x:is>
      </x:c>
      <x:c r="B31" s="146" t="inlineStr">
        <x:is>
          <x:t xml:space="preserve">PR72 dates / milestone mapping</x:t>
        </x:is>
      </x:c>
      <x:c r="C31" s="146" t="inlineStr">
        <x:is>
          <x:t xml:space="preserve">2026-09-11</x:t>
        </x:is>
      </x:c>
      <x:c r="D31" s="146" t="inlineStr">
        <x:is>
          <x:t xml:space="preserve">PR72: 64/64 mapped; current snapshot: 67/67</x:t>
        </x:is>
      </x:c>
      <x:c r="E31" s="146" t="inlineStr">
        <x:is>
          <x:t xml:space="preserve">Plan dates flexible; runtime separate</x:t>
        </x:is>
      </x:c>
    </x:row>
    <x:row r="32" ht="46" customHeight="1">
      <x:c r="A32" s="146" t="inlineStr">
        <x:is>
          <x:t xml:space="preserve">v19 snapshot</x:t>
        </x:is>
      </x:c>
      <x:c r="B32" s="146" t="inlineStr">
        <x:is>
          <x:t xml:space="preserve">https://github.com/321Team/fds-project-baseline/pull/73</x:t>
        </x:is>
      </x:c>
      <x:c r="C32" s="146" t="inlineStr">
        <x:is>
          <x:t xml:space="preserve">2026-09-17</x:t>
        </x:is>
      </x:c>
      <x:c r="D32" s="146" t="inlineStr">
        <x:is>
          <x:t xml:space="preserve">Issue sources / PR states</x:t>
        </x:is>
      </x:c>
      <x:c r="E32" s="146" t="inlineStr">
        <x:is>
          <x:t xml:space="preserve">Comment/review sources captured in package</x:t>
        </x:is>
      </x:c>
    </x:row>
    <x:row r="33" ht="46" customHeight="1">
      <x:c r="A33" s="146" t="inlineStr">
        <x:is>
          <x:t xml:space="preserve">v19 release</x:t>
        </x:is>
      </x:c>
      <x:c r="B33" s="146" t="inlineStr">
        <x:is>
          <x:t xml:space="preserve">docs-v3.1.19; see CURRENT.md / Release API</x:t>
        </x:is>
      </x:c>
      <x:c r="C33" s="146" t="inlineStr">
        <x:is>
          <x:t xml:space="preserve">2026-09-17</x:t>
        </x:is>
      </x:c>
      <x:c r="D33" s="146" t="inlineStr">
        <x:is>
          <x:t xml:space="preserve">Content approved</x:t>
        </x:is>
      </x:c>
      <x:c r="E33" s="146" t="inlineStr">
        <x:is>
          <x:t xml:space="preserve">PR73 approved/merged. Publication requires finalization approval, Tag and matching Assets. Source notes retain snapshot-time wording.</x:t>
        </x:is>
      </x:c>
    </x:row>
    <x:row r="34">
      <x:c r="A34" t="inlineStr">
        <x:is>
          <x:t xml:space="preserve">Canonical Candidate</x:t>
        </x:is>
      </x:c>
      <x:c r="B34" t="inlineStr">
        <x:is>
          <x:t xml:space="preserve">v3.1.20 Phase 2 재계획 (Lead 결정, 2026-09-22)</x:t>
        </x:is>
      </x:c>
      <x:c r="C34" t="str">
        <x:v>v3.1.20 RELEASED</x:v>
      </x:c>
      <x:c r="D34" t="inlineStr">
        <x:is>
          <x:t xml:space="preserve">Phase 2 일정 재계획</x:t>
        </x:is>
      </x:c>
      <x:c r="E34" t="inlineStr">
        <x:is>
          <x:t xml:space="preserve">Phase 1 지연으로 Phase 2 착수 09-28-&gt;10-06 순연. 뒷단(G6 10-22~Project Close 10-26)은 정본 §2 그대로 유지, 앞단(설계 동결~G5)만 24일-&gt;16일 압축(비율 0.667). DEC-P2-DNS-01/OP-01/REG-01은 Decision Register(D22/D23/D26, 10-16) 고정으로 압축 예외. CR-P1-MON-01-01(#74) Start 09-11 유지, CR-P1-MON-01-02(#75) Start 09-11 신규 입력, 두 건 End 10-06 입력. WBS/Ticket 완료(Done) 항목 변경 없음.</x:t>
        </x:is>
      </x:c>
    </x:row>
    <x:row r="36">
      <x:c r="A36" t="str">
        <x:v>Current source</x:v>
      </x:c>
      <x:c r="B36" t="str">
        <x:v>tickets/v3.1.21/canonical-records.json</x:v>
      </x:c>
      <x:c r="C36" t="str">
        <x:v>2026-10-03</x:v>
      </x:c>
      <x:c r="D36" t="str">
        <x:v>78 records</x:v>
      </x:c>
      <x:c r="E36" t="str">
        <x:v>Exact body status/dates preserved; omitted fields marked 미기재.</x:v>
      </x:c>
    </x:row>
    <x:row r="37">
      <x:c r="A37" t="str">
        <x:v>Test strategy</x:v>
      </x:c>
      <x:c r="B37" t="str">
        <x:v>tests/FDS_Test_Strategy_v3.1.21.md</x:v>
      </x:c>
      <x:c r="C37" t="str">
        <x:v>2026-10-03</x:v>
      </x:c>
      <x:c r="D37" t="str">
        <x:v>TS01~16</x:v>
      </x:c>
      <x:c r="E37" t="str">
        <x:v>Pre-create / post-create separated.</x:v>
      </x:c>
    </x:row>
    <x:row r="38">
      <x:c r="A38" t="str">
        <x:v>Gate evidence</x:v>
      </x:c>
      <x:c r="B38" t="str">
        <x:v>audit/canonical-hold-recheck-20261003-1955/README.md</x:v>
      </x:c>
      <x:c r="C38" t="str">
        <x:v>19:55~19:59 KST</x:v>
      </x:c>
      <x:c r="D38" t="str">
        <x:v>Targeted snapshot</x:v>
      </x:c>
      <x:c r="E38" t="str">
        <x:v>Architecture c421733; D21 FINAL/raw HOLD</x:v>
      </x:c>
    </x:row>
    <x:row r="39">
      <x:c r="A39" t="str">
        <x:v>Calendar</x:v>
      </x:c>
      <x:c r="B39" t="str">
        <x:v>J2:J5 / Team Calendar A5:F14</x:v>
      </x:c>
      <x:c r="C39" t="str">
        <x:v>Current</x:v>
      </x:c>
      <x:c r="D39" t="str">
        <x:v>Inclusive weekdays</x:v>
      </x:c>
      <x:c r="E39" t="str">
        <x:v>Personal absence deducted only for Lead; not effort.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3" customWidth="1"/>
    <x:col min="3" max="3" width="13" customWidth="1"/>
    <x:col min="4" max="4" width="23" customWidth="1"/>
    <x:col min="5" max="5" width="23" customWidth="1"/>
    <x:col min="6" max="6" width="17" customWidth="1"/>
    <x:col min="7" max="7" width="17" customWidth="1"/>
    <x:col min="8" max="8" width="38" customWidth="1"/>
    <x:col min="9" max="9" width="25" customWidth="1"/>
    <x:col min="10" max="10" width="13" customWidth="1"/>
  </x:cols>
  <x:sheetData>
    <x:row r="1" ht="28" customHeight="1">
      <x:c r="A1" s="79" t="str">
        <x:v>FDS v3.1.21 · Team Availability Calendar (RELEASED)</x:v>
      </x:c>
    </x:row>
    <x:row r="2">
      <x:c r="A2" s="33" t="inlineStr">
        <x:is>
          <x:t xml:space="preserve">Personal absences are owner-specific. Global non-working dates remain controlled in Sources &amp; Change Log.</x:t>
        </x:is>
      </x:c>
    </x:row>
    <x:row r="4">
      <x:c r="A4" s="39" t="inlineStr">
        <x:is>
          <x:t xml:space="preserve">Person</x:t>
        </x:is>
      </x:c>
      <x:c r="B4" s="39" t="inlineStr">
        <x:is>
          <x:t xml:space="preserve">Gantt Label</x:t>
        </x:is>
      </x:c>
      <x:c r="C4" s="39" t="inlineStr">
        <x:is>
          <x:t xml:space="preserve">Date</x:t>
        </x:is>
      </x:c>
      <x:c r="D4" s="39" t="inlineStr">
        <x:is>
          <x:t xml:space="preserve">Absence Type</x:t>
        </x:is>
      </x:c>
      <x:c r="E4" s="39" t="inlineStr">
        <x:is>
          <x:t xml:space="preserve">Reason</x:t>
        </x:is>
      </x:c>
      <x:c r="F4" s="39" t="inlineStr">
        <x:is>
          <x:t xml:space="preserve">Scope</x:t>
        </x:is>
      </x:c>
      <x:c r="G4" s="39" t="inlineStr">
        <x:is>
          <x:t xml:space="preserve">Availability</x:t>
        </x:is>
      </x:c>
      <x:c r="H4" s="39" t="inlineStr">
        <x:is>
          <x:t xml:space="preserve">Affected Ticket(s)</x:t>
        </x:is>
      </x:c>
      <x:c r="I4" s="39" t="inlineStr">
        <x:is>
          <x:t xml:space="preserve">Coverage</x:t>
        </x:is>
      </x:c>
      <x:c r="J4" s="39" t="inlineStr">
        <x:is>
          <x:t xml:space="preserve">Status</x:t>
        </x:is>
      </x:c>
    </x:row>
    <x:row r="5">
      <x:c r="A5" s="44" t="inlineStr">
        <x:is>
          <x:t xml:space="preserve">이하영</x:t>
        </x:is>
      </x:c>
      <x:c r="B5" s="44" t="inlineStr">
        <x:is>
          <x:t xml:space="preserve">HY LEE</x:t>
        </x:is>
      </x:c>
      <x:c r="C5" s="178" t="n">
        <x:v>46262</x:v>
      </x:c>
      <x:c r="D5" s="44" t="inlineStr">
        <x:is>
          <x:t xml:space="preserve">시험 휴가 (Exam Leave)</x:t>
        </x:is>
      </x:c>
      <x:c r="E5" s="44" t="inlineStr">
        <x:is>
          <x:t xml:space="preserve">시험 (Exam)</x:t>
        </x:is>
      </x:c>
      <x:c r="F5" s="44" t="inlineStr">
        <x:is>
          <x:t xml:space="preserve">Personal absence</x:t>
        </x:is>
      </x:c>
      <x:c r="G5" s="44" t="inlineStr">
        <x:is>
          <x:t xml:space="preserve">Unavailable</x:t>
        </x:is>
      </x:c>
      <x:c r="H5" s="44" t="inlineStr">
        <x:is>
          <x:t xml:space="preserve">P1-HBR-01</x:t>
        </x:is>
      </x:c>
      <x:c r="I5" s="44" t="inlineStr">
        <x:is>
          <x:t xml:space="preserve">이권욱 (GU LEE)</x:t>
        </x:is>
      </x:c>
      <x:c r="J5" s="44" t="inlineStr">
        <x:is>
          <x:t xml:space="preserve">Recorded</x:t>
        </x:is>
      </x:c>
    </x:row>
    <x:row r="6">
      <x:c r="A6" s="45" t="inlineStr">
        <x:is>
          <x:t xml:space="preserve">이재환</x:t>
        </x:is>
      </x:c>
      <x:c r="B6" s="45" t="inlineStr">
        <x:is>
          <x:t xml:space="preserve">JH LEE</x:t>
        </x:is>
      </x:c>
      <x:c r="C6" s="179" t="n">
        <x:v>46269</x:v>
      </x:c>
      <x:c r="D6" s="45" t="inlineStr">
        <x:is>
          <x:t xml:space="preserve">개인 휴가 (Personal Leave)</x:t>
        </x:is>
      </x:c>
      <x:c r="E6" s="45" t="inlineStr">
        <x:is>
          <x:t xml:space="preserve">개인 사정 (Personal)</x:t>
        </x:is>
      </x:c>
      <x:c r="F6" s="45" t="inlineStr">
        <x:is>
          <x:t xml:space="preserve">Personal absence</x:t>
        </x:is>
      </x:c>
      <x:c r="G6" s="45" t="inlineStr">
        <x:is>
          <x:t xml:space="preserve">Unavailable</x:t>
        </x:is>
      </x:c>
      <x:c r="H6" s="45" t="inlineStr">
        <x:is>
          <x:t xml:space="preserve">P1-DB-01; P1-APP-01; P1-MON-01; MS-G1-01</x:t>
        </x:is>
      </x:c>
      <x:c r="I6" s="45" t="inlineStr">
        <x:is>
          <x:t xml:space="preserve">이권욱·이하영 (GU/HY LEE)</x:t>
        </x:is>
      </x:c>
      <x:c r="J6" s="45" t="inlineStr">
        <x:is>
          <x:t xml:space="preserve">Approved</x:t>
        </x:is>
      </x:c>
    </x:row>
    <x:row r="7">
      <x:c r="A7" s="44" t="inlineStr">
        <x:is>
          <x:t xml:space="preserve">이재환</x:t>
        </x:is>
      </x:c>
      <x:c r="B7" s="44" t="inlineStr">
        <x:is>
          <x:t xml:space="preserve">JH LEE</x:t>
        </x:is>
      </x:c>
      <x:c r="C7" s="178" t="n">
        <x:v>46279</x:v>
      </x:c>
      <x:c r="D7" s="44" t="inlineStr">
        <x:is>
          <x:t xml:space="preserve">예비군 (Reserve Duty)</x:t>
        </x:is>
      </x:c>
      <x:c r="E7" s="44" t="inlineStr">
        <x:is>
          <x:t xml:space="preserve">예비군 (Reserve Duty)</x:t>
        </x:is>
      </x:c>
      <x:c r="F7" s="44" t="inlineStr">
        <x:is>
          <x:t xml:space="preserve">Personal absence</x:t>
        </x:is>
      </x:c>
      <x:c r="G7" s="44" t="inlineStr">
        <x:is>
          <x:t xml:space="preserve">Unavailable</x:t>
        </x:is>
      </x:c>
      <x:c r="H7" s="44" t="inlineStr">
        <x:is>
          <x:t xml:space="preserve">P1-E2E-01; P1-MON-02; P1-DR-02; P1-HA-02</x:t>
        </x:is>
      </x:c>
      <x:c r="I7" s="44" t="inlineStr">
        <x:is>
          <x:t xml:space="preserve">이권욱·이하영 (GU/HY LEE)</x:t>
        </x:is>
      </x:c>
      <x:c r="J7" s="44" t="inlineStr">
        <x:is>
          <x:t xml:space="preserve">Recorded</x:t>
        </x:is>
      </x:c>
    </x:row>
    <x:row r="8">
      <x:c r="A8" s="44" t="inlineStr">
        <x:is>
          <x:t xml:space="preserve">이재환</x:t>
        </x:is>
      </x:c>
      <x:c r="B8" s="44" t="inlineStr">
        <x:is>
          <x:t xml:space="preserve">JH LEE</x:t>
        </x:is>
      </x:c>
      <x:c r="C8" s="178" t="n">
        <x:v>46280</x:v>
      </x:c>
      <x:c r="D8" s="44" t="inlineStr">
        <x:is>
          <x:t xml:space="preserve">예비군 (Reserve Duty)</x:t>
        </x:is>
      </x:c>
      <x:c r="E8" s="44" t="inlineStr">
        <x:is>
          <x:t xml:space="preserve">예비군 (Reserve Duty)</x:t>
        </x:is>
      </x:c>
      <x:c r="F8" s="44" t="inlineStr">
        <x:is>
          <x:t xml:space="preserve">Personal absence</x:t>
        </x:is>
      </x:c>
      <x:c r="G8" s="44" t="inlineStr">
        <x:is>
          <x:t xml:space="preserve">Unavailable</x:t>
        </x:is>
      </x:c>
      <x:c r="H8" s="44" t="inlineStr">
        <x:is>
          <x:t xml:space="preserve">P1-E2E-01; P1-MON-02; P1-DR-02; P1-HA-02</x:t>
        </x:is>
      </x:c>
      <x:c r="I8" s="44" t="inlineStr">
        <x:is>
          <x:t xml:space="preserve">이권욱·이하영 (GU/HY LEE)</x:t>
        </x:is>
      </x:c>
      <x:c r="J8" s="44" t="inlineStr">
        <x:is>
          <x:t xml:space="preserve">Recorded</x:t>
        </x:is>
      </x:c>
    </x:row>
    <x:row r="9">
      <x:c r="A9" s="44" t="inlineStr">
        <x:is>
          <x:t xml:space="preserve">이재환</x:t>
        </x:is>
      </x:c>
      <x:c r="B9" s="44" t="inlineStr">
        <x:is>
          <x:t xml:space="preserve">JH LEE</x:t>
        </x:is>
      </x:c>
      <x:c r="C9" s="178" t="n">
        <x:v>46281</x:v>
      </x:c>
      <x:c r="D9" s="44" t="inlineStr">
        <x:is>
          <x:t xml:space="preserve">예비군 (Reserve Duty)</x:t>
        </x:is>
      </x:c>
      <x:c r="E9" s="44" t="inlineStr">
        <x:is>
          <x:t xml:space="preserve">예비군 (Reserve Duty)</x:t>
        </x:is>
      </x:c>
      <x:c r="F9" s="44" t="inlineStr">
        <x:is>
          <x:t xml:space="preserve">Personal absence</x:t>
        </x:is>
      </x:c>
      <x:c r="G9" s="44" t="inlineStr">
        <x:is>
          <x:t xml:space="preserve">Unavailable</x:t>
        </x:is>
      </x:c>
      <x:c r="H9" s="44" t="inlineStr">
        <x:is>
          <x:t xml:space="preserve">P1-E2E-01; P1-MON-02; P1-DR-02; P1-HA-02</x:t>
        </x:is>
      </x:c>
      <x:c r="I9" s="44" t="inlineStr">
        <x:is>
          <x:t xml:space="preserve">이권욱·이하영 (GU/HY LEE)</x:t>
        </x:is>
      </x:c>
      <x:c r="J9" s="44" t="inlineStr">
        <x:is>
          <x:t xml:space="preserve">Recorded</x:t>
        </x:is>
      </x:c>
    </x:row>
    <x:row r="10">
      <x:c r="A10" s="44" t="inlineStr">
        <x:is>
          <x:t xml:space="preserve">이재환</x:t>
        </x:is>
      </x:c>
      <x:c r="B10" s="44" t="inlineStr">
        <x:is>
          <x:t xml:space="preserve">JH LEE</x:t>
        </x:is>
      </x:c>
      <x:c r="C10" s="178" t="n">
        <x:v>46282</x:v>
      </x:c>
      <x:c r="D10" s="44" t="inlineStr">
        <x:is>
          <x:t xml:space="preserve">예비군 (Reserve Duty)</x:t>
        </x:is>
      </x:c>
      <x:c r="E10" s="44" t="inlineStr">
        <x:is>
          <x:t xml:space="preserve">예비군 (Reserve Duty)</x:t>
        </x:is>
      </x:c>
      <x:c r="F10" s="44" t="inlineStr">
        <x:is>
          <x:t xml:space="preserve">Personal absence</x:t>
        </x:is>
      </x:c>
      <x:c r="G10" s="44" t="inlineStr">
        <x:is>
          <x:t xml:space="preserve">Unavailable</x:t>
        </x:is>
      </x:c>
      <x:c r="H10" s="44" t="inlineStr">
        <x:is>
          <x:t xml:space="preserve">P1-E2E-01; P1-MON-02; P1-DR-02; P1-HA-02</x:t>
        </x:is>
      </x:c>
      <x:c r="I10" s="44" t="inlineStr">
        <x:is>
          <x:t xml:space="preserve">이권욱·이하영 (GU/HY LEE)</x:t>
        </x:is>
      </x:c>
      <x:c r="J10" s="44" t="inlineStr">
        <x:is>
          <x:t xml:space="preserve">Recorded</x:t>
        </x:is>
      </x:c>
    </x:row>
    <x:row r="11" ht="34" customHeight="1">
      <x:c r="A11" s="71" t="inlineStr">
        <x:is>
          <x:t xml:space="preserve">이하영</x:t>
        </x:is>
      </x:c>
      <x:c r="B11" s="71" t="inlineStr">
        <x:is>
          <x:t xml:space="preserve">HY LEE</x:t>
        </x:is>
      </x:c>
      <x:c r="C11" s="180" t="n">
        <x:v>46273</x:v>
      </x:c>
      <x:c r="D11" s="71" t="inlineStr">
        <x:is>
          <x:t xml:space="preserve">면접 휴가 (Interview Leave)</x:t>
        </x:is>
      </x:c>
      <x:c r="E11" s="71" t="inlineStr">
        <x:is>
          <x:t xml:space="preserve">면접 (Interview)</x:t>
        </x:is>
      </x:c>
      <x:c r="F11" s="71" t="inlineStr">
        <x:is>
          <x:t xml:space="preserve">Personal absence</x:t>
        </x:is>
      </x:c>
      <x:c r="G11" s="71" t="inlineStr">
        <x:is>
          <x:t xml:space="preserve">Unavailable</x:t>
        </x:is>
      </x:c>
      <x:c r="H11" s="71" t="inlineStr">
        <x:is>
          <x:t xml:space="preserve">P1-K8S-01; P1-HBR-01; P1-SEC-01; ICR-D-NET-01-01; P1-APP-01; P1-CICD-01</x:t>
        </x:is>
      </x:c>
      <x:c r="I11" s="71" t="inlineStr">
        <x:is>
          <x:t xml:space="preserve">이권욱 (GU LEE)</x:t>
        </x:is>
      </x:c>
      <x:c r="J11" s="71" t="inlineStr">
        <x:is>
          <x:t xml:space="preserve">Approved</x:t>
        </x:is>
      </x:c>
    </x:row>
    <x:row r="12" ht="44" customHeight="1">
      <x:c r="A12" s="97" t="inlineStr">
        <x:is>
          <x:t xml:space="preserve">이하영</x:t>
        </x:is>
      </x:c>
      <x:c r="B12" s="97" t="inlineStr">
        <x:is>
          <x:t xml:space="preserve">HY LEE</x:t>
        </x:is>
      </x:c>
      <x:c r="C12" s="181" t="n">
        <x:v>46275</x:v>
      </x:c>
      <x:c r="D12" s="97" t="inlineStr">
        <x:is>
          <x:t xml:space="preserve">면접 휴가 (Interview Leave)</x:t>
        </x:is>
      </x:c>
      <x:c r="E12" s="97" t="inlineStr">
        <x:is>
          <x:t xml:space="preserve">면접 (Interview)</x:t>
        </x:is>
      </x:c>
      <x:c r="F12" s="97" t="inlineStr">
        <x:is>
          <x:t xml:space="preserve">Personal absence</x:t>
        </x:is>
      </x:c>
      <x:c r="G12" s="99" t="inlineStr">
        <x:is>
          <x:t xml:space="preserve">사용자 추가 지시 2026-09-10</x:t>
        </x:is>
      </x:c>
      <x:c r="H12" s="99" t="inlineStr">
        <x:is>
          <x:t xml:space="preserve">기존 09-08 부재 유지</x:t>
        </x:is>
      </x:c>
      <x:c r="I12" s="99" t="inlineStr">
        <x:is>
          <x:t xml:space="preserve">P1-SEC 5→4일 / ICR Support·리뷰 일정 영향</x:t>
        </x:is>
      </x:c>
      <x:c r="J12" s="99" t="inlineStr">
        <x:is>
          <x:t xml:space="preserve">계획일·담당 변경 없음</x:t>
        </x:is>
      </x:c>
    </x:row>
    <x:row r="13" ht="44" customHeight="1">
      <x:c r="A13" s="71" t="inlineStr">
        <x:is>
          <x:t xml:space="preserve">이재환</x:t>
        </x:is>
      </x:c>
      <x:c r="B13" s="71" t="inlineStr">
        <x:is>
          <x:t xml:space="preserve">JH LEE</x:t>
        </x:is>
      </x:c>
      <x:c r="C13" s="180" t="n">
        <x:v>46293</x:v>
      </x:c>
      <x:c r="D13" s="71" t="inlineStr">
        <x:is>
          <x:t xml:space="preserve">개인 휴가 (Personal Leave)</x:t>
        </x:is>
      </x:c>
      <x:c r="E13" s="71" t="inlineStr">
        <x:is>
          <x:t xml:space="preserve">개인 사정으로 인한 휴가</x:t>
        </x:is>
      </x:c>
      <x:c r="F13" s="71" t="inlineStr">
        <x:is>
          <x:t xml:space="preserve">Personal absence</x:t>
        </x:is>
      </x:c>
      <x:c r="G13" s="71" t="inlineStr">
        <x:is>
          <x:t xml:space="preserve">Unavailable</x:t>
        </x:is>
      </x:c>
      <x:c r="H13" s="71" t="inlineStr">
        <x:is>
          <x:t xml:space="preserve">DEC-P1-IMG-01; CR-P1-MON-01-01; CR-P1-MON-01-02</x:t>
        </x:is>
      </x:c>
      <x:c r="I13" s="71" t="inlineStr">
        <x:is>
          <x:t xml:space="preserve">자동 재배정 없음</x:t>
        </x:is>
      </x:c>
      <x:c r="J13" s="71" t="inlineStr">
        <x:is>
          <x:t xml:space="preserve">Recorded</x:t>
        </x:is>
      </x:c>
    </x:row>
    <x:row r="14" ht="44" customHeight="1">
      <x:c r="A14" s="71" t="inlineStr">
        <x:is>
          <x:t xml:space="preserve">이하영</x:t>
        </x:is>
      </x:c>
      <x:c r="B14" s="71" t="inlineStr">
        <x:is>
          <x:t xml:space="preserve">HY LEE</x:t>
        </x:is>
      </x:c>
      <x:c r="C14" s="180" t="n">
        <x:v>46294</x:v>
      </x:c>
      <x:c r="D14" s="71" t="inlineStr">
        <x:is>
          <x:t xml:space="preserve">채용설명회·직무테스트 휴가</x:t>
        </x:is>
      </x:c>
      <x:c r="E14" s="71" t="inlineStr">
        <x:is>
          <x:t xml:space="preserve">채용설명회 및 직무테스트로 인한 휴가</x:t>
        </x:is>
      </x:c>
      <x:c r="F14" s="71" t="inlineStr">
        <x:is>
          <x:t xml:space="preserve">Personal absence</x:t>
        </x:is>
      </x:c>
      <x:c r="G14" s="71" t="inlineStr">
        <x:is>
          <x:t xml:space="preserve">Unavailable</x:t>
        </x:is>
      </x:c>
      <x:c r="H14" s="71" t="inlineStr">
        <x:is>
          <x:t xml:space="preserve">DEC-P1-IMG-01; CR-P1-MON-01-01; CR-P1-MON-01-02</x:t>
        </x:is>
      </x:c>
      <x:c r="I14" s="71" t="inlineStr">
        <x:is>
          <x:t xml:space="preserve">자동 재배정 없음</x:t>
        </x:is>
      </x:c>
      <x:c r="J14" s="71" t="inlineStr">
        <x:is>
          <x:t xml:space="preserve">Recorded</x:t>
        </x:is>
      </x:c>
    </x:row>
    <x:row r="15" ht="34" customHeight="1">
      <x:c r="A15" s="51" t="inlineStr">
        <x:is>
          <x:t xml:space="preserve">과거 변경 이력 — 현재 계획은 WBS</x:t>
        </x:is>
      </x:c>
      <x:c r="B15" s="51" t="inlineStr">
        <x:is>
          <x:t xml:space="preserve">Prior date</x:t>
        </x:is>
      </x:c>
      <x:c r="C15" s="51" t="inlineStr">
        <x:is>
          <x:t xml:space="preserve">Revised date</x:t>
        </x:is>
      </x:c>
      <x:c r="D15" s="51" t="inlineStr">
        <x:is>
          <x:t xml:space="preserve">Approved adjustment</x:t>
        </x:is>
      </x:c>
      <x:c r="E15" s="51" t="inlineStr">
        <x:is>
          <x:t xml:space="preserve">Coverage / control</x:t>
        </x:is>
      </x:c>
      <x:c r="F15" s="51" t="inlineStr">
        <x:is>
          <x:t xml:space="preserve">Gate impact</x:t>
        </x:is>
      </x:c>
    </x:row>
    <x:row r="16" ht="34" customHeight="1">
      <x:c r="A16" s="51" t="inlineStr">
        <x:is>
          <x:t xml:space="preserve">P1-DB-01</x:t>
        </x:is>
      </x:c>
      <x:c r="B16" s="51" t="inlineStr">
        <x:is>
          <x:t xml:space="preserve">End 2026-09-04</x:t>
        </x:is>
      </x:c>
      <x:c r="C16" s="51" t="inlineStr">
        <x:is>
          <x:t xml:space="preserve">End 2026-09-07</x:t>
        </x:is>
      </x:c>
      <x:c r="D16" s="51" t="inlineStr">
        <x:is>
          <x:t xml:space="preserve">Preserve six owner workdays</x:t>
        </x:is>
      </x:c>
      <x:c r="E16" s="51" t="inlineStr">
        <x:is>
          <x:t xml:space="preserve">Resume/complete after return</x:t>
        </x:is>
      </x:c>
      <x:c r="F16" s="51" t="inlineStr">
        <x:is>
          <x:t xml:space="preserve">G1 follows to 2026-09-07</x:t>
        </x:is>
      </x:c>
    </x:row>
    <x:row r="17" ht="34" customHeight="1">
      <x:c r="A17" s="51" t="inlineStr">
        <x:is>
          <x:t xml:space="preserve">P1-APP-01</x:t>
        </x:is>
      </x:c>
      <x:c r="B17" s="51" t="inlineStr">
        <x:is>
          <x:t xml:space="preserve">End 2026-09-09</x:t>
        </x:is>
      </x:c>
      <x:c r="C17" s="51" t="inlineStr">
        <x:is>
          <x:t xml:space="preserve">End 2026-09-10</x:t>
        </x:is>
      </x:c>
      <x:c r="D17" s="51" t="inlineStr">
        <x:is>
          <x:t xml:space="preserve">One-day owner gap</x:t>
        </x:is>
      </x:c>
      <x:c r="E17" s="51" t="inlineStr">
        <x:is>
          <x:t xml:space="preserve">이하영 support; no solo closure on leave</x:t>
        </x:is>
      </x:c>
      <x:c r="F17" s="51" t="inlineStr">
        <x:is>
          <x:t xml:space="preserve">G2 2026-09-11 unchanged</x:t>
        </x:is>
      </x:c>
    </x:row>
    <x:row r="18" ht="34" customHeight="1">
      <x:c r="A18" s="51" t="inlineStr">
        <x:is>
          <x:t xml:space="preserve">P1-MON-01</x:t>
        </x:is>
      </x:c>
      <x:c r="B18" s="51" t="inlineStr">
        <x:is>
          <x:t xml:space="preserve">Start 2026-09-04</x:t>
        </x:is>
      </x:c>
      <x:c r="C18" s="51" t="inlineStr">
        <x:is>
          <x:t xml:space="preserve">Start 2026-09-07</x:t>
        </x:is>
      </x:c>
      <x:c r="D18" s="51" t="inlineStr">
        <x:is>
          <x:t xml:space="preserve">Start after return</x:t>
        </x:is>
      </x:c>
      <x:c r="E18" s="51" t="inlineStr">
        <x:is>
          <x:t xml:space="preserve">이권욱 support</x:t>
        </x:is>
      </x:c>
      <x:c r="F18" s="51" t="inlineStr">
        <x:is>
          <x:t xml:space="preserve">G2 2026-09-11 unchanged</x:t>
        </x:is>
      </x:c>
    </x:row>
    <x:row r="19" ht="34" customHeight="1">
      <x:c r="A19" s="67" t="inlineStr">
        <x:is>
          <x:t xml:space="preserve">MS-G1-01</x:t>
        </x:is>
      </x:c>
      <x:c r="B19" s="67" t="inlineStr">
        <x:is>
          <x:t xml:space="preserve">2026-09-04</x:t>
        </x:is>
      </x:c>
      <x:c r="C19" s="67" t="inlineStr">
        <x:is>
          <x:t xml:space="preserve">2026-09-07</x:t>
        </x:is>
      </x:c>
      <x:c r="D19" s="67" t="inlineStr">
        <x:is>
          <x:t xml:space="preserve">Align with P1-DB completion</x:t>
        </x:is>
      </x:c>
      <x:c r="E19" s="67" t="inlineStr">
        <x:is>
          <x:t xml:space="preserve">Lead gate review after evidence</x:t>
        </x:is>
      </x:c>
      <x:c r="F19" s="67" t="inlineStr">
        <x:is>
          <x:t xml:space="preserve">G1 +1 business day</x:t>
        </x:is>
      </x:c>
    </x:row>
    <x:row r="20" ht="36" customHeight="1">
      <x:c r="A20" s="54" t="inlineStr">
        <x:is>
          <x:t xml:space="preserve">HY-LEAVE-20260908</x:t>
        </x:is>
      </x:c>
      <x:c r="B20" s="54" t="inlineStr">
        <x:is>
          <x:t xml:space="preserve">2026-09-08 planned work</x:t>
        </x:is>
      </x:c>
      <x:c r="C20" s="54" t="inlineStr">
        <x:is>
          <x:t xml:space="preserve">No date change</x:t>
        </x:is>
      </x:c>
      <x:c r="D20" s="54" t="inlineStr">
        <x:is>
          <x:t xml:space="preserve">One-day owner gap</x:t>
        </x:is>
      </x:c>
      <x:c r="E20" s="54" t="inlineStr">
        <x:is>
          <x:t xml:space="preserve">이권욱 coverage; no solo closure</x:t>
        </x:is>
      </x:c>
      <x:c r="F20" s="182" t="inlineStr">
        <x:is>
          <x:t xml:space="preserve">No automatic rebaseline; assess actual delay</x:t>
        </x:is>
      </x:c>
    </x:row>
    <x:row r="21" ht="15" customHeight="1">
      <x:c r="A21" s="67" t="inlineStr">
        <x:is>
          <x:t xml:space="preserve">Approval</x:t>
        </x:is>
      </x:c>
      <x:c r="B21" s="67" t="inlineStr">
        <x:is>
          <x:t xml:space="preserve">D36</x:t>
        </x:is>
      </x:c>
      <x:c r="C21" s="67" t="inlineStr">
        <x:is>
          <x:t xml:space="preserve">Approved by</x:t>
        </x:is>
      </x:c>
      <x:c r="D21" s="67" t="inlineStr">
        <x:is>
          <x:t xml:space="preserve">User / Project Lead</x:t>
        </x:is>
      </x:c>
      <x:c r="E21" s="67" t="inlineStr">
        <x:is>
          <x:t xml:space="preserve">Effective</x:t>
        </x:is>
      </x:c>
      <x:c r="F21" s="176" t="n">
        <x:v>46268</x:v>
      </x:c>
    </x:row>
    <x:row r="22" ht="30" customHeight="1">
      <x:c r="A22" t="inlineStr">
        <x:is>
          <x:t xml:space="preserve">Approval</x:t>
        </x:is>
      </x:c>
      <x:c r="B22" t="inlineStr">
        <x:is>
          <x:t xml:space="preserve">User instruction 2026-09-08</x:t>
        </x:is>
      </x:c>
      <x:c r="C22" t="inlineStr">
        <x:is>
          <x:t xml:space="preserve">Approved by</x:t>
        </x:is>
      </x:c>
      <x:c r="D22" t="inlineStr">
        <x:is>
          <x:t xml:space="preserve">User / Project Lead</x:t>
        </x:is>
      </x:c>
      <x:c r="E22" t="inlineStr">
        <x:is>
          <x:t xml:space="preserve">Effective</x:t>
        </x:is>
      </x:c>
      <x:c r="F22" t="n">
        <x:v>46273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baseColWidth="8" defaultRowHeight="15"/>
  <x:cols>
    <x:col min="1" max="1" width="13" customWidth="1"/>
    <x:col min="2" max="2" width="6" customWidth="1"/>
    <x:col min="3" max="3" width="10" customWidth="1"/>
    <x:col min="4" max="4" width="10" customWidth="1"/>
    <x:col min="5" max="5" width="50" customWidth="1"/>
    <x:col min="6" max="6" width="24" customWidth="1"/>
    <x:col min="7" max="7" width="46" customWidth="1"/>
    <x:col min="8" max="8" width="10" customWidth="1"/>
    <x:col min="9" max="9" width="12" customWidth="1"/>
    <x:col min="10" max="10" width="14" customWidth="1"/>
    <x:col min="11" max="11" width="17" customWidth="1"/>
    <x:col min="12" max="12" width="24" customWidth="1"/>
  </x:cols>
  <x:sheetData>
    <x:row r="1" ht="34" customHeight="1">
      <x:c r="A1" s="111" t="inlineStr">
        <x:is>
          <x:t xml:space="preserve">Phase 1 Fast Tracking — 기존 배정안 / 실행 인수 별도</x:t>
        </x:is>
      </x:c>
    </x:row>
    <x:row r="2" ht="28" customHeight="1">
      <x:c r="A2" t="inlineStr">
        <x:is>
          <x:t xml:space="preserve">9/11~23 평일 9일 · 주말/부재 배정 0 · 23인일 중 1.5인일 보완 버퍼 · 변경/고장 주입은 창별 단일 실행자</x:t>
        </x:is>
      </x:c>
    </x:row>
    <x:row r="3" ht="26" customHeight="1">
      <x:c r="A3" t="inlineStr">
        <x:is>
          <x:t xml:space="preserve">보존된 09-10 계획안. AM/PM 각 0.5일 가용창이며 실제 실행/잔여공수 확인을 뜻하지 않는다. 최신 계획은 WBS 참조.</x:t>
        </x:is>
      </x:c>
    </x:row>
    <x:row r="5" ht="30" customHeight="1">
      <x:c r="A5" s="129" t="inlineStr">
        <x:is>
          <x:t xml:space="preserve">날짜</x:t>
        </x:is>
      </x:c>
      <x:c r="B5" s="129" t="inlineStr">
        <x:is>
          <x:t xml:space="preserve">창</x:t>
        </x:is>
      </x:c>
      <x:c r="C5" s="129" t="inlineStr">
        <x:is>
          <x:t xml:space="preserve">담당자</x:t>
        </x:is>
      </x:c>
      <x:c r="D5" s="129" t="inlineStr">
        <x:is>
          <x:t xml:space="preserve">유형</x:t>
        </x:is>
      </x:c>
      <x:c r="E5" s="129" t="inlineStr">
        <x:is>
          <x:t xml:space="preserve">작업·인수 결과</x:t>
        </x:is>
      </x:c>
      <x:c r="F5" s="129" t="inlineStr">
        <x:is>
          <x:t xml:space="preserve">주 책임 티켓</x:t>
        </x:is>
      </x:c>
      <x:c r="G5" s="129" t="inlineStr">
        <x:is>
          <x:t xml:space="preserve">실행 선행조건</x:t>
        </x:is>
      </x:c>
      <x:c r="H5" s="129" t="inlineStr">
        <x:is>
          <x:t xml:space="preserve">배정 인일</x:t>
        </x:is>
      </x:c>
      <x:c r="I5" s="129" t="inlineStr">
        <x:is>
          <x:t xml:space="preserve">당일 가용량</x:t>
        </x:is>
      </x:c>
      <x:c r="J5" s="129" t="inlineStr">
        <x:is>
          <x:t xml:space="preserve">당일 배정 합계</x:t>
        </x:is>
      </x:c>
      <x:c r="K5" s="129" t="inlineStr">
        <x:is>
          <x:t xml:space="preserve">배정 검사</x:t>
        </x:is>
      </x:c>
      <x:c r="L5" s="129" t="inlineStr">
        <x:is>
          <x:t xml:space="preserve">환경 작업 창</x:t>
        </x:is>
      </x:c>
    </x:row>
    <x:row r="6" ht="60" customHeight="1">
      <x:c r="A6" s="183" t="n">
        <x:v>46276</x:v>
      </x:c>
      <x:c r="B6" s="130" t="inlineStr">
        <x:is>
          <x:t xml:space="preserve">AM</x:t>
        </x:is>
      </x:c>
      <x:c r="C6" s="130" t="inlineStr">
        <x:is>
          <x:t xml:space="preserve">이권욱</x:t>
        </x:is>
      </x:c>
      <x:c r="D6" s="130" t="inlineStr">
        <x:is>
          <x:t xml:space="preserve">수집·정리</x:t>
        </x:is>
      </x:c>
      <x:c r="E6" s="130" t="inlineStr">
        <x:is>
          <x:t xml:space="preserve">CP1 보호·복구·최신 inspect 준비·ICR 범위 정리</x:t>
        </x:is>
      </x:c>
      <x:c r="F6" s="130" t="inlineStr">
        <x:is>
          <x:t xml:space="preserve">ICR-D-NET-01-01</x:t>
        </x:is>
      </x:c>
      <x:c r="G6" s="130" t="inlineStr">
        <x:is>
          <x:t xml:space="preserve">없음: 읽기 전용/문서 준비</x:t>
        </x:is>
      </x:c>
      <x:c r="H6" s="184" t="n">
        <x:v>0.5</x:v>
      </x:c>
      <x:c r="I6" s="184" t="n">
        <x:v>1</x:v>
      </x:c>
      <x:c r="J6" s="184" t="n">
        <x:f>SUMIFS($H$6:$H$59,$A$6:$A$59,A6,$C$6:$C$59,C6)</x:f>
        <x:v>1</x:v>
      </x:c>
      <x:c r="K6" s="130" t="str">
        <x:f>IF(J6&gt;I6,"OVERBOOKED",IF(I6=0,"UNAVAILABLE","OK"))</x:f>
        <x:v>OK</x:v>
      </x:c>
      <x:c r="L6" s="130" t="inlineStr">
        <x:is>
          <x:t xml:space="preserve">2026-09-11 AM</x:t>
        </x:is>
      </x:c>
    </x:row>
    <x:row r="7" ht="60" customHeight="1">
      <x:c r="A7" s="185" t="n">
        <x:v>46276</x:v>
      </x:c>
      <x:c r="B7" s="131" t="inlineStr">
        <x:is>
          <x:t xml:space="preserve">AM</x:t>
        </x:is>
      </x:c>
      <x:c r="C7" s="131" t="inlineStr">
        <x:is>
          <x:t xml:space="preserve">이하영</x:t>
        </x:is>
      </x:c>
      <x:c r="D7" s="131" t="inlineStr">
        <x:is>
          <x:t xml:space="preserve">리뷰·결정</x:t>
        </x:is>
      </x:c>
      <x:c r="E7" s="131" t="inlineStr">
        <x:is>
          <x:t xml:space="preserve">PR #2/#4 재리뷰·NTP 기준·평일 Review 검토</x:t>
        </x:is>
      </x:c>
      <x:c r="F7" s="131" t="inlineStr">
        <x:is>
          <x:t xml:space="preserve">DEC-CAL-P1-01</x:t>
        </x:is>
      </x:c>
      <x:c r="G7" s="131" t="inlineStr">
        <x:is>
          <x:t xml:space="preserve">없음: 읽기 전용/문서 준비</x:t>
        </x:is>
      </x:c>
      <x:c r="H7" s="186" t="n">
        <x:v>0.5</x:v>
      </x:c>
      <x:c r="I7" s="186" t="n">
        <x:v>1</x:v>
      </x:c>
      <x:c r="J7" s="186" t="n">
        <x:f>SUMIFS($H$6:$H$59,$A$6:$A$59,A7,$C$6:$C$59,C7)</x:f>
        <x:v>1</x:v>
      </x:c>
      <x:c r="K7" s="131" t="str">
        <x:f>IF(J7&gt;I7,"OVERBOOKED",IF(I7=0,"UNAVAILABLE","OK"))</x:f>
        <x:v>OK</x:v>
      </x:c>
      <x:c r="L7" s="131" t="inlineStr">
        <x:is>
          <x:t xml:space="preserve">2026-09-11 AM</x:t>
        </x:is>
      </x:c>
    </x:row>
    <x:row r="8" ht="60" customHeight="1">
      <x:c r="A8" s="183" t="n">
        <x:v>46276</x:v>
      </x:c>
      <x:c r="B8" s="130" t="inlineStr">
        <x:is>
          <x:t xml:space="preserve">AM</x:t>
        </x:is>
      </x:c>
      <x:c r="C8" s="130" t="inlineStr">
        <x:is>
          <x:t xml:space="preserve">이재환</x:t>
        </x:is>
      </x:c>
      <x:c r="D8" s="130" t="inlineStr">
        <x:is>
          <x:t xml:space="preserve">인계</x:t>
        </x:is>
      </x:c>
      <x:c r="E8" s="130" t="inlineStr">
        <x:is>
          <x:t xml:space="preserve">APP/DB Source·Schema·검증·복구 절차 인계</x:t>
        </x:is>
      </x:c>
      <x:c r="F8" s="130" t="inlineStr">
        <x:is>
          <x:t xml:space="preserve">P1-APP-01</x:t>
        </x:is>
      </x:c>
      <x:c r="G8" s="130" t="inlineStr">
        <x:is>
          <x:t xml:space="preserve">고정 Source·접근권한·실행/판정/복구 절차 확인; 환경 변경과 독립 진행</x:t>
        </x:is>
      </x:c>
      <x:c r="H8" s="184" t="n">
        <x:v>0.5</x:v>
      </x:c>
      <x:c r="I8" s="184" t="n">
        <x:v>1</x:v>
      </x:c>
      <x:c r="J8" s="184" t="n">
        <x:f>SUMIFS($H$6:$H$59,$A$6:$A$59,A8,$C$6:$C$59,C8)</x:f>
        <x:v>1</x:v>
      </x:c>
      <x:c r="K8" s="130" t="str">
        <x:f>IF(J8&gt;I8,"OVERBOOKED",IF(I8=0,"UNAVAILABLE","OK"))</x:f>
        <x:v>OK</x:v>
      </x:c>
      <x:c r="L8" s="130" t="inlineStr">
        <x:is>
          <x:t xml:space="preserve">2026-09-11 AM</x:t>
        </x:is>
      </x:c>
    </x:row>
    <x:row r="9" ht="60" customHeight="1">
      <x:c r="A9" s="185" t="n">
        <x:v>46276</x:v>
      </x:c>
      <x:c r="B9" s="131" t="inlineStr">
        <x:is>
          <x:t xml:space="preserve">PM</x:t>
        </x:is>
      </x:c>
      <x:c r="C9" s="131" t="inlineStr">
        <x:is>
          <x:t xml:space="preserve">이권욱</x:t>
        </x:is>
      </x:c>
      <x:c r="D9" s="131" t="inlineStr">
        <x:is>
          <x:t xml:space="preserve">변경</x:t>
        </x:is>
      </x:c>
      <x:c r="E9" s="131" t="inlineStr">
        <x:is>
          <x:t xml:space="preserve">리뷰 통과 후 CP1 canary·영수증·복구 검증</x:t>
        </x:is>
      </x:c>
      <x:c r="F9" s="131" t="inlineStr">
        <x:is>
          <x:t xml:space="preserve">ICR-D-NET-01-01</x:t>
        </x:is>
      </x:c>
      <x:c r="G9" s="131" t="inlineStr">
        <x:is>
          <x:t xml:space="preserve">PR #2 지적 해소·실행 결정·최신 inspect</x:t>
        </x:is>
      </x:c>
      <x:c r="H9" s="186" t="n">
        <x:v>0.5</x:v>
      </x:c>
      <x:c r="I9" s="186" t="n">
        <x:v>1</x:v>
      </x:c>
      <x:c r="J9" s="186" t="n">
        <x:f>SUMIFS($H$6:$H$59,$A$6:$A$59,A9,$C$6:$C$59,C9)</x:f>
        <x:v>1</x:v>
      </x:c>
      <x:c r="K9" s="131" t="str">
        <x:f>IF(J9&gt;I9,"OVERBOOKED",IF(I9=0,"UNAVAILABLE","OK"))</x:f>
        <x:v>OK</x:v>
      </x:c>
      <x:c r="L9" s="131" t="inlineStr">
        <x:is>
          <x:t xml:space="preserve">2026-09-11 PM</x:t>
        </x:is>
      </x:c>
    </x:row>
    <x:row r="10" ht="60" customHeight="1">
      <x:c r="A10" s="183" t="n">
        <x:v>46276</x:v>
      </x:c>
      <x:c r="B10" s="130" t="inlineStr">
        <x:is>
          <x:t xml:space="preserve">PM</x:t>
        </x:is>
      </x:c>
      <x:c r="C10" s="130" t="inlineStr">
        <x:is>
          <x:t xml:space="preserve">이하영</x:t>
        </x:is>
      </x:c>
      <x:c r="D10" s="130" t="inlineStr">
        <x:is>
          <x:t xml:space="preserve">검증</x:t>
        </x:is>
      </x:c>
      <x:c r="E10" s="130" t="inlineStr">
        <x:is>
          <x:t xml:space="preserve">CP1 변경 후 Kubernetes 검증·Harbor 준비</x:t>
        </x:is>
      </x:c>
      <x:c r="F10" s="130" t="inlineStr">
        <x:is>
          <x:t xml:space="preserve">P1-K8S-01</x:t>
        </x:is>
      </x:c>
      <x:c r="G10" s="130" t="inlineStr">
        <x:is>
          <x:t xml:space="preserve">PR #2 지적 해소·실행 결정·최신 inspect</x:t>
        </x:is>
      </x:c>
      <x:c r="H10" s="184" t="n">
        <x:v>0.5</x:v>
      </x:c>
      <x:c r="I10" s="184" t="n">
        <x:v>1</x:v>
      </x:c>
      <x:c r="J10" s="184" t="n">
        <x:f>SUMIFS($H$6:$H$59,$A$6:$A$59,A10,$C$6:$C$59,C10)</x:f>
        <x:v>1</x:v>
      </x:c>
      <x:c r="K10" s="130" t="str">
        <x:f>IF(J10&gt;I10,"OVERBOOKED",IF(I10=0,"UNAVAILABLE","OK"))</x:f>
        <x:v>OK</x:v>
      </x:c>
      <x:c r="L10" s="130" t="inlineStr">
        <x:is>
          <x:t xml:space="preserve">2026-09-11 PM</x:t>
        </x:is>
      </x:c>
    </x:row>
    <x:row r="11" ht="60" customHeight="1">
      <x:c r="A11" s="185" t="n">
        <x:v>46276</x:v>
      </x:c>
      <x:c r="B11" s="131" t="inlineStr">
        <x:is>
          <x:t xml:space="preserve">PM</x:t>
        </x:is>
      </x:c>
      <x:c r="C11" s="131" t="inlineStr">
        <x:is>
          <x:t xml:space="preserve">이재환</x:t>
        </x:is>
      </x:c>
      <x:c r="D11" s="131" t="inlineStr">
        <x:is>
          <x:t xml:space="preserve">인계</x:t>
        </x:is>
      </x:c>
      <x:c r="E11" s="131" t="inlineStr">
        <x:is>
          <x:t xml:space="preserve">MON Manifest·14+2 AC 및 HA/DR 케이스 인계</x:t>
        </x:is>
      </x:c>
      <x:c r="F11" s="131" t="inlineStr">
        <x:is>
          <x:t xml:space="preserve">P1-MON-01</x:t>
        </x:is>
      </x:c>
      <x:c r="G11" s="131" t="inlineStr">
        <x:is>
          <x:t xml:space="preserve">고정 Source·접근권한·실행/판정/복구 절차 확인; 환경 변경과 독립 진행</x:t>
        </x:is>
      </x:c>
      <x:c r="H11" s="186" t="n">
        <x:v>0.5</x:v>
      </x:c>
      <x:c r="I11" s="186" t="n">
        <x:v>1</x:v>
      </x:c>
      <x:c r="J11" s="186" t="n">
        <x:f>SUMIFS($H$6:$H$59,$A$6:$A$59,A11,$C$6:$C$59,C11)</x:f>
        <x:v>1</x:v>
      </x:c>
      <x:c r="K11" s="131" t="str">
        <x:f>IF(J11&gt;I11,"OVERBOOKED",IF(I11=0,"UNAVAILABLE","OK"))</x:f>
        <x:v>OK</x:v>
      </x:c>
      <x:c r="L11" s="131" t="inlineStr">
        <x:is>
          <x:t xml:space="preserve">2026-09-11 PM</x:t>
        </x:is>
      </x:c>
    </x:row>
    <x:row r="12" ht="60" customHeight="1">
      <x:c r="A12" s="183" t="n">
        <x:v>46279</x:v>
      </x:c>
      <x:c r="B12" s="130" t="inlineStr">
        <x:is>
          <x:t xml:space="preserve">AM</x:t>
        </x:is>
      </x:c>
      <x:c r="C12" s="130" t="inlineStr">
        <x:is>
          <x:t xml:space="preserve">이권욱</x:t>
        </x:is>
      </x:c>
      <x:c r="D12" s="130" t="inlineStr">
        <x:is>
          <x:t xml:space="preserve">변경</x:t>
        </x:is>
      </x:c>
      <x:c r="E12" s="130" t="inlineStr">
        <x:is>
          <x:t xml:space="preserve">CP2/CP3 통신 보완 후 join 지원</x:t>
        </x:is>
      </x:c>
      <x:c r="F12" s="130" t="inlineStr">
        <x:is>
          <x:t xml:space="preserve">ICR-D-NET-01-01</x:t>
        </x:is>
      </x:c>
      <x:c r="G12" s="130" t="inlineStr">
        <x:is>
          <x:t xml:space="preserve">CP1 canary 검증</x:t>
        </x:is>
      </x:c>
      <x:c r="H12" s="184" t="n">
        <x:v>0.5</x:v>
      </x:c>
      <x:c r="I12" s="184" t="n">
        <x:v>1</x:v>
      </x:c>
      <x:c r="J12" s="184" t="n">
        <x:f>SUMIFS($H$6:$H$59,$A$6:$A$59,A12,$C$6:$C$59,C12)</x:f>
        <x:v>1</x:v>
      </x:c>
      <x:c r="K12" s="130" t="str">
        <x:f>IF(J12&gt;I12,"OVERBOOKED",IF(I12=0,"UNAVAILABLE","OK"))</x:f>
        <x:v>OK</x:v>
      </x:c>
      <x:c r="L12" s="130" t="inlineStr">
        <x:is>
          <x:t xml:space="preserve">2026-09-14 AM</x:t>
        </x:is>
      </x:c>
    </x:row>
    <x:row r="13" ht="60" customHeight="1">
      <x:c r="A13" s="185" t="n">
        <x:v>46279</x:v>
      </x:c>
      <x:c r="B13" s="131" t="inlineStr">
        <x:is>
          <x:t xml:space="preserve">AM</x:t>
        </x:is>
      </x:c>
      <x:c r="C13" s="131" t="inlineStr">
        <x:is>
          <x:t xml:space="preserve">이하영</x:t>
        </x:is>
      </x:c>
      <x:c r="D13" s="131" t="inlineStr">
        <x:is>
          <x:t xml:space="preserve">변경</x:t>
        </x:is>
      </x:c>
      <x:c r="E13" s="131" t="inlineStr">
        <x:is>
          <x:t xml:space="preserve">통신 확인 후 CP2/CP3 잔여 구성·join</x:t>
        </x:is>
      </x:c>
      <x:c r="F13" s="131" t="inlineStr">
        <x:is>
          <x:t xml:space="preserve">P1-K8S-01</x:t>
        </x:is>
      </x:c>
      <x:c r="G13" s="131" t="inlineStr">
        <x:is>
          <x:t xml:space="preserve">CP1 canary 검증</x:t>
        </x:is>
      </x:c>
      <x:c r="H13" s="186" t="n">
        <x:v>0.5</x:v>
      </x:c>
      <x:c r="I13" s="186" t="n">
        <x:v>1</x:v>
      </x:c>
      <x:c r="J13" s="186" t="n">
        <x:f>SUMIFS($H$6:$H$59,$A$6:$A$59,A13,$C$6:$C$59,C13)</x:f>
        <x:v>1</x:v>
      </x:c>
      <x:c r="K13" s="131" t="str">
        <x:f>IF(J13&gt;I13,"OVERBOOKED",IF(I13=0,"UNAVAILABLE","OK"))</x:f>
        <x:v>OK</x:v>
      </x:c>
      <x:c r="L13" s="131" t="inlineStr">
        <x:is>
          <x:t xml:space="preserve">2026-09-14 AM</x:t>
        </x:is>
      </x:c>
    </x:row>
    <x:row r="14" ht="60" customHeight="1">
      <x:c r="A14" s="187" t="n">
        <x:v>46279</x:v>
      </x:c>
      <x:c r="B14" s="132" t="inlineStr">
        <x:is>
          <x:t xml:space="preserve">AM</x:t>
        </x:is>
      </x:c>
      <x:c r="C14" s="132" t="inlineStr">
        <x:is>
          <x:t xml:space="preserve">이재환</x:t>
        </x:is>
      </x:c>
      <x:c r="D14" s="132" t="inlineStr">
        <x:is>
          <x:t xml:space="preserve">부재</x:t>
        </x:is>
      </x:c>
      <x:c r="E14" s="132" t="inlineStr">
        <x:is>
          <x:t xml:space="preserve">예비군 부재</x:t>
        </x:is>
      </x:c>
      <x:c r="F14" s="132" t="str"/>
      <x:c r="G14" s="132" t="inlineStr">
        <x:is>
          <x:t xml:space="preserve">수행 배정 없음</x:t>
        </x:is>
      </x:c>
      <x:c r="H14" s="188" t="n">
        <x:v>0</x:v>
      </x:c>
      <x:c r="I14" s="188" t="n">
        <x:v>0</x:v>
      </x:c>
      <x:c r="J14" s="188" t="n">
        <x:f>SUMIFS($H$6:$H$59,$A$6:$A$59,A14,$C$6:$C$59,C14)</x:f>
        <x:v>0</x:v>
      </x:c>
      <x:c r="K14" s="132" t="str">
        <x:f>IF(J14&gt;I14,"OVERBOOKED",IF(I14=0,"UNAVAILABLE","OK"))</x:f>
        <x:v>UNAVAILABLE</x:v>
      </x:c>
      <x:c r="L14" s="132" t="inlineStr">
        <x:is>
          <x:t xml:space="preserve">Unavailable</x:t>
        </x:is>
      </x:c>
    </x:row>
    <x:row r="15" ht="60" customHeight="1">
      <x:c r="A15" s="185" t="n">
        <x:v>46279</x:v>
      </x:c>
      <x:c r="B15" s="131" t="inlineStr">
        <x:is>
          <x:t xml:space="preserve">PM</x:t>
        </x:is>
      </x:c>
      <x:c r="C15" s="131" t="inlineStr">
        <x:is>
          <x:t xml:space="preserve">이권욱</x:t>
        </x:is>
      </x:c>
      <x:c r="D15" s="131" t="inlineStr">
        <x:is>
          <x:t xml:space="preserve">변경</x:t>
        </x:is>
      </x:c>
      <x:c r="E15" s="131" t="inlineStr">
        <x:is>
          <x:t xml:space="preserve">Worker 통신 보완·관리 경로 확인</x:t>
        </x:is>
      </x:c>
      <x:c r="F15" s="131" t="inlineStr">
        <x:is>
          <x:t xml:space="preserve">ICR-D-NET-01-01</x:t>
        </x:is>
      </x:c>
      <x:c r="G15" s="131" t="inlineStr">
        <x:is>
          <x:t xml:space="preserve">CP2/CP3 상태·etcd 확인</x:t>
        </x:is>
      </x:c>
      <x:c r="H15" s="186" t="n">
        <x:v>0.5</x:v>
      </x:c>
      <x:c r="I15" s="186" t="n">
        <x:v>1</x:v>
      </x:c>
      <x:c r="J15" s="186" t="n">
        <x:f>SUMIFS($H$6:$H$59,$A$6:$A$59,A15,$C$6:$C$59,C15)</x:f>
        <x:v>1</x:v>
      </x:c>
      <x:c r="K15" s="131" t="str">
        <x:f>IF(J15&gt;I15,"OVERBOOKED",IF(I15=0,"UNAVAILABLE","OK"))</x:f>
        <x:v>OK</x:v>
      </x:c>
      <x:c r="L15" s="131" t="inlineStr">
        <x:is>
          <x:t xml:space="preserve">2026-09-14 PM</x:t>
        </x:is>
      </x:c>
    </x:row>
    <x:row r="16" ht="60" customHeight="1">
      <x:c r="A16" s="183" t="n">
        <x:v>46279</x:v>
      </x:c>
      <x:c r="B16" s="130" t="inlineStr">
        <x:is>
          <x:t xml:space="preserve">PM</x:t>
        </x:is>
      </x:c>
      <x:c r="C16" s="130" t="inlineStr">
        <x:is>
          <x:t xml:space="preserve">이하영</x:t>
        </x:is>
      </x:c>
      <x:c r="D16" s="130" t="inlineStr">
        <x:is>
          <x:t xml:space="preserve">변경</x:t>
        </x:is>
      </x:c>
      <x:c r="E16" s="130" t="inlineStr">
        <x:is>
          <x:t xml:space="preserve">Worker kubelet/join·노드 상태 확인</x:t>
        </x:is>
      </x:c>
      <x:c r="F16" s="130" t="inlineStr">
        <x:is>
          <x:t xml:space="preserve">P1-K8S-01</x:t>
        </x:is>
      </x:c>
      <x:c r="G16" s="130" t="inlineStr">
        <x:is>
          <x:t xml:space="preserve">CP2/CP3 상태·etcd 확인</x:t>
        </x:is>
      </x:c>
      <x:c r="H16" s="184" t="n">
        <x:v>0.5</x:v>
      </x:c>
      <x:c r="I16" s="184" t="n">
        <x:v>1</x:v>
      </x:c>
      <x:c r="J16" s="184" t="n">
        <x:f>SUMIFS($H$6:$H$59,$A$6:$A$59,A16,$C$6:$C$59,C16)</x:f>
        <x:v>1</x:v>
      </x:c>
      <x:c r="K16" s="130" t="str">
        <x:f>IF(J16&gt;I16,"OVERBOOKED",IF(I16=0,"UNAVAILABLE","OK"))</x:f>
        <x:v>OK</x:v>
      </x:c>
      <x:c r="L16" s="130" t="inlineStr">
        <x:is>
          <x:t xml:space="preserve">2026-09-14 PM</x:t>
        </x:is>
      </x:c>
    </x:row>
    <x:row r="17" ht="60" customHeight="1">
      <x:c r="A17" s="187" t="n">
        <x:v>46279</x:v>
      </x:c>
      <x:c r="B17" s="132" t="inlineStr">
        <x:is>
          <x:t xml:space="preserve">PM</x:t>
        </x:is>
      </x:c>
      <x:c r="C17" s="132" t="inlineStr">
        <x:is>
          <x:t xml:space="preserve">이재환</x:t>
        </x:is>
      </x:c>
      <x:c r="D17" s="132" t="inlineStr">
        <x:is>
          <x:t xml:space="preserve">부재</x:t>
        </x:is>
      </x:c>
      <x:c r="E17" s="132" t="inlineStr">
        <x:is>
          <x:t xml:space="preserve">예비군 부재</x:t>
        </x:is>
      </x:c>
      <x:c r="F17" s="132" t="str"/>
      <x:c r="G17" s="132" t="inlineStr">
        <x:is>
          <x:t xml:space="preserve">수행 배정 없음</x:t>
        </x:is>
      </x:c>
      <x:c r="H17" s="188" t="n">
        <x:v>0</x:v>
      </x:c>
      <x:c r="I17" s="188" t="n">
        <x:v>0</x:v>
      </x:c>
      <x:c r="J17" s="188" t="n">
        <x:f>SUMIFS($H$6:$H$59,$A$6:$A$59,A17,$C$6:$C$59,C17)</x:f>
        <x:v>0</x:v>
      </x:c>
      <x:c r="K17" s="132" t="str">
        <x:f>IF(J17&gt;I17,"OVERBOOKED",IF(I17=0,"UNAVAILABLE","OK"))</x:f>
        <x:v>UNAVAILABLE</x:v>
      </x:c>
      <x:c r="L17" s="132" t="inlineStr">
        <x:is>
          <x:t xml:space="preserve">Unavailable</x:t>
        </x:is>
      </x:c>
    </x:row>
    <x:row r="18" ht="60" customHeight="1">
      <x:c r="A18" s="183" t="n">
        <x:v>46280</x:v>
      </x:c>
      <x:c r="B18" s="130" t="inlineStr">
        <x:is>
          <x:t xml:space="preserve">AM</x:t>
        </x:is>
      </x:c>
      <x:c r="C18" s="130" t="inlineStr">
        <x:is>
          <x:t xml:space="preserve">이권욱</x:t>
        </x:is>
      </x:c>
      <x:c r="D18" s="130" t="inlineStr">
        <x:is>
          <x:t xml:space="preserve">변경</x:t>
        </x:is>
      </x:c>
      <x:c r="E18" s="130" t="inlineStr">
        <x:is>
          <x:t xml:space="preserve">승인 NTP·IF-16 경로 적용 후 Calico 인계</x:t>
        </x:is>
      </x:c>
      <x:c r="F18" s="130" t="inlineStr">
        <x:is>
          <x:t xml:space="preserve">ICR-D-NET-01-01</x:t>
        </x:is>
      </x:c>
      <x:c r="G18" s="130" t="inlineStr">
        <x:is>
          <x:t xml:space="preserve">Worker 상태·NTP 승인값</x:t>
        </x:is>
      </x:c>
      <x:c r="H18" s="184" t="n">
        <x:v>0.5</x:v>
      </x:c>
      <x:c r="I18" s="184" t="n">
        <x:v>1</x:v>
      </x:c>
      <x:c r="J18" s="184" t="n">
        <x:f>SUMIFS($H$6:$H$59,$A$6:$A$59,A18,$C$6:$C$59,C18)</x:f>
        <x:v>1</x:v>
      </x:c>
      <x:c r="K18" s="130" t="str">
        <x:f>IF(J18&gt;I18,"OVERBOOKED",IF(I18=0,"UNAVAILABLE","OK"))</x:f>
        <x:v>OK</x:v>
      </x:c>
      <x:c r="L18" s="130" t="inlineStr">
        <x:is>
          <x:t xml:space="preserve">2026-09-15 AM</x:t>
        </x:is>
      </x:c>
    </x:row>
    <x:row r="19" ht="60" customHeight="1">
      <x:c r="A19" s="185" t="n">
        <x:v>46280</x:v>
      </x:c>
      <x:c r="B19" s="131" t="inlineStr">
        <x:is>
          <x:t xml:space="preserve">AM</x:t>
        </x:is>
      </x:c>
      <x:c r="C19" s="131" t="inlineStr">
        <x:is>
          <x:t xml:space="preserve">이하영</x:t>
        </x:is>
      </x:c>
      <x:c r="D19" s="131" t="inlineStr">
        <x:is>
          <x:t xml:space="preserve">변경</x:t>
        </x:is>
      </x:c>
      <x:c r="E19" s="131" t="inlineStr">
        <x:is>
          <x:t xml:space="preserve">NTP·경로 확인 후 Calico HEP/GNP 단계 적용</x:t>
        </x:is>
      </x:c>
      <x:c r="F19" s="131" t="inlineStr">
        <x:is>
          <x:t xml:space="preserve">P1-K8S-01</x:t>
        </x:is>
      </x:c>
      <x:c r="G19" s="131" t="inlineStr">
        <x:is>
          <x:t xml:space="preserve">Worker 상태·NTP 승인값</x:t>
        </x:is>
      </x:c>
      <x:c r="H19" s="186" t="n">
        <x:v>0.5</x:v>
      </x:c>
      <x:c r="I19" s="186" t="n">
        <x:v>1</x:v>
      </x:c>
      <x:c r="J19" s="186" t="n">
        <x:f>SUMIFS($H$6:$H$59,$A$6:$A$59,A19,$C$6:$C$59,C19)</x:f>
        <x:v>1</x:v>
      </x:c>
      <x:c r="K19" s="131" t="str">
        <x:f>IF(J19&gt;I19,"OVERBOOKED",IF(I19=0,"UNAVAILABLE","OK"))</x:f>
        <x:v>OK</x:v>
      </x:c>
      <x:c r="L19" s="131" t="inlineStr">
        <x:is>
          <x:t xml:space="preserve">2026-09-15 AM</x:t>
        </x:is>
      </x:c>
    </x:row>
    <x:row r="20" ht="60" customHeight="1">
      <x:c r="A20" s="187" t="n">
        <x:v>46280</x:v>
      </x:c>
      <x:c r="B20" s="132" t="inlineStr">
        <x:is>
          <x:t xml:space="preserve">AM</x:t>
        </x:is>
      </x:c>
      <x:c r="C20" s="132" t="inlineStr">
        <x:is>
          <x:t xml:space="preserve">이재환</x:t>
        </x:is>
      </x:c>
      <x:c r="D20" s="132" t="inlineStr">
        <x:is>
          <x:t xml:space="preserve">부재</x:t>
        </x:is>
      </x:c>
      <x:c r="E20" s="132" t="inlineStr">
        <x:is>
          <x:t xml:space="preserve">예비군 부재</x:t>
        </x:is>
      </x:c>
      <x:c r="F20" s="132" t="str"/>
      <x:c r="G20" s="132" t="inlineStr">
        <x:is>
          <x:t xml:space="preserve">수행 배정 없음</x:t>
        </x:is>
      </x:c>
      <x:c r="H20" s="188" t="n">
        <x:v>0</x:v>
      </x:c>
      <x:c r="I20" s="188" t="n">
        <x:v>0</x:v>
      </x:c>
      <x:c r="J20" s="188" t="n">
        <x:f>SUMIFS($H$6:$H$59,$A$6:$A$59,A20,$C$6:$C$59,C20)</x:f>
        <x:v>0</x:v>
      </x:c>
      <x:c r="K20" s="132" t="str">
        <x:f>IF(J20&gt;I20,"OVERBOOKED",IF(I20=0,"UNAVAILABLE","OK"))</x:f>
        <x:v>UNAVAILABLE</x:v>
      </x:c>
      <x:c r="L20" s="132" t="inlineStr">
        <x:is>
          <x:t xml:space="preserve">Unavailable</x:t>
        </x:is>
      </x:c>
    </x:row>
    <x:row r="21" ht="60" customHeight="1">
      <x:c r="A21" s="185" t="n">
        <x:v>46280</x:v>
      </x:c>
      <x:c r="B21" s="131" t="inlineStr">
        <x:is>
          <x:t xml:space="preserve">PM</x:t>
        </x:is>
      </x:c>
      <x:c r="C21" s="131" t="inlineStr">
        <x:is>
          <x:t xml:space="preserve">이권욱</x:t>
        </x:is>
      </x:c>
      <x:c r="D21" s="131" t="inlineStr">
        <x:is>
          <x:t xml:space="preserve">검증</x:t>
        </x:is>
      </x:c>
      <x:c r="E21" s="131" t="inlineStr">
        <x:is>
          <x:t xml:space="preserve">API LB Stage B·Backend/인증·장애조치</x:t>
        </x:is>
      </x:c>
      <x:c r="F21" s="131" t="inlineStr">
        <x:is>
          <x:t xml:space="preserve">P1-LB-01</x:t>
        </x:is>
      </x:c>
      <x:c r="G21" s="131" t="inlineStr">
        <x:is>
          <x:t xml:space="preserve">NTP·Calico·필수 관리 경로 정상</x:t>
        </x:is>
      </x:c>
      <x:c r="H21" s="186" t="n">
        <x:v>0.5</x:v>
      </x:c>
      <x:c r="I21" s="186" t="n">
        <x:v>1</x:v>
      </x:c>
      <x:c r="J21" s="186" t="n">
        <x:f>SUMIFS($H$6:$H$59,$A$6:$A$59,A21,$C$6:$C$59,C21)</x:f>
        <x:v>1</x:v>
      </x:c>
      <x:c r="K21" s="131" t="str">
        <x:f>IF(J21&gt;I21,"OVERBOOKED",IF(I21=0,"UNAVAILABLE","OK"))</x:f>
        <x:v>OK</x:v>
      </x:c>
      <x:c r="L21" s="131" t="inlineStr">
        <x:is>
          <x:t xml:space="preserve">2026-09-15 PM</x:t>
        </x:is>
      </x:c>
    </x:row>
    <x:row r="22" ht="60" customHeight="1">
      <x:c r="A22" s="183" t="n">
        <x:v>46280</x:v>
      </x:c>
      <x:c r="B22" s="130" t="inlineStr">
        <x:is>
          <x:t xml:space="preserve">PM</x:t>
        </x:is>
      </x:c>
      <x:c r="C22" s="130" t="inlineStr">
        <x:is>
          <x:t xml:space="preserve">이하영</x:t>
        </x:is>
      </x:c>
      <x:c r="D22" s="130" t="inlineStr">
        <x:is>
          <x:t xml:space="preserve">구현</x:t>
        </x:is>
      </x:c>
      <x:c r="E22" s="130" t="inlineStr">
        <x:is>
          <x:t xml:space="preserve">Harbor CA/Robot/Scanner·Worker Pull 검증</x:t>
        </x:is>
      </x:c>
      <x:c r="F22" s="130" t="inlineStr">
        <x:is>
          <x:t xml:space="preserve">P1-HBR-01</x:t>
        </x:is>
      </x:c>
      <x:c r="G22" s="130" t="inlineStr">
        <x:is>
          <x:t xml:space="preserve">NTP·Calico·필수 관리 경로 정상</x:t>
        </x:is>
      </x:c>
      <x:c r="H22" s="184" t="n">
        <x:v>0.5</x:v>
      </x:c>
      <x:c r="I22" s="184" t="n">
        <x:v>1</x:v>
      </x:c>
      <x:c r="J22" s="184" t="n">
        <x:f>SUMIFS($H$6:$H$59,$A$6:$A$59,A22,$C$6:$C$59,C22)</x:f>
        <x:v>1</x:v>
      </x:c>
      <x:c r="K22" s="130" t="str">
        <x:f>IF(J22&gt;I22,"OVERBOOKED",IF(I22=0,"UNAVAILABLE","OK"))</x:f>
        <x:v>OK</x:v>
      </x:c>
      <x:c r="L22" s="130" t="inlineStr">
        <x:is>
          <x:t xml:space="preserve">2026-09-15 PM</x:t>
        </x:is>
      </x:c>
    </x:row>
    <x:row r="23" ht="60" customHeight="1">
      <x:c r="A23" s="187" t="n">
        <x:v>46280</x:v>
      </x:c>
      <x:c r="B23" s="132" t="inlineStr">
        <x:is>
          <x:t xml:space="preserve">PM</x:t>
        </x:is>
      </x:c>
      <x:c r="C23" s="132" t="inlineStr">
        <x:is>
          <x:t xml:space="preserve">이재환</x:t>
        </x:is>
      </x:c>
      <x:c r="D23" s="132" t="inlineStr">
        <x:is>
          <x:t xml:space="preserve">부재</x:t>
        </x:is>
      </x:c>
      <x:c r="E23" s="132" t="inlineStr">
        <x:is>
          <x:t xml:space="preserve">예비군 부재</x:t>
        </x:is>
      </x:c>
      <x:c r="F23" s="132" t="str"/>
      <x:c r="G23" s="132" t="inlineStr">
        <x:is>
          <x:t xml:space="preserve">수행 배정 없음</x:t>
        </x:is>
      </x:c>
      <x:c r="H23" s="188" t="n">
        <x:v>0</x:v>
      </x:c>
      <x:c r="I23" s="188" t="n">
        <x:v>0</x:v>
      </x:c>
      <x:c r="J23" s="188" t="n">
        <x:f>SUMIFS($H$6:$H$59,$A$6:$A$59,A23,$C$6:$C$59,C23)</x:f>
        <x:v>0</x:v>
      </x:c>
      <x:c r="K23" s="132" t="str">
        <x:f>IF(J23&gt;I23,"OVERBOOKED",IF(I23=0,"UNAVAILABLE","OK"))</x:f>
        <x:v>UNAVAILABLE</x:v>
      </x:c>
      <x:c r="L23" s="132" t="inlineStr">
        <x:is>
          <x:t xml:space="preserve">Unavailable</x:t>
        </x:is>
      </x:c>
    </x:row>
    <x:row r="24" ht="60" customHeight="1">
      <x:c r="A24" s="183" t="n">
        <x:v>46281</x:v>
      </x:c>
      <x:c r="B24" s="130" t="inlineStr">
        <x:is>
          <x:t xml:space="preserve">AM</x:t>
        </x:is>
      </x:c>
      <x:c r="C24" s="130" t="inlineStr">
        <x:is>
          <x:t xml:space="preserve">이권욱</x:t>
        </x:is>
      </x:c>
      <x:c r="D24" s="130" t="inlineStr">
        <x:is>
          <x:t xml:space="preserve">구현</x:t>
        </x:is>
      </x:c>
      <x:c r="E24" s="130" t="inlineStr">
        <x:is>
          <x:t xml:space="preserve">CI Test/Build/Trivy·배포 차단 Gate</x:t>
        </x:is>
      </x:c>
      <x:c r="F24" s="130" t="inlineStr">
        <x:is>
          <x:t xml:space="preserve">P1-CICD-01</x:t>
        </x:is>
      </x:c>
      <x:c r="G24" s="130" t="inlineStr">
        <x:is>
          <x:t xml:space="preserve">플랫폼/Harbor 준비</x:t>
        </x:is>
      </x:c>
      <x:c r="H24" s="184" t="n">
        <x:v>0.5</x:v>
      </x:c>
      <x:c r="I24" s="184" t="n">
        <x:v>1</x:v>
      </x:c>
      <x:c r="J24" s="184" t="n">
        <x:f>SUMIFS($H$6:$H$59,$A$6:$A$59,A24,$C$6:$C$59,C24)</x:f>
        <x:v>1</x:v>
      </x:c>
      <x:c r="K24" s="130" t="str">
        <x:f>IF(J24&gt;I24,"OVERBOOKED",IF(I24=0,"UNAVAILABLE","OK"))</x:f>
        <x:v>OK</x:v>
      </x:c>
      <x:c r="L24" s="130" t="inlineStr">
        <x:is>
          <x:t xml:space="preserve">2026-09-16 AM</x:t>
        </x:is>
      </x:c>
    </x:row>
    <x:row r="25" ht="60" customHeight="1">
      <x:c r="A25" s="185" t="n">
        <x:v>46281</x:v>
      </x:c>
      <x:c r="B25" s="131" t="inlineStr">
        <x:is>
          <x:t xml:space="preserve">AM</x:t>
        </x:is>
      </x:c>
      <x:c r="C25" s="131" t="inlineStr">
        <x:is>
          <x:t xml:space="preserve">이하영</x:t>
        </x:is>
      </x:c>
      <x:c r="D25" s="131" t="inlineStr">
        <x:is>
          <x:t xml:space="preserve">구현</x:t>
        </x:is>
      </x:c>
      <x:c r="E25" s="131" t="inlineStr">
        <x:is>
          <x:t xml:space="preserve">PSA/SC/RBAC/Secret·Default Deny 적용</x:t>
        </x:is>
      </x:c>
      <x:c r="F25" s="131" t="inlineStr">
        <x:is>
          <x:t xml:space="preserve">P1-SEC-01</x:t>
        </x:is>
      </x:c>
      <x:c r="G25" s="131" t="inlineStr">
        <x:is>
          <x:t xml:space="preserve">플랫폼/Harbor 준비</x:t>
        </x:is>
      </x:c>
      <x:c r="H25" s="186" t="n">
        <x:v>0.5</x:v>
      </x:c>
      <x:c r="I25" s="186" t="n">
        <x:v>1</x:v>
      </x:c>
      <x:c r="J25" s="186" t="n">
        <x:f>SUMIFS($H$6:$H$59,$A$6:$A$59,A25,$C$6:$C$59,C25)</x:f>
        <x:v>1</x:v>
      </x:c>
      <x:c r="K25" s="131" t="str">
        <x:f>IF(J25&gt;I25,"OVERBOOKED",IF(I25=0,"UNAVAILABLE","OK"))</x:f>
        <x:v>OK</x:v>
      </x:c>
      <x:c r="L25" s="131" t="inlineStr">
        <x:is>
          <x:t xml:space="preserve">2026-09-16 AM</x:t>
        </x:is>
      </x:c>
    </x:row>
    <x:row r="26" ht="60" customHeight="1">
      <x:c r="A26" s="187" t="n">
        <x:v>46281</x:v>
      </x:c>
      <x:c r="B26" s="132" t="inlineStr">
        <x:is>
          <x:t xml:space="preserve">AM</x:t>
        </x:is>
      </x:c>
      <x:c r="C26" s="132" t="inlineStr">
        <x:is>
          <x:t xml:space="preserve">이재환</x:t>
        </x:is>
      </x:c>
      <x:c r="D26" s="132" t="inlineStr">
        <x:is>
          <x:t xml:space="preserve">부재</x:t>
        </x:is>
      </x:c>
      <x:c r="E26" s="132" t="inlineStr">
        <x:is>
          <x:t xml:space="preserve">예비군 부재</x:t>
        </x:is>
      </x:c>
      <x:c r="F26" s="132" t="str"/>
      <x:c r="G26" s="132" t="inlineStr">
        <x:is>
          <x:t xml:space="preserve">수행 배정 없음</x:t>
        </x:is>
      </x:c>
      <x:c r="H26" s="188" t="n">
        <x:v>0</x:v>
      </x:c>
      <x:c r="I26" s="188" t="n">
        <x:v>0</x:v>
      </x:c>
      <x:c r="J26" s="188" t="n">
        <x:f>SUMIFS($H$6:$H$59,$A$6:$A$59,A26,$C$6:$C$59,C26)</x:f>
        <x:v>0</x:v>
      </x:c>
      <x:c r="K26" s="132" t="str">
        <x:f>IF(J26&gt;I26,"OVERBOOKED",IF(I26=0,"UNAVAILABLE","OK"))</x:f>
        <x:v>UNAVAILABLE</x:v>
      </x:c>
      <x:c r="L26" s="132" t="inlineStr">
        <x:is>
          <x:t xml:space="preserve">Unavailable</x:t>
        </x:is>
      </x:c>
    </x:row>
    <x:row r="27" ht="60" customHeight="1">
      <x:c r="A27" s="185" t="n">
        <x:v>46281</x:v>
      </x:c>
      <x:c r="B27" s="131" t="inlineStr">
        <x:is>
          <x:t xml:space="preserve">PM</x:t>
        </x:is>
      </x:c>
      <x:c r="C27" s="131" t="inlineStr">
        <x:is>
          <x:t xml:space="preserve">이권욱</x:t>
        </x:is>
      </x:c>
      <x:c r="D27" s="131" t="inlineStr">
        <x:is>
          <x:t xml:space="preserve">검증</x:t>
        </x:is>
      </x:c>
      <x:c r="E27" s="131" t="inlineStr">
        <x:is>
          <x:t xml:space="preserve">승인 플랫폼 Deploy·Digest·Health·인계 MON 배치 준비</x:t>
        </x:is>
      </x:c>
      <x:c r="F27" s="131" t="inlineStr">
        <x:is>
          <x:t xml:space="preserve">P1-CICD-01</x:t>
        </x:is>
      </x:c>
      <x:c r="G27" s="131" t="inlineStr">
        <x:is>
          <x:t xml:space="preserve">배포·보안 필수 통제 정상</x:t>
        </x:is>
      </x:c>
      <x:c r="H27" s="186" t="n">
        <x:v>0.5</x:v>
      </x:c>
      <x:c r="I27" s="186" t="n">
        <x:v>1</x:v>
      </x:c>
      <x:c r="J27" s="186" t="n">
        <x:f>SUMIFS($H$6:$H$59,$A$6:$A$59,A27,$C$6:$C$59,C27)</x:f>
        <x:v>1</x:v>
      </x:c>
      <x:c r="K27" s="131" t="str">
        <x:f>IF(J27&gt;I27,"OVERBOOKED",IF(I27=0,"UNAVAILABLE","OK"))</x:f>
        <x:v>OK</x:v>
      </x:c>
      <x:c r="L27" s="131" t="inlineStr">
        <x:is>
          <x:t xml:space="preserve">2026-09-16 PM</x:t>
        </x:is>
      </x:c>
    </x:row>
    <x:row r="28" ht="60" customHeight="1">
      <x:c r="A28" s="183" t="n">
        <x:v>46281</x:v>
      </x:c>
      <x:c r="B28" s="130" t="inlineStr">
        <x:is>
          <x:t xml:space="preserve">PM</x:t>
        </x:is>
      </x:c>
      <x:c r="C28" s="130" t="inlineStr">
        <x:is>
          <x:t xml:space="preserve">이하영</x:t>
        </x:is>
      </x:c>
      <x:c r="D28" s="130" t="inlineStr">
        <x:is>
          <x:t xml:space="preserve">검증</x:t>
        </x:is>
      </x:c>
      <x:c r="E28" s="130" t="inlineStr">
        <x:is>
          <x:t xml:space="preserve">Harbor 4/4 Digest 대조·보안/배치 확인</x:t>
        </x:is>
      </x:c>
      <x:c r="F28" s="130" t="inlineStr">
        <x:is>
          <x:t xml:space="preserve">P1-HBR-01</x:t>
        </x:is>
      </x:c>
      <x:c r="G28" s="130" t="inlineStr">
        <x:is>
          <x:t xml:space="preserve">배포·보안 필수 통제 정상</x:t>
        </x:is>
      </x:c>
      <x:c r="H28" s="184" t="n">
        <x:v>0.5</x:v>
      </x:c>
      <x:c r="I28" s="184" t="n">
        <x:v>1</x:v>
      </x:c>
      <x:c r="J28" s="184" t="n">
        <x:f>SUMIFS($H$6:$H$59,$A$6:$A$59,A28,$C$6:$C$59,C28)</x:f>
        <x:v>1</x:v>
      </x:c>
      <x:c r="K28" s="130" t="str">
        <x:f>IF(J28&gt;I28,"OVERBOOKED",IF(I28=0,"UNAVAILABLE","OK"))</x:f>
        <x:v>OK</x:v>
      </x:c>
      <x:c r="L28" s="130" t="inlineStr">
        <x:is>
          <x:t xml:space="preserve">2026-09-16 PM</x:t>
        </x:is>
      </x:c>
    </x:row>
    <x:row r="29" ht="60" customHeight="1">
      <x:c r="A29" s="187" t="n">
        <x:v>46281</x:v>
      </x:c>
      <x:c r="B29" s="132" t="inlineStr">
        <x:is>
          <x:t xml:space="preserve">PM</x:t>
        </x:is>
      </x:c>
      <x:c r="C29" s="132" t="inlineStr">
        <x:is>
          <x:t xml:space="preserve">이재환</x:t>
        </x:is>
      </x:c>
      <x:c r="D29" s="132" t="inlineStr">
        <x:is>
          <x:t xml:space="preserve">부재</x:t>
        </x:is>
      </x:c>
      <x:c r="E29" s="132" t="inlineStr">
        <x:is>
          <x:t xml:space="preserve">예비군 부재</x:t>
        </x:is>
      </x:c>
      <x:c r="F29" s="132" t="str"/>
      <x:c r="G29" s="132" t="inlineStr">
        <x:is>
          <x:t xml:space="preserve">수행 배정 없음</x:t>
        </x:is>
      </x:c>
      <x:c r="H29" s="188" t="n">
        <x:v>0</x:v>
      </x:c>
      <x:c r="I29" s="188" t="n">
        <x:v>0</x:v>
      </x:c>
      <x:c r="J29" s="188" t="n">
        <x:f>SUMIFS($H$6:$H$59,$A$6:$A$59,A29,$C$6:$C$59,C29)</x:f>
        <x:v>0</x:v>
      </x:c>
      <x:c r="K29" s="132" t="str">
        <x:f>IF(J29&gt;I29,"OVERBOOKED",IF(I29=0,"UNAVAILABLE","OK"))</x:f>
        <x:v>UNAVAILABLE</x:v>
      </x:c>
      <x:c r="L29" s="132" t="inlineStr">
        <x:is>
          <x:t xml:space="preserve">Unavailable</x:t>
        </x:is>
      </x:c>
    </x:row>
    <x:row r="30" ht="60" customHeight="1">
      <x:c r="A30" s="183" t="n">
        <x:v>46282</x:v>
      </x:c>
      <x:c r="B30" s="130" t="inlineStr">
        <x:is>
          <x:t xml:space="preserve">AM</x:t>
        </x:is>
      </x:c>
      <x:c r="C30" s="130" t="inlineStr">
        <x:is>
          <x:t xml:space="preserve">이권욱</x:t>
        </x:is>
      </x:c>
      <x:c r="D30" s="130" t="inlineStr">
        <x:is>
          <x:t xml:space="preserve">검증</x:t>
        </x:is>
      </x:c>
      <x:c r="E30" s="130" t="inlineStr">
        <x:is>
          <x:t xml:space="preserve">인계 DB 경로·Schema 검증, MON/PVC 배치 지원</x:t>
        </x:is>
      </x:c>
      <x:c r="F30" s="130" t="inlineStr">
        <x:is>
          <x:t xml:space="preserve">P1-DB-01</x:t>
        </x:is>
      </x:c>
      <x:c r="G30" s="130" t="inlineStr">
        <x:is>
          <x:t xml:space="preserve">고정 인계 패키지·보호/복구 절차</x:t>
        </x:is>
      </x:c>
      <x:c r="H30" s="184" t="n">
        <x:v>0.5</x:v>
      </x:c>
      <x:c r="I30" s="184" t="n">
        <x:v>1</x:v>
      </x:c>
      <x:c r="J30" s="184" t="n">
        <x:f>SUMIFS($H$6:$H$59,$A$6:$A$59,A30,$C$6:$C$59,C30)</x:f>
        <x:v>1</x:v>
      </x:c>
      <x:c r="K30" s="130" t="str">
        <x:f>IF(J30&gt;I30,"OVERBOOKED",IF(I30=0,"UNAVAILABLE","OK"))</x:f>
        <x:v>OK</x:v>
      </x:c>
      <x:c r="L30" s="130" t="inlineStr">
        <x:is>
          <x:t xml:space="preserve">2026-09-17 AM</x:t>
        </x:is>
      </x:c>
    </x:row>
    <x:row r="31" ht="60" customHeight="1">
      <x:c r="A31" s="185" t="n">
        <x:v>46282</x:v>
      </x:c>
      <x:c r="B31" s="131" t="inlineStr">
        <x:is>
          <x:t xml:space="preserve">AM</x:t>
        </x:is>
      </x:c>
      <x:c r="C31" s="131" t="inlineStr">
        <x:is>
          <x:t xml:space="preserve">이하영</x:t>
        </x:is>
      </x:c>
      <x:c r="D31" s="131" t="inlineStr">
        <x:is>
          <x:t xml:space="preserve">검증</x:t>
        </x:is>
      </x:c>
      <x:c r="E31" s="131" t="inlineStr">
        <x:is>
          <x:t xml:space="preserve">보호 인계·Reboot/복구 회귀·정본 배치 검수</x:t>
        </x:is>
      </x:c>
      <x:c r="F31" s="131" t="inlineStr">
        <x:is>
          <x:t xml:space="preserve">P1-SEC-01</x:t>
        </x:is>
      </x:c>
      <x:c r="G31" s="131" t="inlineStr">
        <x:is>
          <x:t xml:space="preserve">고정 인계 패키지·보호/복구 절차</x:t>
        </x:is>
      </x:c>
      <x:c r="H31" s="186" t="n">
        <x:v>0.5</x:v>
      </x:c>
      <x:c r="I31" s="186" t="n">
        <x:v>1</x:v>
      </x:c>
      <x:c r="J31" s="186" t="n">
        <x:f>SUMIFS($H$6:$H$59,$A$6:$A$59,A31,$C$6:$C$59,C31)</x:f>
        <x:v>1</x:v>
      </x:c>
      <x:c r="K31" s="131" t="str">
        <x:f>IF(J31&gt;I31,"OVERBOOKED",IF(I31=0,"UNAVAILABLE","OK"))</x:f>
        <x:v>OK</x:v>
      </x:c>
      <x:c r="L31" s="131" t="inlineStr">
        <x:is>
          <x:t xml:space="preserve">2026-09-17 AM</x:t>
        </x:is>
      </x:c>
    </x:row>
    <x:row r="32" ht="60" customHeight="1">
      <x:c r="A32" s="187" t="n">
        <x:v>46282</x:v>
      </x:c>
      <x:c r="B32" s="132" t="inlineStr">
        <x:is>
          <x:t xml:space="preserve">AM</x:t>
        </x:is>
      </x:c>
      <x:c r="C32" s="132" t="inlineStr">
        <x:is>
          <x:t xml:space="preserve">이재환</x:t>
        </x:is>
      </x:c>
      <x:c r="D32" s="132" t="inlineStr">
        <x:is>
          <x:t xml:space="preserve">부재</x:t>
        </x:is>
      </x:c>
      <x:c r="E32" s="132" t="inlineStr">
        <x:is>
          <x:t xml:space="preserve">예비군 부재</x:t>
        </x:is>
      </x:c>
      <x:c r="F32" s="132" t="str"/>
      <x:c r="G32" s="132" t="inlineStr">
        <x:is>
          <x:t xml:space="preserve">수행 배정 없음</x:t>
        </x:is>
      </x:c>
      <x:c r="H32" s="188" t="n">
        <x:v>0</x:v>
      </x:c>
      <x:c r="I32" s="188" t="n">
        <x:v>0</x:v>
      </x:c>
      <x:c r="J32" s="188" t="n">
        <x:f>SUMIFS($H$6:$H$59,$A$6:$A$59,A32,$C$6:$C$59,C32)</x:f>
        <x:v>0</x:v>
      </x:c>
      <x:c r="K32" s="132" t="str">
        <x:f>IF(J32&gt;I32,"OVERBOOKED",IF(I32=0,"UNAVAILABLE","OK"))</x:f>
        <x:v>UNAVAILABLE</x:v>
      </x:c>
      <x:c r="L32" s="132" t="inlineStr">
        <x:is>
          <x:t xml:space="preserve">Unavailable</x:t>
        </x:is>
      </x:c>
    </x:row>
    <x:row r="33" ht="60" customHeight="1">
      <x:c r="A33" s="185" t="n">
        <x:v>46282</x:v>
      </x:c>
      <x:c r="B33" s="131" t="inlineStr">
        <x:is>
          <x:t xml:space="preserve">PM</x:t>
        </x:is>
      </x:c>
      <x:c r="C33" s="131" t="inlineStr">
        <x:is>
          <x:t xml:space="preserve">이권욱</x:t>
        </x:is>
      </x:c>
      <x:c r="D33" s="131" t="inlineStr">
        <x:is>
          <x:t xml:space="preserve">인수</x:t>
        </x:is>
      </x:c>
      <x:c r="E33" s="131" t="inlineStr">
        <x:is>
          <x:t xml:space="preserve">G1 인수 점검·잔여 Source/증적/Runbook 정리</x:t>
        </x:is>
      </x:c>
      <x:c r="F33" s="131" t="inlineStr">
        <x:is>
          <x:t xml:space="preserve">MS-G1-01</x:t>
        </x:is>
      </x:c>
      <x:c r="G33" s="131" t="inlineStr">
        <x:is>
          <x:t xml:space="preserve">G1 필수 증적 충족</x:t>
        </x:is>
      </x:c>
      <x:c r="H33" s="186" t="n">
        <x:v>0.5</x:v>
      </x:c>
      <x:c r="I33" s="186" t="n">
        <x:v>1</x:v>
      </x:c>
      <x:c r="J33" s="186" t="n">
        <x:f>SUMIFS($H$6:$H$59,$A$6:$A$59,A33,$C$6:$C$59,C33)</x:f>
        <x:v>1</x:v>
      </x:c>
      <x:c r="K33" s="131" t="str">
        <x:f>IF(J33&gt;I33,"OVERBOOKED",IF(I33=0,"UNAVAILABLE","OK"))</x:f>
        <x:v>OK</x:v>
      </x:c>
      <x:c r="L33" s="131" t="inlineStr">
        <x:is>
          <x:t xml:space="preserve">2026-09-17 PM</x:t>
        </x:is>
      </x:c>
    </x:row>
    <x:row r="34" ht="60" customHeight="1">
      <x:c r="A34" s="183" t="n">
        <x:v>46282</x:v>
      </x:c>
      <x:c r="B34" s="130" t="inlineStr">
        <x:is>
          <x:t xml:space="preserve">PM</x:t>
        </x:is>
      </x:c>
      <x:c r="C34" s="130" t="inlineStr">
        <x:is>
          <x:t xml:space="preserve">이하영</x:t>
        </x:is>
      </x:c>
      <x:c r="D34" s="130" t="inlineStr">
        <x:is>
          <x:t xml:space="preserve">검토</x:t>
        </x:is>
      </x:c>
      <x:c r="E34" s="130" t="inlineStr">
        <x:is>
          <x:t xml:space="preserve">G1 독립 대조·MON 제한 권한/망정책 검토</x:t>
        </x:is>
      </x:c>
      <x:c r="F34" s="130" t="inlineStr">
        <x:is>
          <x:t xml:space="preserve">P1-K8S-01</x:t>
        </x:is>
      </x:c>
      <x:c r="G34" s="130" t="inlineStr">
        <x:is>
          <x:t xml:space="preserve">G1 필수 증적 충족</x:t>
        </x:is>
      </x:c>
      <x:c r="H34" s="184" t="n">
        <x:v>0.5</x:v>
      </x:c>
      <x:c r="I34" s="184" t="n">
        <x:v>1</x:v>
      </x:c>
      <x:c r="J34" s="184" t="n">
        <x:f>SUMIFS($H$6:$H$59,$A$6:$A$59,A34,$C$6:$C$59,C34)</x:f>
        <x:v>1</x:v>
      </x:c>
      <x:c r="K34" s="130" t="str">
        <x:f>IF(J34&gt;I34,"OVERBOOKED",IF(I34=0,"UNAVAILABLE","OK"))</x:f>
        <x:v>OK</x:v>
      </x:c>
      <x:c r="L34" s="130" t="inlineStr">
        <x:is>
          <x:t xml:space="preserve">2026-09-17 PM</x:t>
        </x:is>
      </x:c>
    </x:row>
    <x:row r="35" ht="60" customHeight="1">
      <x:c r="A35" s="187" t="n">
        <x:v>46282</x:v>
      </x:c>
      <x:c r="B35" s="132" t="inlineStr">
        <x:is>
          <x:t xml:space="preserve">PM</x:t>
        </x:is>
      </x:c>
      <x:c r="C35" s="132" t="inlineStr">
        <x:is>
          <x:t xml:space="preserve">이재환</x:t>
        </x:is>
      </x:c>
      <x:c r="D35" s="132" t="inlineStr">
        <x:is>
          <x:t xml:space="preserve">부재</x:t>
        </x:is>
      </x:c>
      <x:c r="E35" s="132" t="inlineStr">
        <x:is>
          <x:t xml:space="preserve">예비군 부재</x:t>
        </x:is>
      </x:c>
      <x:c r="F35" s="132" t="str"/>
      <x:c r="G35" s="132" t="inlineStr">
        <x:is>
          <x:t xml:space="preserve">수행 배정 없음</x:t>
        </x:is>
      </x:c>
      <x:c r="H35" s="188" t="n">
        <x:v>0</x:v>
      </x:c>
      <x:c r="I35" s="188" t="n">
        <x:v>0</x:v>
      </x:c>
      <x:c r="J35" s="188" t="n">
        <x:f>SUMIFS($H$6:$H$59,$A$6:$A$59,A35,$C$6:$C$59,C35)</x:f>
        <x:v>0</x:v>
      </x:c>
      <x:c r="K35" s="132" t="str">
        <x:f>IF(J35&gt;I35,"OVERBOOKED",IF(I35=0,"UNAVAILABLE","OK"))</x:f>
        <x:v>UNAVAILABLE</x:v>
      </x:c>
      <x:c r="L35" s="132" t="inlineStr">
        <x:is>
          <x:t xml:space="preserve">Unavailable</x:t>
        </x:is>
      </x:c>
    </x:row>
    <x:row r="36" ht="60" customHeight="1">
      <x:c r="A36" s="183" t="n">
        <x:v>46283</x:v>
      </x:c>
      <x:c r="B36" s="130" t="inlineStr">
        <x:is>
          <x:t xml:space="preserve">AM</x:t>
        </x:is>
      </x:c>
      <x:c r="C36" s="130" t="inlineStr">
        <x:is>
          <x:t xml:space="preserve">이권욱</x:t>
        </x:is>
      </x:c>
      <x:c r="D36" s="130" t="inlineStr">
        <x:is>
          <x:t xml:space="preserve">지원</x:t>
        </x:is>
      </x:c>
      <x:c r="E36" s="130" t="inlineStr">
        <x:is>
          <x:t xml:space="preserve">CI·IF-06B/monitor01 통합 및 증적</x:t>
        </x:is>
      </x:c>
      <x:c r="F36" s="130" t="inlineStr">
        <x:is>
          <x:t xml:space="preserve">P1-CICD-01</x:t>
        </x:is>
      </x:c>
      <x:c r="G36" s="130" t="inlineStr">
        <x:is>
          <x:t xml:space="preserve">G1 인수·이재환 복귀</x:t>
        </x:is>
      </x:c>
      <x:c r="H36" s="184" t="n">
        <x:v>0.5</x:v>
      </x:c>
      <x:c r="I36" s="184" t="n">
        <x:v>1</x:v>
      </x:c>
      <x:c r="J36" s="184" t="n">
        <x:f>SUMIFS($H$6:$H$59,$A$6:$A$59,A36,$C$6:$C$59,C36)</x:f>
        <x:v>1</x:v>
      </x:c>
      <x:c r="K36" s="130" t="str">
        <x:f>IF(J36&gt;I36,"OVERBOOKED",IF(I36=0,"UNAVAILABLE","OK"))</x:f>
        <x:v>OK</x:v>
      </x:c>
      <x:c r="L36" s="130" t="inlineStr">
        <x:is>
          <x:t xml:space="preserve">2026-09-18 AM</x:t>
        </x:is>
      </x:c>
    </x:row>
    <x:row r="37" ht="60" customHeight="1">
      <x:c r="A37" s="185" t="n">
        <x:v>46283</x:v>
      </x:c>
      <x:c r="B37" s="131" t="inlineStr">
        <x:is>
          <x:t xml:space="preserve">AM</x:t>
        </x:is>
      </x:c>
      <x:c r="C37" s="131" t="inlineStr">
        <x:is>
          <x:t xml:space="preserve">이하영</x:t>
        </x:is>
      </x:c>
      <x:c r="D37" s="131" t="inlineStr">
        <x:is>
          <x:t xml:space="preserve">지원</x:t>
        </x:is>
      </x:c>
      <x:c r="E37" s="131" t="inlineStr">
        <x:is>
          <x:t xml:space="preserve">APP/MON 보안·권한·배치 검증</x:t>
        </x:is>
      </x:c>
      <x:c r="F37" s="131" t="inlineStr">
        <x:is>
          <x:t xml:space="preserve">P1-SEC-01</x:t>
        </x:is>
      </x:c>
      <x:c r="G37" s="131" t="inlineStr">
        <x:is>
          <x:t xml:space="preserve">G1 인수·이재환 복귀</x:t>
        </x:is>
      </x:c>
      <x:c r="H37" s="186" t="n">
        <x:v>0.5</x:v>
      </x:c>
      <x:c r="I37" s="186" t="n">
        <x:v>1</x:v>
      </x:c>
      <x:c r="J37" s="186" t="n">
        <x:f>SUMIFS($H$6:$H$59,$A$6:$A$59,A37,$C$6:$C$59,C37)</x:f>
        <x:v>1</x:v>
      </x:c>
      <x:c r="K37" s="131" t="str">
        <x:f>IF(J37&gt;I37,"OVERBOOKED",IF(I37=0,"UNAVAILABLE","OK"))</x:f>
        <x:v>OK</x:v>
      </x:c>
      <x:c r="L37" s="131" t="inlineStr">
        <x:is>
          <x:t xml:space="preserve">2026-09-18 AM</x:t>
        </x:is>
      </x:c>
    </x:row>
    <x:row r="38" ht="60" customHeight="1">
      <x:c r="A38" s="183" t="n">
        <x:v>46283</x:v>
      </x:c>
      <x:c r="B38" s="130" t="inlineStr">
        <x:is>
          <x:t xml:space="preserve">AM</x:t>
        </x:is>
      </x:c>
      <x:c r="C38" s="130" t="inlineStr">
        <x:is>
          <x:t xml:space="preserve">이재환</x:t>
        </x:is>
      </x:c>
      <x:c r="D38" s="130" t="inlineStr">
        <x:is>
          <x:t xml:space="preserve">통합</x:t>
        </x:is>
      </x:c>
      <x:c r="E38" s="130" t="inlineStr">
        <x:is>
          <x:t xml:space="preserve">복귀 인수·APP/DB/MON Runtime 통합</x:t>
        </x:is>
      </x:c>
      <x:c r="F38" s="130" t="inlineStr">
        <x:is>
          <x:t xml:space="preserve">P1-APP-01</x:t>
        </x:is>
      </x:c>
      <x:c r="G38" s="130" t="inlineStr">
        <x:is>
          <x:t xml:space="preserve">G1 인수·이재환 복귀</x:t>
        </x:is>
      </x:c>
      <x:c r="H38" s="184" t="n">
        <x:v>0.5</x:v>
      </x:c>
      <x:c r="I38" s="184" t="n">
        <x:v>1</x:v>
      </x:c>
      <x:c r="J38" s="184" t="n">
        <x:f>SUMIFS($H$6:$H$59,$A$6:$A$59,A38,$C$6:$C$59,C38)</x:f>
        <x:v>1</x:v>
      </x:c>
      <x:c r="K38" s="130" t="str">
        <x:f>IF(J38&gt;I38,"OVERBOOKED",IF(I38=0,"UNAVAILABLE","OK"))</x:f>
        <x:v>OK</x:v>
      </x:c>
      <x:c r="L38" s="130" t="inlineStr">
        <x:is>
          <x:t xml:space="preserve">2026-09-18 AM</x:t>
        </x:is>
      </x:c>
    </x:row>
    <x:row r="39" ht="60" customHeight="1">
      <x:c r="A39" s="185" t="n">
        <x:v>46283</x:v>
      </x:c>
      <x:c r="B39" s="131" t="inlineStr">
        <x:is>
          <x:t xml:space="preserve">PM</x:t>
        </x:is>
      </x:c>
      <x:c r="C39" s="131" t="inlineStr">
        <x:is>
          <x:t xml:space="preserve">이권욱</x:t>
        </x:is>
      </x:c>
      <x:c r="D39" s="131" t="inlineStr">
        <x:is>
          <x:t xml:space="preserve">검증</x:t>
        </x:is>
      </x:c>
      <x:c r="E39" s="131" t="inlineStr">
        <x:is>
          <x:t xml:space="preserve">고정 환경의 IF-06B/Source/Return Path 관찰</x:t>
        </x:is>
      </x:c>
      <x:c r="F39" s="131" t="inlineStr">
        <x:is>
          <x:t xml:space="preserve">ICR-D-NET-01-01</x:t>
        </x:is>
      </x:c>
      <x:c r="G39" s="131" t="inlineStr">
        <x:is>
          <x:t xml:space="preserve">APP/DB/MON 정상·시험 순서/환경 동결</x:t>
        </x:is>
      </x:c>
      <x:c r="H39" s="186" t="n">
        <x:v>0.5</x:v>
      </x:c>
      <x:c r="I39" s="186" t="n">
        <x:v>1</x:v>
      </x:c>
      <x:c r="J39" s="186" t="n">
        <x:f>SUMIFS($H$6:$H$59,$A$6:$A$59,A39,$C$6:$C$59,C39)</x:f>
        <x:v>1</x:v>
      </x:c>
      <x:c r="K39" s="131" t="str">
        <x:f>IF(J39&gt;I39,"OVERBOOKED",IF(I39=0,"UNAVAILABLE","OK"))</x:f>
        <x:v>OK</x:v>
      </x:c>
      <x:c r="L39" s="131" t="inlineStr">
        <x:is>
          <x:t xml:space="preserve">2026-09-18 PM</x:t>
        </x:is>
      </x:c>
    </x:row>
    <x:row r="40" ht="60" customHeight="1">
      <x:c r="A40" s="183" t="n">
        <x:v>46283</x:v>
      </x:c>
      <x:c r="B40" s="130" t="inlineStr">
        <x:is>
          <x:t xml:space="preserve">PM</x:t>
        </x:is>
      </x:c>
      <x:c r="C40" s="130" t="inlineStr">
        <x:is>
          <x:t xml:space="preserve">이하영</x:t>
        </x:is>
      </x:c>
      <x:c r="D40" s="130" t="inlineStr">
        <x:is>
          <x:t xml:space="preserve">검증</x:t>
        </x:is>
      </x:c>
      <x:c r="E40" s="130" t="inlineStr">
        <x:is>
          <x:t xml:space="preserve">합의된 순서로 보안 Positive/Negative 시험</x:t>
        </x:is>
      </x:c>
      <x:c r="F40" s="130" t="inlineStr">
        <x:is>
          <x:t xml:space="preserve">P1-SEC-01</x:t>
        </x:is>
      </x:c>
      <x:c r="G40" s="130" t="inlineStr">
        <x:is>
          <x:t xml:space="preserve">APP/DB/MON 정상·시험 순서/환경 동결</x:t>
        </x:is>
      </x:c>
      <x:c r="H40" s="184" t="n">
        <x:v>0.5</x:v>
      </x:c>
      <x:c r="I40" s="184" t="n">
        <x:v>1</x:v>
      </x:c>
      <x:c r="J40" s="184" t="n">
        <x:f>SUMIFS($H$6:$H$59,$A$6:$A$59,A40,$C$6:$C$59,C40)</x:f>
        <x:v>1</x:v>
      </x:c>
      <x:c r="K40" s="130" t="str">
        <x:f>IF(J40&gt;I40,"OVERBOOKED",IF(I40=0,"UNAVAILABLE","OK"))</x:f>
        <x:v>OK</x:v>
      </x:c>
      <x:c r="L40" s="130" t="inlineStr">
        <x:is>
          <x:t xml:space="preserve">2026-09-18 PM</x:t>
        </x:is>
      </x:c>
    </x:row>
    <x:row r="41" ht="60" customHeight="1">
      <x:c r="A41" s="185" t="n">
        <x:v>46283</x:v>
      </x:c>
      <x:c r="B41" s="131" t="inlineStr">
        <x:is>
          <x:t xml:space="preserve">PM</x:t>
        </x:is>
      </x:c>
      <x:c r="C41" s="131" t="inlineStr">
        <x:is>
          <x:t xml:space="preserve">이재환</x:t>
        </x:is>
      </x:c>
      <x:c r="D41" s="131" t="inlineStr">
        <x:is>
          <x:t xml:space="preserve">검증</x:t>
        </x:is>
      </x:c>
      <x:c r="E41" s="131" t="inlineStr">
        <x:is>
          <x:t xml:space="preserve">Initial E2E·MON 14+2 AC·Alert/Watchdog 검증</x:t>
        </x:is>
      </x:c>
      <x:c r="F41" s="131" t="inlineStr">
        <x:is>
          <x:t xml:space="preserve">P1-MON-01</x:t>
        </x:is>
      </x:c>
      <x:c r="G41" s="131" t="inlineStr">
        <x:is>
          <x:t xml:space="preserve">APP/DB/MON 정상·시험 순서/환경 동결</x:t>
        </x:is>
      </x:c>
      <x:c r="H41" s="186" t="n">
        <x:v>0.5</x:v>
      </x:c>
      <x:c r="I41" s="186" t="n">
        <x:v>1</x:v>
      </x:c>
      <x:c r="J41" s="186" t="n">
        <x:f>SUMIFS($H$6:$H$59,$A$6:$A$59,A41,$C$6:$C$59,C41)</x:f>
        <x:v>1</x:v>
      </x:c>
      <x:c r="K41" s="131" t="str">
        <x:f>IF(J41&gt;I41,"OVERBOOKED",IF(I41=0,"UNAVAILABLE","OK"))</x:f>
        <x:v>OK</x:v>
      </x:c>
      <x:c r="L41" s="131" t="inlineStr">
        <x:is>
          <x:t xml:space="preserve">2026-09-18 PM</x:t>
        </x:is>
      </x:c>
    </x:row>
    <x:row r="42" ht="60" customHeight="1">
      <x:c r="A42" s="183" t="n">
        <x:v>46286</x:v>
      </x:c>
      <x:c r="B42" s="130" t="inlineStr">
        <x:is>
          <x:t xml:space="preserve">AM</x:t>
        </x:is>
      </x:c>
      <x:c r="C42" s="130" t="inlineStr">
        <x:is>
          <x:t xml:space="preserve">이권욱</x:t>
        </x:is>
      </x:c>
      <x:c r="D42" s="130" t="inlineStr">
        <x:is>
          <x:t xml:space="preserve">지원</x:t>
        </x:is>
      </x:c>
      <x:c r="E42" s="130" t="inlineStr">
        <x:is>
          <x:t xml:space="preserve">Drain 창의 LB/CI/통신·증적 관찰</x:t>
        </x:is>
      </x:c>
      <x:c r="F42" s="130" t="inlineStr">
        <x:is>
          <x:t xml:space="preserve">P1-HA-01</x:t>
        </x:is>
      </x:c>
      <x:c r="G42" s="130" t="inlineStr">
        <x:is>
          <x:t xml:space="preserve">Initial E2E·보안·분산 배치 정상</x:t>
        </x:is>
      </x:c>
      <x:c r="H42" s="184" t="n">
        <x:v>0.5</x:v>
      </x:c>
      <x:c r="I42" s="184" t="n">
        <x:v>1</x:v>
      </x:c>
      <x:c r="J42" s="184" t="n">
        <x:f>SUMIFS($H$6:$H$59,$A$6:$A$59,A42,$C$6:$C$59,C42)</x:f>
        <x:v>1</x:v>
      </x:c>
      <x:c r="K42" s="130" t="str">
        <x:f>IF(J42&gt;I42,"OVERBOOKED",IF(I42=0,"UNAVAILABLE","OK"))</x:f>
        <x:v>OK</x:v>
      </x:c>
      <x:c r="L42" s="130" t="inlineStr">
        <x:is>
          <x:t xml:space="preserve">2026-09-21 AM</x:t>
        </x:is>
      </x:c>
    </x:row>
    <x:row r="43" ht="60" customHeight="1">
      <x:c r="A43" s="185" t="n">
        <x:v>46286</x:v>
      </x:c>
      <x:c r="B43" s="131" t="inlineStr">
        <x:is>
          <x:t xml:space="preserve">AM</x:t>
        </x:is>
      </x:c>
      <x:c r="C43" s="131" t="inlineStr">
        <x:is>
          <x:t xml:space="preserve">이하영</x:t>
        </x:is>
      </x:c>
      <x:c r="D43" s="131" t="inlineStr">
        <x:is>
          <x:t xml:space="preserve">지원</x:t>
        </x:is>
      </x:c>
      <x:c r="E43" s="131" t="inlineStr">
        <x:is>
          <x:t xml:space="preserve">Drain 복구·노드/보안 회귀 검증</x:t>
        </x:is>
      </x:c>
      <x:c r="F43" s="131" t="inlineStr">
        <x:is>
          <x:t xml:space="preserve">P1-SEC-01</x:t>
        </x:is>
      </x:c>
      <x:c r="G43" s="131" t="inlineStr">
        <x:is>
          <x:t xml:space="preserve">Initial E2E·보안·분산 배치 정상</x:t>
        </x:is>
      </x:c>
      <x:c r="H43" s="186" t="n">
        <x:v>0.5</x:v>
      </x:c>
      <x:c r="I43" s="186" t="n">
        <x:v>1</x:v>
      </x:c>
      <x:c r="J43" s="186" t="n">
        <x:f>SUMIFS($H$6:$H$59,$A$6:$A$59,A43,$C$6:$C$59,C43)</x:f>
        <x:v>1</x:v>
      </x:c>
      <x:c r="K43" s="131" t="str">
        <x:f>IF(J43&gt;I43,"OVERBOOKED",IF(I43=0,"UNAVAILABLE","OK"))</x:f>
        <x:v>OK</x:v>
      </x:c>
      <x:c r="L43" s="131" t="inlineStr">
        <x:is>
          <x:t xml:space="preserve">2026-09-21 AM</x:t>
        </x:is>
      </x:c>
    </x:row>
    <x:row r="44" ht="60" customHeight="1">
      <x:c r="A44" s="183" t="n">
        <x:v>46286</x:v>
      </x:c>
      <x:c r="B44" s="130" t="inlineStr">
        <x:is>
          <x:t xml:space="preserve">AM</x:t>
        </x:is>
      </x:c>
      <x:c r="C44" s="130" t="inlineStr">
        <x:is>
          <x:t xml:space="preserve">이재환</x:t>
        </x:is>
      </x:c>
      <x:c r="D44" s="130" t="inlineStr">
        <x:is>
          <x:t xml:space="preserve">시험</x:t>
        </x:is>
      </x:c>
      <x:c r="E44" s="130" t="inlineStr">
        <x:is>
          <x:t xml:space="preserve">Worker Drain→복구→E2E, Restore 동시 실행 금지</x:t>
        </x:is>
      </x:c>
      <x:c r="F44" s="130" t="inlineStr">
        <x:is>
          <x:t xml:space="preserve">P1-HA-01</x:t>
        </x:is>
      </x:c>
      <x:c r="G44" s="130" t="inlineStr">
        <x:is>
          <x:t xml:space="preserve">Initial E2E·보안·분산 배치 정상</x:t>
        </x:is>
      </x:c>
      <x:c r="H44" s="184" t="n">
        <x:v>0.5</x:v>
      </x:c>
      <x:c r="I44" s="184" t="n">
        <x:v>1</x:v>
      </x:c>
      <x:c r="J44" s="184" t="n">
        <x:f>SUMIFS($H$6:$H$59,$A$6:$A$59,A44,$C$6:$C$59,C44)</x:f>
        <x:v>1</x:v>
      </x:c>
      <x:c r="K44" s="130" t="str">
        <x:f>IF(J44&gt;I44,"OVERBOOKED",IF(I44=0,"UNAVAILABLE","OK"))</x:f>
        <x:v>OK</x:v>
      </x:c>
      <x:c r="L44" s="130" t="inlineStr">
        <x:is>
          <x:t xml:space="preserve">2026-09-21 AM</x:t>
        </x:is>
      </x:c>
    </x:row>
    <x:row r="45" ht="60" customHeight="1">
      <x:c r="A45" s="185" t="n">
        <x:v>46286</x:v>
      </x:c>
      <x:c r="B45" s="131" t="inlineStr">
        <x:is>
          <x:t xml:space="preserve">PM</x:t>
        </x:is>
      </x:c>
      <x:c r="C45" s="131" t="inlineStr">
        <x:is>
          <x:t xml:space="preserve">이권욱</x:t>
        </x:is>
      </x:c>
      <x:c r="D45" s="131" t="inlineStr">
        <x:is>
          <x:t xml:space="preserve">인수</x:t>
        </x:is>
      </x:c>
      <x:c r="E45" s="131" t="inlineStr">
        <x:is>
          <x:t xml:space="preserve">Restore 증적 대조·ICR 잔여·G2 인수 준비</x:t>
        </x:is>
      </x:c>
      <x:c r="F45" s="131" t="inlineStr">
        <x:is>
          <x:t xml:space="preserve">ICR-D-NET-01-01</x:t>
        </x:is>
      </x:c>
      <x:c r="G45" s="131" t="inlineStr">
        <x:is>
          <x:t xml:space="preserve">Drain 복구 확인·격리 Restore 승인 대상</x:t>
        </x:is>
      </x:c>
      <x:c r="H45" s="186" t="n">
        <x:v>0.5</x:v>
      </x:c>
      <x:c r="I45" s="186" t="n">
        <x:v>1</x:v>
      </x:c>
      <x:c r="J45" s="186" t="n">
        <x:f>SUMIFS($H$6:$H$59,$A$6:$A$59,A45,$C$6:$C$59,C45)</x:f>
        <x:v>1</x:v>
      </x:c>
      <x:c r="K45" s="131" t="str">
        <x:f>IF(J45&gt;I45,"OVERBOOKED",IF(I45=0,"UNAVAILABLE","OK"))</x:f>
        <x:v>OK</x:v>
      </x:c>
      <x:c r="L45" s="131" t="inlineStr">
        <x:is>
          <x:t xml:space="preserve">2026-09-21 PM</x:t>
        </x:is>
      </x:c>
    </x:row>
    <x:row r="46" ht="60" customHeight="1">
      <x:c r="A46" s="183" t="n">
        <x:v>46286</x:v>
      </x:c>
      <x:c r="B46" s="130" t="inlineStr">
        <x:is>
          <x:t xml:space="preserve">PM</x:t>
        </x:is>
      </x:c>
      <x:c r="C46" s="130" t="inlineStr">
        <x:is>
          <x:t xml:space="preserve">이하영</x:t>
        </x:is>
      </x:c>
      <x:c r="D46" s="130" t="inlineStr">
        <x:is>
          <x:t xml:space="preserve">인수</x:t>
        </x:is>
      </x:c>
      <x:c r="E46" s="130" t="inlineStr">
        <x:is>
          <x:t xml:space="preserve">Restore 후 보안 회귀·G2 인수 판단</x:t>
        </x:is>
      </x:c>
      <x:c r="F46" s="130" t="inlineStr">
        <x:is>
          <x:t xml:space="preserve">MS-G2-01</x:t>
        </x:is>
      </x:c>
      <x:c r="G46" s="130" t="inlineStr">
        <x:is>
          <x:t xml:space="preserve">Drain 복구 확인·격리 Restore 승인 대상</x:t>
        </x:is>
      </x:c>
      <x:c r="H46" s="184" t="n">
        <x:v>0.5</x:v>
      </x:c>
      <x:c r="I46" s="184" t="n">
        <x:v>1</x:v>
      </x:c>
      <x:c r="J46" s="184" t="n">
        <x:f>SUMIFS($H$6:$H$59,$A$6:$A$59,A46,$C$6:$C$59,C46)</x:f>
        <x:v>1</x:v>
      </x:c>
      <x:c r="K46" s="130" t="str">
        <x:f>IF(J46&gt;I46,"OVERBOOKED",IF(I46=0,"UNAVAILABLE","OK"))</x:f>
        <x:v>OK</x:v>
      </x:c>
      <x:c r="L46" s="130" t="inlineStr">
        <x:is>
          <x:t xml:space="preserve">2026-09-21 PM</x:t>
        </x:is>
      </x:c>
    </x:row>
    <x:row r="47" ht="60" customHeight="1">
      <x:c r="A47" s="185" t="n">
        <x:v>46286</x:v>
      </x:c>
      <x:c r="B47" s="131" t="inlineStr">
        <x:is>
          <x:t xml:space="preserve">PM</x:t>
        </x:is>
      </x:c>
      <x:c r="C47" s="131" t="inlineStr">
        <x:is>
          <x:t xml:space="preserve">이재환</x:t>
        </x:is>
      </x:c>
      <x:c r="D47" s="131" t="inlineStr">
        <x:is>
          <x:t xml:space="preserve">시험</x:t>
        </x:is>
      </x:c>
      <x:c r="E47" s="131" t="inlineStr">
        <x:is>
          <x:t xml:space="preserve">격리 Restore→최종 E2E·DB 정합성</x:t>
        </x:is>
      </x:c>
      <x:c r="F47" s="131" t="inlineStr">
        <x:is>
          <x:t xml:space="preserve">P1-DR-01</x:t>
        </x:is>
      </x:c>
      <x:c r="G47" s="131" t="inlineStr">
        <x:is>
          <x:t xml:space="preserve">Drain 복구 확인·격리 Restore 승인 대상</x:t>
        </x:is>
      </x:c>
      <x:c r="H47" s="186" t="n">
        <x:v>0.5</x:v>
      </x:c>
      <x:c r="I47" s="186" t="n">
        <x:v>1</x:v>
      </x:c>
      <x:c r="J47" s="186" t="n">
        <x:f>SUMIFS($H$6:$H$59,$A$6:$A$59,A47,$C$6:$C$59,C47)</x:f>
        <x:v>1</x:v>
      </x:c>
      <x:c r="K47" s="131" t="str">
        <x:f>IF(J47&gt;I47,"OVERBOOKED",IF(I47=0,"UNAVAILABLE","OK"))</x:f>
        <x:v>OK</x:v>
      </x:c>
      <x:c r="L47" s="131" t="inlineStr">
        <x:is>
          <x:t xml:space="preserve">2026-09-21 PM</x:t>
        </x:is>
      </x:c>
    </x:row>
    <x:row r="48" ht="60" customHeight="1">
      <x:c r="A48" s="183" t="n">
        <x:v>46287</x:v>
      </x:c>
      <x:c r="B48" s="130" t="inlineStr">
        <x:is>
          <x:t xml:space="preserve">AM</x:t>
        </x:is>
      </x:c>
      <x:c r="C48" s="130" t="inlineStr">
        <x:is>
          <x:t xml:space="preserve">이권욱</x:t>
        </x:is>
      </x:c>
      <x:c r="D48" s="130" t="inlineStr">
        <x:is>
          <x:t xml:space="preserve">동결</x:t>
        </x:is>
      </x:c>
      <x:c r="E48" s="130" t="inlineStr">
        <x:is>
          <x:t xml:space="preserve">Final Evidence/Runbook·Critical Issue·G3</x:t>
        </x:is>
      </x:c>
      <x:c r="F48" s="130" t="inlineStr">
        <x:is>
          <x:t xml:space="preserve">P1-DOC-01</x:t>
        </x:is>
      </x:c>
      <x:c r="G48" s="130" t="inlineStr">
        <x:is>
          <x:t xml:space="preserve">Restore 후 E2E·G2 통과</x:t>
        </x:is>
      </x:c>
      <x:c r="H48" s="184" t="n">
        <x:v>0.5</x:v>
      </x:c>
      <x:c r="I48" s="184" t="n">
        <x:v>1</x:v>
      </x:c>
      <x:c r="J48" s="184" t="n">
        <x:f>SUMIFS($H$6:$H$59,$A$6:$A$59,A48,$C$6:$C$59,C48)</x:f>
        <x:v>1</x:v>
      </x:c>
      <x:c r="K48" s="130" t="str">
        <x:f>IF(J48&gt;I48,"OVERBOOKED",IF(I48=0,"UNAVAILABLE","OK"))</x:f>
        <x:v>OK</x:v>
      </x:c>
      <x:c r="L48" s="130" t="inlineStr">
        <x:is>
          <x:t xml:space="preserve">2026-09-22 AM</x:t>
        </x:is>
      </x:c>
    </x:row>
    <x:row r="49" ht="60" customHeight="1">
      <x:c r="A49" s="185" t="n">
        <x:v>46287</x:v>
      </x:c>
      <x:c r="B49" s="131" t="inlineStr">
        <x:is>
          <x:t xml:space="preserve">AM</x:t>
        </x:is>
      </x:c>
      <x:c r="C49" s="131" t="inlineStr">
        <x:is>
          <x:t xml:space="preserve">이하영</x:t>
        </x:is>
      </x:c>
      <x:c r="D49" s="131" t="inlineStr">
        <x:is>
          <x:t xml:space="preserve">검토</x:t>
        </x:is>
      </x:c>
      <x:c r="E49" s="131" t="inlineStr">
        <x:is>
          <x:t xml:space="preserve">최종 회귀 및 보안·구성 Source 대조</x:t>
        </x:is>
      </x:c>
      <x:c r="F49" s="131" t="inlineStr">
        <x:is>
          <x:t xml:space="preserve">P1-SEC-01</x:t>
        </x:is>
      </x:c>
      <x:c r="G49" s="131" t="inlineStr">
        <x:is>
          <x:t xml:space="preserve">Restore 후 E2E·G2 통과</x:t>
        </x:is>
      </x:c>
      <x:c r="H49" s="186" t="n">
        <x:v>0.5</x:v>
      </x:c>
      <x:c r="I49" s="186" t="n">
        <x:v>1</x:v>
      </x:c>
      <x:c r="J49" s="186" t="n">
        <x:f>SUMIFS($H$6:$H$59,$A$6:$A$59,A49,$C$6:$C$59,C49)</x:f>
        <x:v>1</x:v>
      </x:c>
      <x:c r="K49" s="131" t="str">
        <x:f>IF(J49&gt;I49,"OVERBOOKED",IF(I49=0,"UNAVAILABLE","OK"))</x:f>
        <x:v>OK</x:v>
      </x:c>
      <x:c r="L49" s="131" t="inlineStr">
        <x:is>
          <x:t xml:space="preserve">2026-09-22 AM</x:t>
        </x:is>
      </x:c>
    </x:row>
    <x:row r="50" ht="60" customHeight="1">
      <x:c r="A50" s="183" t="n">
        <x:v>46287</x:v>
      </x:c>
      <x:c r="B50" s="130" t="inlineStr">
        <x:is>
          <x:t xml:space="preserve">AM</x:t>
        </x:is>
      </x:c>
      <x:c r="C50" s="130" t="inlineStr">
        <x:is>
          <x:t xml:space="preserve">이재환</x:t>
        </x:is>
      </x:c>
      <x:c r="D50" s="130" t="inlineStr">
        <x:is>
          <x:t xml:space="preserve">시험</x:t>
        </x:is>
      </x:c>
      <x:c r="E50" s="130" t="inlineStr">
        <x:is>
          <x:t xml:space="preserve">Final E2E/Regression·데모 재현</x:t>
        </x:is>
      </x:c>
      <x:c r="F50" s="130" t="inlineStr">
        <x:is>
          <x:t xml:space="preserve">P1-E2E-01</x:t>
        </x:is>
      </x:c>
      <x:c r="G50" s="130" t="inlineStr">
        <x:is>
          <x:t xml:space="preserve">Restore 후 E2E·G2 통과</x:t>
        </x:is>
      </x:c>
      <x:c r="H50" s="184" t="n">
        <x:v>0.5</x:v>
      </x:c>
      <x:c r="I50" s="184" t="n">
        <x:v>1</x:v>
      </x:c>
      <x:c r="J50" s="184" t="n">
        <x:f>SUMIFS($H$6:$H$59,$A$6:$A$59,A50,$C$6:$C$59,C50)</x:f>
        <x:v>1</x:v>
      </x:c>
      <x:c r="K50" s="130" t="str">
        <x:f>IF(J50&gt;I50,"OVERBOOKED",IF(I50=0,"UNAVAILABLE","OK"))</x:f>
        <x:v>OK</x:v>
      </x:c>
      <x:c r="L50" s="130" t="inlineStr">
        <x:is>
          <x:t xml:space="preserve">2026-09-22 AM</x:t>
        </x:is>
      </x:c>
    </x:row>
    <x:row r="51" ht="60" customHeight="1">
      <x:c r="A51" s="185" t="n">
        <x:v>46287</x:v>
      </x:c>
      <x:c r="B51" s="131" t="inlineStr">
        <x:is>
          <x:t xml:space="preserve">PM</x:t>
        </x:is>
      </x:c>
      <x:c r="C51" s="131" t="inlineStr">
        <x:is>
          <x:t xml:space="preserve">이권욱</x:t>
        </x:is>
      </x:c>
      <x:c r="D51" s="131" t="inlineStr">
        <x:is>
          <x:t xml:space="preserve">리뷰</x:t>
        </x:is>
      </x:c>
      <x:c r="E51" s="131" t="inlineStr">
        <x:is>
          <x:t xml:space="preserve">평일 Review 진행·Action 기록</x:t>
        </x:is>
      </x:c>
      <x:c r="F51" s="131" t="inlineStr">
        <x:is>
          <x:t xml:space="preserve">MS-P1-REVIEW-01</x:t>
        </x:is>
      </x:c>
      <x:c r="G51" s="131" t="inlineStr">
        <x:is>
          <x:t xml:space="preserve">G3 통과·참석자/시간 확정</x:t>
        </x:is>
      </x:c>
      <x:c r="H51" s="186" t="n">
        <x:v>0.5</x:v>
      </x:c>
      <x:c r="I51" s="186" t="n">
        <x:v>1</x:v>
      </x:c>
      <x:c r="J51" s="186" t="n">
        <x:f>SUMIFS($H$6:$H$59,$A$6:$A$59,A51,$C$6:$C$59,C51)</x:f>
        <x:v>1</x:v>
      </x:c>
      <x:c r="K51" s="131" t="str">
        <x:f>IF(J51&gt;I51,"OVERBOOKED",IF(I51=0,"UNAVAILABLE","OK"))</x:f>
        <x:v>OK</x:v>
      </x:c>
      <x:c r="L51" s="131" t="inlineStr">
        <x:is>
          <x:t xml:space="preserve">2026-09-22 PM</x:t>
        </x:is>
      </x:c>
    </x:row>
    <x:row r="52" ht="60" customHeight="1">
      <x:c r="A52" s="183" t="n">
        <x:v>46287</x:v>
      </x:c>
      <x:c r="B52" s="130" t="inlineStr">
        <x:is>
          <x:t xml:space="preserve">PM</x:t>
        </x:is>
      </x:c>
      <x:c r="C52" s="130" t="inlineStr">
        <x:is>
          <x:t xml:space="preserve">이하영</x:t>
        </x:is>
      </x:c>
      <x:c r="D52" s="130" t="inlineStr">
        <x:is>
          <x:t xml:space="preserve">리뷰</x:t>
        </x:is>
      </x:c>
      <x:c r="E52" s="130" t="inlineStr">
        <x:is>
          <x:t xml:space="preserve">Review·보안/플랫폼 질의 대응</x:t>
        </x:is>
      </x:c>
      <x:c r="F52" s="130" t="inlineStr">
        <x:is>
          <x:t xml:space="preserve">MS-P1-REVIEW-01</x:t>
        </x:is>
      </x:c>
      <x:c r="G52" s="130" t="inlineStr">
        <x:is>
          <x:t xml:space="preserve">G3 통과·참석자/시간 확정</x:t>
        </x:is>
      </x:c>
      <x:c r="H52" s="184" t="n">
        <x:v>0.5</x:v>
      </x:c>
      <x:c r="I52" s="184" t="n">
        <x:v>1</x:v>
      </x:c>
      <x:c r="J52" s="184" t="n">
        <x:f>SUMIFS($H$6:$H$59,$A$6:$A$59,A52,$C$6:$C$59,C52)</x:f>
        <x:v>1</x:v>
      </x:c>
      <x:c r="K52" s="130" t="str">
        <x:f>IF(J52&gt;I52,"OVERBOOKED",IF(I52=0,"UNAVAILABLE","OK"))</x:f>
        <x:v>OK</x:v>
      </x:c>
      <x:c r="L52" s="130" t="inlineStr">
        <x:is>
          <x:t xml:space="preserve">2026-09-22 PM</x:t>
        </x:is>
      </x:c>
    </x:row>
    <x:row r="53" ht="60" customHeight="1">
      <x:c r="A53" s="185" t="n">
        <x:v>46287</x:v>
      </x:c>
      <x:c r="B53" s="131" t="inlineStr">
        <x:is>
          <x:t xml:space="preserve">PM</x:t>
        </x:is>
      </x:c>
      <x:c r="C53" s="131" t="inlineStr">
        <x:is>
          <x:t xml:space="preserve">이재환</x:t>
        </x:is>
      </x:c>
      <x:c r="D53" s="131" t="inlineStr">
        <x:is>
          <x:t xml:space="preserve">리뷰</x:t>
        </x:is>
      </x:c>
      <x:c r="E53" s="131" t="inlineStr">
        <x:is>
          <x:t xml:space="preserve">Demo·앱/DB/모니터링 질의 대응</x:t>
        </x:is>
      </x:c>
      <x:c r="F53" s="131" t="inlineStr">
        <x:is>
          <x:t xml:space="preserve">MS-P1-REVIEW-01</x:t>
        </x:is>
      </x:c>
      <x:c r="G53" s="131" t="inlineStr">
        <x:is>
          <x:t xml:space="preserve">G3 통과·참석자/시간 확정</x:t>
        </x:is>
      </x:c>
      <x:c r="H53" s="186" t="n">
        <x:v>0.5</x:v>
      </x:c>
      <x:c r="I53" s="186" t="n">
        <x:v>1</x:v>
      </x:c>
      <x:c r="J53" s="186" t="n">
        <x:f>SUMIFS($H$6:$H$59,$A$6:$A$59,A53,$C$6:$C$59,C53)</x:f>
        <x:v>1</x:v>
      </x:c>
      <x:c r="K53" s="131" t="str">
        <x:f>IF(J53&gt;I53,"OVERBOOKED",IF(I53=0,"UNAVAILABLE","OK"))</x:f>
        <x:v>OK</x:v>
      </x:c>
      <x:c r="L53" s="131" t="inlineStr">
        <x:is>
          <x:t xml:space="preserve">2026-09-22 PM</x:t>
        </x:is>
      </x:c>
    </x:row>
    <x:row r="54" ht="60" customHeight="1">
      <x:c r="A54" s="189" t="n">
        <x:v>46288</x:v>
      </x:c>
      <x:c r="B54" s="133" t="inlineStr">
        <x:is>
          <x:t xml:space="preserve">AM</x:t>
        </x:is>
      </x:c>
      <x:c r="C54" s="133" t="inlineStr">
        <x:is>
          <x:t xml:space="preserve">이권욱</x:t>
        </x:is>
      </x:c>
      <x:c r="D54" s="133" t="inlineStr">
        <x:is>
          <x:t xml:space="preserve">버퍼</x:t>
        </x:is>
      </x:c>
      <x:c r="E54" s="133" t="inlineStr">
        <x:is>
          <x:t xml:space="preserve">Review Action·결함 보완/재시험 예비 창</x:t>
        </x:is>
      </x:c>
      <x:c r="F54" s="133" t="inlineStr">
        <x:is>
          <x:t xml:space="preserve">P1-REV-01</x:t>
        </x:is>
      </x:c>
      <x:c r="G54" s="133" t="inlineStr">
        <x:is>
          <x:t xml:space="preserve">Review Action 목록</x:t>
        </x:is>
      </x:c>
      <x:c r="H54" s="190" t="n">
        <x:v>0.5</x:v>
      </x:c>
      <x:c r="I54" s="190" t="n">
        <x:v>1</x:v>
      </x:c>
      <x:c r="J54" s="190" t="n">
        <x:f>SUMIFS($H$6:$H$59,$A$6:$A$59,A54,$C$6:$C$59,C54)</x:f>
        <x:v>1</x:v>
      </x:c>
      <x:c r="K54" s="133" t="str">
        <x:f>IF(J54&gt;I54,"OVERBOOKED",IF(I54=0,"UNAVAILABLE","OK"))</x:f>
        <x:v>OK</x:v>
      </x:c>
      <x:c r="L54" s="133" t="inlineStr">
        <x:is>
          <x:t xml:space="preserve">2026-09-23 AM</x:t>
        </x:is>
      </x:c>
    </x:row>
    <x:row r="55" ht="60" customHeight="1">
      <x:c r="A55" s="189" t="n">
        <x:v>46288</x:v>
      </x:c>
      <x:c r="B55" s="133" t="inlineStr">
        <x:is>
          <x:t xml:space="preserve">AM</x:t>
        </x:is>
      </x:c>
      <x:c r="C55" s="133" t="inlineStr">
        <x:is>
          <x:t xml:space="preserve">이하영</x:t>
        </x:is>
      </x:c>
      <x:c r="D55" s="133" t="inlineStr">
        <x:is>
          <x:t xml:space="preserve">버퍼</x:t>
        </x:is>
      </x:c>
      <x:c r="E55" s="133" t="inlineStr">
        <x:is>
          <x:t xml:space="preserve">Review Action·결함 보완/재시험 예비 창</x:t>
        </x:is>
      </x:c>
      <x:c r="F55" s="133" t="inlineStr">
        <x:is>
          <x:t xml:space="preserve">P1-REV-01</x:t>
        </x:is>
      </x:c>
      <x:c r="G55" s="133" t="inlineStr">
        <x:is>
          <x:t xml:space="preserve">Review Action 목록</x:t>
        </x:is>
      </x:c>
      <x:c r="H55" s="190" t="n">
        <x:v>0.5</x:v>
      </x:c>
      <x:c r="I55" s="190" t="n">
        <x:v>1</x:v>
      </x:c>
      <x:c r="J55" s="190" t="n">
        <x:f>SUMIFS($H$6:$H$59,$A$6:$A$59,A55,$C$6:$C$59,C55)</x:f>
        <x:v>1</x:v>
      </x:c>
      <x:c r="K55" s="133" t="str">
        <x:f>IF(J55&gt;I55,"OVERBOOKED",IF(I55=0,"UNAVAILABLE","OK"))</x:f>
        <x:v>OK</x:v>
      </x:c>
      <x:c r="L55" s="133" t="inlineStr">
        <x:is>
          <x:t xml:space="preserve">2026-09-23 AM</x:t>
        </x:is>
      </x:c>
    </x:row>
    <x:row r="56" ht="60" customHeight="1">
      <x:c r="A56" s="189" t="n">
        <x:v>46288</x:v>
      </x:c>
      <x:c r="B56" s="133" t="inlineStr">
        <x:is>
          <x:t xml:space="preserve">AM</x:t>
        </x:is>
      </x:c>
      <x:c r="C56" s="133" t="inlineStr">
        <x:is>
          <x:t xml:space="preserve">이재환</x:t>
        </x:is>
      </x:c>
      <x:c r="D56" s="133" t="inlineStr">
        <x:is>
          <x:t xml:space="preserve">버퍼</x:t>
        </x:is>
      </x:c>
      <x:c r="E56" s="133" t="inlineStr">
        <x:is>
          <x:t xml:space="preserve">Review Action·결함 보완/재시험 예비 창</x:t>
        </x:is>
      </x:c>
      <x:c r="F56" s="133" t="inlineStr">
        <x:is>
          <x:t xml:space="preserve">P1-REV-01</x:t>
        </x:is>
      </x:c>
      <x:c r="G56" s="133" t="inlineStr">
        <x:is>
          <x:t xml:space="preserve">Review Action 목록</x:t>
        </x:is>
      </x:c>
      <x:c r="H56" s="190" t="n">
        <x:v>0.5</x:v>
      </x:c>
      <x:c r="I56" s="190" t="n">
        <x:v>1</x:v>
      </x:c>
      <x:c r="J56" s="190" t="n">
        <x:f>SUMIFS($H$6:$H$59,$A$6:$A$59,A56,$C$6:$C$59,C56)</x:f>
        <x:v>1</x:v>
      </x:c>
      <x:c r="K56" s="133" t="str">
        <x:f>IF(J56&gt;I56,"OVERBOOKED",IF(I56=0,"UNAVAILABLE","OK"))</x:f>
        <x:v>OK</x:v>
      </x:c>
      <x:c r="L56" s="133" t="inlineStr">
        <x:is>
          <x:t xml:space="preserve">2026-09-23 AM</x:t>
        </x:is>
      </x:c>
    </x:row>
    <x:row r="57" ht="60" customHeight="1">
      <x:c r="A57" s="185" t="n">
        <x:v>46288</x:v>
      </x:c>
      <x:c r="B57" s="131" t="inlineStr">
        <x:is>
          <x:t xml:space="preserve">PM</x:t>
        </x:is>
      </x:c>
      <x:c r="C57" s="131" t="inlineStr">
        <x:is>
          <x:t xml:space="preserve">이권욱</x:t>
        </x:is>
      </x:c>
      <x:c r="D57" s="131" t="inlineStr">
        <x:is>
          <x:t xml:space="preserve">종료</x:t>
        </x:is>
      </x:c>
      <x:c r="E57" s="131" t="inlineStr">
        <x:is>
          <x:t xml:space="preserve">P0 Sign-off·P1 Owner/Due 이관·Phase 1 Close</x:t>
        </x:is>
      </x:c>
      <x:c r="F57" s="131" t="inlineStr">
        <x:is>
          <x:t xml:space="preserve">MS-P1-CLOSE-01</x:t>
        </x:is>
      </x:c>
      <x:c r="G57" s="131" t="inlineStr">
        <x:is>
          <x:t xml:space="preserve">P0 전부 충족·Critical 0·인수 승인</x:t>
        </x:is>
      </x:c>
      <x:c r="H57" s="186" t="n">
        <x:v>0.5</x:v>
      </x:c>
      <x:c r="I57" s="186" t="n">
        <x:v>1</x:v>
      </x:c>
      <x:c r="J57" s="186" t="n">
        <x:f>SUMIFS($H$6:$H$59,$A$6:$A$59,A57,$C$6:$C$59,C57)</x:f>
        <x:v>1</x:v>
      </x:c>
      <x:c r="K57" s="131" t="str">
        <x:f>IF(J57&gt;I57,"OVERBOOKED",IF(I57=0,"UNAVAILABLE","OK"))</x:f>
        <x:v>OK</x:v>
      </x:c>
      <x:c r="L57" s="131" t="inlineStr">
        <x:is>
          <x:t xml:space="preserve">2026-09-23 PM</x:t>
        </x:is>
      </x:c>
    </x:row>
    <x:row r="58" ht="60" customHeight="1">
      <x:c r="A58" s="183" t="n">
        <x:v>46288</x:v>
      </x:c>
      <x:c r="B58" s="130" t="inlineStr">
        <x:is>
          <x:t xml:space="preserve">PM</x:t>
        </x:is>
      </x:c>
      <x:c r="C58" s="130" t="inlineStr">
        <x:is>
          <x:t xml:space="preserve">이하영</x:t>
        </x:is>
      </x:c>
      <x:c r="D58" s="130" t="inlineStr">
        <x:is>
          <x:t xml:space="preserve">종료</x:t>
        </x:is>
      </x:c>
      <x:c r="E58" s="130" t="inlineStr">
        <x:is>
          <x:t xml:space="preserve">보안/플랫폼 Runbook·Known Issue 인계</x:t>
        </x:is>
      </x:c>
      <x:c r="F58" s="130" t="inlineStr">
        <x:is>
          <x:t xml:space="preserve">MS-P1-CLOSE-01</x:t>
        </x:is>
      </x:c>
      <x:c r="G58" s="130" t="inlineStr">
        <x:is>
          <x:t xml:space="preserve">P0 전부 충족·Critical 0·인수 승인</x:t>
        </x:is>
      </x:c>
      <x:c r="H58" s="184" t="n">
        <x:v>0.5</x:v>
      </x:c>
      <x:c r="I58" s="184" t="n">
        <x:v>1</x:v>
      </x:c>
      <x:c r="J58" s="184" t="n">
        <x:f>SUMIFS($H$6:$H$59,$A$6:$A$59,A58,$C$6:$C$59,C58)</x:f>
        <x:v>1</x:v>
      </x:c>
      <x:c r="K58" s="130" t="str">
        <x:f>IF(J58&gt;I58,"OVERBOOKED",IF(I58=0,"UNAVAILABLE","OK"))</x:f>
        <x:v>OK</x:v>
      </x:c>
      <x:c r="L58" s="130" t="inlineStr">
        <x:is>
          <x:t xml:space="preserve">2026-09-23 PM</x:t>
        </x:is>
      </x:c>
    </x:row>
    <x:row r="59" ht="60" customHeight="1">
      <x:c r="A59" s="185" t="n">
        <x:v>46288</x:v>
      </x:c>
      <x:c r="B59" s="131" t="inlineStr">
        <x:is>
          <x:t xml:space="preserve">PM</x:t>
        </x:is>
      </x:c>
      <x:c r="C59" s="131" t="inlineStr">
        <x:is>
          <x:t xml:space="preserve">이재환</x:t>
        </x:is>
      </x:c>
      <x:c r="D59" s="131" t="inlineStr">
        <x:is>
          <x:t xml:space="preserve">종료</x:t>
        </x:is>
      </x:c>
      <x:c r="E59" s="131" t="inlineStr">
        <x:is>
          <x:t xml:space="preserve">APP/DB/MON Runbook·Known Issue 인계</x:t>
        </x:is>
      </x:c>
      <x:c r="F59" s="131" t="inlineStr">
        <x:is>
          <x:t xml:space="preserve">MS-P1-CLOSE-01</x:t>
        </x:is>
      </x:c>
      <x:c r="G59" s="131" t="inlineStr">
        <x:is>
          <x:t xml:space="preserve">P0 전부 충족·Critical 0·인수 승인</x:t>
        </x:is>
      </x:c>
      <x:c r="H59" s="186" t="n">
        <x:v>0.5</x:v>
      </x:c>
      <x:c r="I59" s="186" t="n">
        <x:v>1</x:v>
      </x:c>
      <x:c r="J59" s="186" t="n">
        <x:f>SUMIFS($H$6:$H$59,$A$6:$A$59,A59,$C$6:$C$59,C59)</x:f>
        <x:v>1</x:v>
      </x:c>
      <x:c r="K59" s="131" t="str">
        <x:f>IF(J59&gt;I59,"OVERBOOKED",IF(I59=0,"UNAVAILABLE","OK"))</x:f>
        <x:v>OK</x:v>
      </x:c>
      <x:c r="L59" s="131" t="inlineStr">
        <x:is>
          <x:t xml:space="preserve">2026-09-23 PM</x:t>
        </x:is>
      </x:c>
    </x:row>
  </x:sheetData>
  <x:mergeCells>
    <x:mergeCell ref="A3:L3"/>
    <x:mergeCell ref="A2:L2"/>
    <x:mergeCell ref="A1:L1"/>
  </x:mergeCells>
  <x:conditionalFormatting sqref="K6:K59">
    <x:cfRule type="containsText" dxfId="3" priority="1" operator="containsText" text="OVERBOO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75" hidden="0" customWidth="1"/>
    <x:col min="5" max="5" width="65" hidden="0" customWidth="1"/>
  </x:cols>
  <x:sheetData>
    <x:row r="2">
      <x:c r="A2" s="230" t="str">
        <x:v>FDS v3.1.21 테스트 전략</x:v>
      </x:c>
      <x:c r="B2" s="230"/>
      <x:c r="C2" s="230"/>
      <x:c r="D2" s="230"/>
      <x:c r="E2" s="230"/>
    </x:row>
    <x:row r="4" ht="28" customHeight="1">
      <x:c r="A4" s="233" t="str">
        <x:v>검토 ID</x:v>
      </x:c>
      <x:c r="B4" s="233" t="str">
        <x:v>책임 / 원본</x:v>
      </x:c>
      <x:c r="C4" s="233" t="str">
        <x:v>환경·시점</x:v>
      </x:c>
      <x:c r="D4" s="233" t="str">
        <x:v>성공 / 실패·중단</x:v>
      </x:c>
      <x:c r="E4" s="233" t="str">
        <x:v>증적 / 현재 판정</x:v>
      </x:c>
    </x:row>
    <x:row r="5" ht="62" customHeight="1">
      <x:c r="A5" s="235" t="str">
        <x:v>TS01</x:v>
      </x:c>
      <x:c r="B5" s="235" t="str">
        <x:v>#34/#35/#38</x:v>
      </x:c>
      <x:c r="C5" s="235" t="str">
        <x:v>생성 전</x:v>
      </x:c>
      <x:c r="D5" s="235" t="str">
        <x:v>supported version/type/AZ/pool·CIDR·quota·계정·계약 완비. 미확인 값 적용 금지</x:v>
      </x:c>
      <x:c r="E5" s="235" t="str">
        <x:v>read-only 원본/command RC/source SHA, plan. HOLD</x:v>
      </x:c>
    </x:row>
    <x:row r="6" ht="62" customHeight="1">
      <x:c r="A6" s="235" t="str">
        <x:v>TS02</x:v>
      </x:c>
      <x:c r="B6" s="235" t="str">
        <x:v>#38/#43</x:v>
      </x:c>
      <x:c r="C6" s="235" t="str">
        <x:v>LAB 선검증 → ROSA 인수</x:v>
      </x:c>
      <x:c r="D6" s="235" t="str">
        <x:v>승인 digest, restricted-v2 arbitrary UID, non-root/RO rootfs/probe/Ready/업무. broad SCC·root 우회 금지</x:v>
      </x:c>
      <x:c r="E6" s="235" t="str">
        <x:v>effective UID/GID/SCC/imageID·write paths·cleanup. actual NOT RUN</x:v>
      </x:c>
    </x:row>
    <x:row r="7" ht="62" customHeight="1">
      <x:c r="A7" s="235" t="str">
        <x:v>TS03</x:v>
      </x:c>
      <x:c r="B7" s="235" t="str">
        <x:v>#34/#38/#43</x:v>
      </x:c>
      <x:c r="C7" s="235" t="str">
        <x:v>Freeze 전 모델 / 생성 후 관측</x:v>
      </x:c>
      <x:c r="D7" s="235" t="str">
        <x:v>P1 live requests/limits·platform·surge·N-1 allocatable 수용. missing=0 금지, AZ고정 PVC 복구경로</x:v>
      </x:c>
      <x:c r="E7" s="235" t="str">
        <x:v>live sanitized inventory/LimitRange/Quota/PVC, 계산·drain/replacement 판정. HOLD</x:v>
      </x:c>
    </x:row>
    <x:row r="8" ht="62" customHeight="1">
      <x:c r="A8" s="235" t="str">
        <x:v>TS04</x:v>
      </x:c>
      <x:c r="B8" s="235" t="str">
        <x:v>#35/#37/#38/#40</x:v>
      </x:c>
      <x:c r="C8" s="235" t="str">
        <x:v>생성 전 tuple / W1~W2</x:v>
      </x:c>
      <x:c r="D8" s="235" t="str">
        <x:v>승인 관리 source·양방향 route/DNS/TLS/API 접근, 비승인 source·잘못된 CA 거부</x:v>
      </x:c>
      <x:c r="E8" s="235" t="str">
        <x:v>actual DNS FQDN/SAN/SG·port/return route; resolver loop/장애/복구. NOT RUN</x:v>
      </x:c>
    </x:row>
    <x:row r="9" ht="62" customHeight="1">
      <x:c r="A9" s="235" t="str">
        <x:v>TS05</x:v>
      </x:c>
      <x:c r="B9" s="235" t="str">
        <x:v>#36/#37</x:v>
      </x:c>
      <x:c r="C9" s="235" t="str">
        <x:v>D21 수집 / W1 실증</x:v>
      </x:c>
      <x:c r="D9" s="235" t="str">
        <x:v>최종 raw 수신hash 일치와 cleanup. 실제 Child SA는 별도 인증 시험. mismatch-PSK pathcheck를 tunnel PASS로 사용 금지</x:v>
      </x:c>
      <x:c r="E9" s="235" t="str">
        <x:v>final responder 8706B/e5f754a3…45cb0, initiator/cleanup, manifest. HOLD_RAW_INTAKE</x:v>
      </x:c>
    </x:row>
    <x:row r="10" ht="62" customHeight="1">
      <x:c r="A10" s="235" t="str">
        <x:v>TS06</x:v>
      </x:c>
      <x:c r="B10" s="235" t="str">
        <x:v>#37</x:v>
      </x:c>
      <x:c r="C10" s="235" t="str">
        <x:v>production VPN, 승인 창</x:v>
      </x:c>
      <x:c r="D10" s="235" t="str">
        <x:v>정상 SA·DB path·return route. SA-down/plaintext/미허용 source·port 차단. dynamic public source 장시간·rekey·DPD·rebuild 복구</x:v>
      </x:c>
      <x:c r="E10" s="235" t="str">
        <x:v>양쪽 SA/route/FORWARD·fresh connections·시간·RC/원복. NOT RUN</x:v>
      </x:c>
    </x:row>
    <x:row r="11" ht="62" customHeight="1">
      <x:c r="A11" s="235" t="str">
        <x:v>TS07</x:v>
      </x:c>
      <x:c r="B11" s="235" t="str">
        <x:v>#38/#47</x:v>
      </x:c>
      <x:c r="C11" s="235" t="str">
        <x:v>모델 Freeze / W3</x:v>
      </x:c>
      <x:c r="D11" s="235" t="str">
        <x:v>승인 최소 source 집합·권한/SLA, replacement 중 동기화·미분류 fail-closed, engine DB DENY</x:v>
      </x:c>
      <x:c r="E11" s="235" t="str">
        <x:v>inventory provenance/전후 diff/실제 DB source/정책 union/복구. 모델 미확정</x:v>
      </x:c>
    </x:row>
    <x:row r="12" ht="62" customHeight="1">
      <x:c r="A12" s="235" t="str">
        <x:v>TS08</x:v>
      </x:c>
      <x:c r="B12" s="235" t="str">
        <x:v>#13/#16/#42/#47</x:v>
      </x:c>
      <x:c r="C12" s="235" t="str">
        <x:v>P1 delivery / ROSA cold-pull</x:v>
      </x:c>
      <x:c r="D12" s="235" t="str">
        <x:v>CA/SAN 검증·pull-only·push 분리·immutable digest·cold/replacement pull. anonymous/pull-principal push 거부</x:v>
      </x:c>
      <x:c r="E12" s="235" t="str">
        <x:v>trust chain/권한·Harbor artifact/imageID, CA rollout 영향·복구. TLS/allowlist/audience 잔여</x:v>
      </x:c>
    </x:row>
    <x:row r="13" ht="62" customHeight="1">
      <x:c r="A13" s="235" t="str">
        <x:v>TS09</x:v>
      </x:c>
      <x:c r="B13" s="235" t="str">
        <x:v>#16/#46 → #13</x:v>
      </x:c>
      <x:c r="C13" s="235" t="str">
        <x:v>동일 Review Run</x:v>
      </x:c>
      <x:c r="D13" s="235" t="str">
        <x:v>정상 Test→Build→Scan→Push→Deploy→Health와 4/4 digest 일치. 고의 Test/Scan 실패 시 deploy 차단</x:v>
      </x:c>
      <x:c r="E13" s="235" t="str">
        <x:v>source/scan/manifest/artifact/runtime imageID, 실패 RC. P1 delivery NOT VERIFIED</x:v>
      </x:c>
    </x:row>
    <x:row r="14" ht="62" customHeight="1">
      <x:c r="A14" s="235" t="str">
        <x:v>TS10</x:v>
      </x:c>
      <x:c r="B14" s="235" t="str">
        <x:v>#16/#46/#13</x:v>
      </x:c>
      <x:c r="C14" s="235" t="str">
        <x:v>승인 rollback 창</x:v>
      </x:c>
      <x:c r="D14" s="235" t="str">
        <x:v>이전 승인 digest가 신규와 다름, 실제 이전 workload 복귀·Harbor/worker 인수. 동일 digest/미검증 입력 BLOCK</x:v>
      </x:c>
      <x:c r="E14" s="235" t="str">
        <x:v>이전/신규digest·revision·probe·rollback·소비자 회신. NOT RUN</x:v>
      </x:c>
    </x:row>
    <x:row r="15" ht="62" customHeight="1">
      <x:c r="A15" s="235" t="str">
        <x:v>TS11</x:v>
      </x:c>
      <x:c r="B15" s="235" t="str">
        <x:v>#43/#47/#50</x:v>
      </x:c>
      <x:c r="C15" s="235" t="str">
        <x:v>W2 smoke / W3</x:v>
      </x:c>
      <x:c r="D15" s="235" t="str">
        <x:v>정상 거래·R01/R02/R04/R07 기대 응답과 DB row/Rule trace 일치. HTTP200 단독 PASS 금지</x:v>
      </x:c>
      <x:c r="E15" s="235" t="str">
        <x:v>Transaction ID 연결, 고정 fixture·KST 경계/history 분리·schema revision. ROSA NOT RUN</x:v>
      </x:c>
    </x:row>
    <x:row r="16" ht="62" customHeight="1">
      <x:c r="A16" s="235" t="str">
        <x:v>TS12</x:v>
      </x:c>
      <x:c r="B16" s="235" t="str">
        <x:v>#119/#15/#20/#50</x:v>
      </x:c>
      <x:c r="C16" s="235" t="str">
        <x:v>승인 장애 창</x:v>
      </x:c>
      <x:c r="D16" s="235" t="str">
        <x:v>DB 장애 /readyz503·Endpoint 제외. engine 장애 API Ready·HTTP201·skipped=true·DB 저장. 복구 후 회귀</x:v>
      </x:c>
      <x:c r="E16" s="235" t="str">
        <x:v>장애/복구 명령·RC/replicas·API·DB row·metric delta. #119 Done, ROSA NOT RUN</x:v>
      </x:c>
    </x:row>
    <x:row r="17" ht="62" customHeight="1">
      <x:c r="A17" s="235" t="str">
        <x:v>TS13</x:v>
      </x:c>
      <x:c r="B17" s="235" t="str">
        <x:v>#19/#125</x:v>
      </x:c>
      <x:c r="C17" s="235" t="str">
        <x:v>P1 승인 변경창</x:v>
      </x:c>
      <x:c r="D17" s="235" t="str">
        <x:v>v2 4 blockers 해소 후 재심사. restart identity/critical failure 누적/exact LB/모든 경로 cleanup 필수</x:v>
      </x:c>
      <x:c r="E17" s="235" t="str">
        <x:v>script SHA·negative fixture·3CP baseline·원복hash. 변경창 HOLD, rollback NOT MET</x:v>
      </x:c>
    </x:row>
    <x:row r="18" ht="62" customHeight="1">
      <x:c r="A18" s="235" t="str">
        <x:v>TS14</x:v>
      </x:c>
      <x:c r="B18" s="235" t="str">
        <x:v>#38/#44/#47/#50</x:v>
      </x:c>
      <x:c r="C18" s="235" t="str">
        <x:v>설계 mapping / actual 복구</x:v>
      </x:c>
      <x:c r="D18" s="235" t="str">
        <x:v>관리형 encryption/Secret 권한·expiry·backup/recovery·관측 동등성. root disk 암호화=Secret 인수 아님</x:v>
      </x:c>
      <x:c r="E18" s="235" t="str">
        <x:v>source/reference만 수집, secret 원문 제외. Receiver 없는 P2 승계 완료 금지</x:v>
      </x:c>
    </x:row>
    <x:row r="19" ht="62" customHeight="1">
      <x:c r="A19" s="235" t="str">
        <x:v>TS15</x:v>
      </x:c>
      <x:c r="B19" s="235" t="str">
        <x:v>#37/#38/#47/#50</x:v>
      </x:c>
      <x:c r="C19" s="235" t="str">
        <x:v>승인 복합장애 창</x:v>
      </x:c>
      <x:c r="D19" s="235" t="str">
        <x:v>worker 교체+Relay 장애 후 DB·cold-pull·DNS·업무 복구. AZ고정 PVC 제약/RPO-RTO 준수</x:v>
      </x:c>
      <x:c r="E19" s="235" t="str">
        <x:v>순서/시간/정책·inventory·data diff. 실패영향 내 중단·원상복구. NOT RUN</x:v>
      </x:c>
    </x:row>
    <x:row r="20" ht="62" customHeight="1">
      <x:c r="A20" s="235" t="str">
        <x:v>TS16</x:v>
      </x:c>
      <x:c r="B20" s="235" t="str">
        <x:v>#49/#55/#57</x:v>
      </x:c>
      <x:c r="C20" s="235" t="str">
        <x:v>10/23</x:v>
      </x:c>
      <x:c r="D20" s="235" t="str">
        <x:v>증적 보존 후 cluster/NAT/EIP/ENI/LB/endpoint/EBS 잔여와 비용 확인</x:v>
      </x:c>
      <x:c r="E20" s="235" t="str">
        <x:v>삭제 전후 inventory·비용data source·hash·미삭제owner. NOT RUN</x:v>
      </x:c>
    </x:row>
    <x:row r="22">
      <x:c r="A22" t="str">
        <x:v>원본: tests/FDS_Test_Strategy_v3.1.21.md · 새 AC 추가 없음 · Runtime 신규 실행 없음</x:v>
      </x:c>
    </x:row>
  </x:sheetData>
  <x:mergeCells>
    <x:mergeCell ref="A22:E22"/>
  </x:mergeCells>
  <x:pageMargins left="0.7" right="0.7" top="0.75" bottom="0.75" header="0.3" footer="0.3"/>
</x:worksheet>
</file>