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2c63d418b040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137a26d119ab4fa3"/>
    <x:sheet xmlns:r="http://schemas.openxmlformats.org/officeDocument/2006/relationships" name="WBS" sheetId="2" r:id="R2b78cea4860f46f6"/>
    <x:sheet xmlns:r="http://schemas.openxmlformats.org/officeDocument/2006/relationships" name="Phase 1 Gantt" sheetId="3" r:id="R02176cc0027a4d64"/>
    <x:sheet xmlns:r="http://schemas.openxmlformats.org/officeDocument/2006/relationships" name="Phase 2 Gantt" sheetId="4" r:id="R4b8617fd2af240c0"/>
    <x:sheet xmlns:r="http://schemas.openxmlformats.org/officeDocument/2006/relationships" name="Milestones &amp; Decisions" sheetId="5" r:id="R3b845c23c57a46c9"/>
    <x:sheet xmlns:r="http://schemas.openxmlformats.org/officeDocument/2006/relationships" name="Risks &amp; Assumptions" sheetId="6" r:id="R279c4388cc5a4e37"/>
    <x:sheet xmlns:r="http://schemas.openxmlformats.org/officeDocument/2006/relationships" name="Sources &amp; Change Log" sheetId="7" r:id="R31006a1b979b4f9c"/>
    <x:sheet xmlns:r="http://schemas.openxmlformats.org/officeDocument/2006/relationships" name="Team Calendar" sheetId="8" r:id="R09d66d5b4d934e32"/>
    <x:sheet xmlns:r="http://schemas.openxmlformats.org/officeDocument/2006/relationships" name="Fast Track Plan" sheetId="9" r:id="R0014c28a50aa4e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m/d"/>
    <x:numFmt numFmtId="202" formatCode=";;;"/>
    <x:numFmt numFmtId="203" formatCode="0"/>
    <x:numFmt numFmtId="204" formatCode="@"/>
    <x:numFmt numFmtId="205" formatCode="mm-dd"/>
    <x:numFmt numFmtId="206" formatCode="0.0"/>
  </x:numFmts>
  <x:fonts count="23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</x:fonts>
  <x:fills count="2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</x:fills>
  <x:borders count="4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16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center" wrapText="1"/>
    </x:xf>
    <x:xf numFmtId="200" fontId="17" fillId="0" borderId="3" xfId="0" applyNumberFormat="1" applyFont="1" applyFill="1" applyBorder="1" applyAlignment="1">
      <x:alignment vertical="center" wrapText="1"/>
    </x:xf>
    <x:xf numFmtId="203" fontId="17" fillId="0" borderId="3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14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 wrapText="1"/>
    </x:xf>
    <x:xf numFmtId="200" fontId="17" fillId="0" borderId="0" xfId="0" applyNumberFormat="1" applyFont="1" applyFill="1" applyBorder="1" applyAlignment="1">
      <x:alignment vertical="center" wrapText="1"/>
    </x:xf>
    <x:xf numFmtId="200" fontId="9" fillId="3" xfId="0" applyNumberFormat="1" applyFont="1" applyFill="1" applyBorder="0" applyAlignment="1">
      <x:alignment horizontal="center" vertical="center" wrapText="1"/>
    </x:xf>
    <x:xf numFmtId="0" fontId="9" fillId="3" xfId="0" applyNumberFormat="1" applyFont="1" applyFill="1" applyBorder="0" applyAlignment="1">
      <x:alignment horizontal="center"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200" fontId="9" fillId="16" xfId="0" applyNumberFormat="1" applyFont="1" applyFill="1" applyBorder="0" applyAlignment="1">
      <x:alignment horizontal="center" vertical="center" wrapText="1"/>
    </x:xf>
    <x:xf numFmtId="0" fontId="0" fillId="16" borderId="0" xfId="0" applyNumberFormat="1" applyFont="1" applyFill="1" applyBorder="1" applyAlignment="1">
      <x:alignment wrapText="1"/>
    </x:xf>
    <x:xf numFmtId="0" fontId="18" fillId="16" xfId="0" applyNumberFormat="1" applyFont="1" applyFill="1" applyBorder="0" applyAlignment="1">
      <x:alignment horizontal="center" vertical="center" wrapText="1"/>
    </x:xf>
    <x:xf numFmtId="200" fontId="18" fillId="16" xfId="0" applyNumberFormat="1" applyFont="1" applyFill="1" applyBorder="0" applyAlignment="1">
      <x:alignment horizontal="center" vertical="center" wrapText="1"/>
    </x:xf>
    <x:xf numFmtId="0" fontId="17" fillId="16" borderId="0" xfId="0" applyNumberFormat="1" applyFont="1" applyFill="1" applyBorder="1" applyAlignment="1">
      <x:alignment wrapText="1"/>
    </x:xf>
    <x:xf numFmtId="202" fontId="3" fillId="17" borderId="1" xfId="0" applyNumberFormat="1" applyFont="1" applyFill="1" applyBorder="1" applyAlignment="1">
      <x:alignment vertical="top" wrapText="1"/>
    </x:xf>
    <x:xf numFmtId="202" fontId="3" fillId="17" borderId="2" xfId="0" applyNumberFormat="1" applyFont="1" applyFill="1" applyBorder="1" applyAlignment="1">
      <x:alignment vertical="top" wrapText="1"/>
    </x:xf>
    <x:xf numFmtId="202" fontId="14" fillId="17" borderId="1" xfId="0" applyNumberFormat="1" applyFont="1" applyFill="1" applyBorder="1" applyAlignment="1">
      <x:alignment horizontal="center" vertical="top" wrapText="1"/>
    </x:xf>
    <x:xf numFmtId="204" fontId="13" fillId="17" borderId="1" xfId="0" applyNumberFormat="1" applyFont="1" applyFill="1" applyBorder="1" applyAlignment="1">
      <x:alignment horizontal="center" vertical="center" wrapText="1"/>
    </x:xf>
    <x:xf numFmtId="202" fontId="0" fillId="17" borderId="0" xfId="0" applyNumberFormat="1" applyFont="1" applyFill="1" applyBorder="1"/>
    <x:xf numFmtId="202" fontId="15" fillId="17" borderId="0" xfId="0" applyNumberFormat="1" applyFont="1" applyFill="1" applyBorder="1"/>
    <x:xf numFmtId="202" fontId="13" fillId="17" borderId="1" xfId="0" applyNumberFormat="1" applyFont="1" applyFill="1" applyBorder="1" applyAlignment="1">
      <x:alignment horizontal="center" vertical="center" wrapText="1"/>
    </x:xf>
    <x:xf numFmtId="202" fontId="3" fillId="18" borderId="1" xfId="0" applyNumberFormat="1" applyFont="1" applyFill="1" applyBorder="1" applyAlignment="1">
      <x:alignment vertical="top" wrapText="1"/>
    </x:xf>
    <x:xf numFmtId="202" fontId="0" fillId="18" borderId="0" xfId="0" applyNumberFormat="1" applyFont="1" applyFill="1" applyBorder="1"/>
    <x:xf numFmtId="201" fontId="19" fillId="5" borderId="1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1" fillId="19" borderId="0" xfId="0" applyNumberFormat="1" applyFont="1" applyFill="1" applyBorder="1"/>
    <x:xf numFmtId="0" fontId="0" fillId="17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22" fillId="17" borderId="0" xfId="0" applyNumberFormat="1" applyFont="1" applyFill="1" applyBorder="1"/>
    <x:xf numFmtId="0" fontId="22" fillId="20" borderId="0" xfId="0" applyNumberFormat="1" applyFont="1" applyFill="1" applyBorder="1"/>
    <x:xf numFmtId="0" fontId="22" fillId="21" borderId="0" xfId="0" applyNumberFormat="1" applyFont="1" applyFill="1" applyBorder="1"/>
    <x:xf numFmtId="0" fontId="22" fillId="22" borderId="0" xfId="0" applyNumberFormat="1" applyFont="1" applyFill="1" applyBorder="1"/>
    <x:xf numFmtId="0" fontId="22" fillId="17" borderId="0" xfId="0" applyNumberFormat="1" applyFont="1" applyFill="1" applyBorder="1" applyAlignment="1">
      <x:alignment wrapText="1"/>
    </x:xf>
    <x:xf numFmtId="0" fontId="22" fillId="20" borderId="0" xfId="0" applyNumberFormat="1" applyFont="1" applyFill="1" applyBorder="1" applyAlignment="1">
      <x:alignment wrapText="1"/>
    </x:xf>
    <x:xf numFmtId="0" fontId="22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2" fillId="17" borderId="0" xfId="0" applyNumberFormat="1" applyFont="1" applyFill="1" applyBorder="1" applyAlignment="1">
      <x:alignment vertical="center" wrapText="1"/>
    </x:xf>
    <x:xf numFmtId="0" fontId="22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 wrapText="1"/>
    </x:xf>
    <x:xf numFmtId="0" fontId="22" fillId="22" borderId="0" xfId="0" applyNumberFormat="1" applyFont="1" applyFill="1" applyBorder="1" applyAlignment="1">
      <x:alignment vertical="center" wrapText="1"/>
    </x:xf>
    <x:xf numFmtId="0" fontId="21" fillId="19" borderId="3" xfId="0" applyNumberFormat="1" applyFont="1" applyFill="1" applyBorder="1"/>
    <x:xf numFmtId="0" fontId="22" fillId="17" borderId="3" xfId="0" applyNumberFormat="1" applyFont="1" applyFill="1" applyBorder="1" applyAlignment="1">
      <x:alignment vertical="center" wrapText="1"/>
    </x:xf>
    <x:xf numFmtId="0" fontId="22" fillId="20" borderId="3" xfId="0" applyNumberFormat="1" applyFont="1" applyFill="1" applyBorder="1" applyAlignment="1">
      <x:alignment vertical="center" wrapText="1"/>
    </x:xf>
    <x:xf numFmtId="0" fontId="22" fillId="21" borderId="3" xfId="0" applyNumberFormat="1" applyFont="1" applyFill="1" applyBorder="1" applyAlignment="1">
      <x:alignment vertical="center" wrapText="1"/>
    </x:xf>
    <x:xf numFmtId="0" fontId="22" fillId="22" borderId="3" xfId="0" applyNumberFormat="1" applyFont="1" applyFill="1" applyBorder="1" applyAlignment="1">
      <x:alignment vertical="center" wrapText="1"/>
    </x:xf>
    <x:xf numFmtId="200" fontId="22" fillId="17" borderId="3" xfId="0" applyNumberFormat="1" applyFont="1" applyFill="1" applyBorder="1" applyAlignment="1">
      <x:alignment vertical="center" wrapText="1"/>
    </x:xf>
    <x:xf numFmtId="200" fontId="22" fillId="20" borderId="3" xfId="0" applyNumberFormat="1" applyFont="1" applyFill="1" applyBorder="1" applyAlignment="1">
      <x:alignment vertical="center" wrapText="1"/>
    </x:xf>
    <x:xf numFmtId="200" fontId="22" fillId="21" borderId="3" xfId="0" applyNumberFormat="1" applyFont="1" applyFill="1" applyBorder="1" applyAlignment="1">
      <x:alignment vertical="center" wrapText="1"/>
    </x:xf>
    <x:xf numFmtId="200" fontId="22" fillId="22" borderId="3" xfId="0" applyNumberFormat="1" applyFont="1" applyFill="1" applyBorder="1" applyAlignment="1">
      <x:alignment vertical="center" wrapText="1"/>
    </x:xf>
    <x:xf numFmtId="206" fontId="22" fillId="17" borderId="3" xfId="0" applyNumberFormat="1" applyFont="1" applyFill="1" applyBorder="1" applyAlignment="1">
      <x:alignment vertical="center" wrapText="1"/>
    </x:xf>
    <x:xf numFmtId="206" fontId="22" fillId="20" borderId="3" xfId="0" applyNumberFormat="1" applyFont="1" applyFill="1" applyBorder="1" applyAlignment="1">
      <x:alignment vertical="center" wrapText="1"/>
    </x:xf>
    <x:xf numFmtId="206" fontId="22" fillId="21" borderId="3" xfId="0" applyNumberFormat="1" applyFont="1" applyFill="1" applyBorder="1" applyAlignment="1">
      <x:alignment vertical="center" wrapText="1"/>
    </x:xf>
    <x:xf numFmtId="206" fontId="22" fillId="22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9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 patternType="solid">
          <x:bgColor rgb="FFFDE3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a63fdf55641e0" /><Relationship Type="http://schemas.openxmlformats.org/officeDocument/2006/relationships/theme" Target="/xl/theme/theme1.xml" Id="R2d5ba325bed04cab" /><Relationship Type="http://schemas.openxmlformats.org/officeDocument/2006/relationships/sharedStrings" Target="/xl/sharedStrings.xml" Id="Rcd18b994a9ff4790" /><Relationship Type="http://schemas.openxmlformats.org/officeDocument/2006/relationships/worksheet" Target="/xl/worksheets/sheet1.xml" Id="R137a26d119ab4fa3" /><Relationship Type="http://schemas.openxmlformats.org/officeDocument/2006/relationships/worksheet" Target="/xl/worksheets/sheet2.xml" Id="R2b78cea4860f46f6" /><Relationship Type="http://schemas.openxmlformats.org/officeDocument/2006/relationships/worksheet" Target="/xl/worksheets/sheet3.xml" Id="R02176cc0027a4d64" /><Relationship Type="http://schemas.openxmlformats.org/officeDocument/2006/relationships/worksheet" Target="/xl/worksheets/sheet4.xml" Id="R4b8617fd2af240c0" /><Relationship Type="http://schemas.openxmlformats.org/officeDocument/2006/relationships/worksheet" Target="/xl/worksheets/sheet5.xml" Id="R3b845c23c57a46c9" /><Relationship Type="http://schemas.openxmlformats.org/officeDocument/2006/relationships/worksheet" Target="/xl/worksheets/sheet6.xml" Id="R279c4388cc5a4e37" /><Relationship Type="http://schemas.openxmlformats.org/officeDocument/2006/relationships/worksheet" Target="/xl/worksheets/sheet7.xml" Id="R31006a1b979b4f9c" /><Relationship Type="http://schemas.openxmlformats.org/officeDocument/2006/relationships/worksheet" Target="/xl/worksheets/sheet8.xml" Id="R09d66d5b4d934e32" /><Relationship Type="http://schemas.openxmlformats.org/officeDocument/2006/relationships/worksheet" Target="/xl/worksheets/sheet9.xml" Id="R0014c28a50aa4e6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e5a8ad124bb46de" /><Relationship Type="http://schemas.openxmlformats.org/officeDocument/2006/relationships/chart" Target="/xl/drawings/charts/chart2.xml" Id="R3d52f5ad476241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5a8ad124bb46de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52f5ad476241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5" headerRowCount="1" totalsRowCount="0" totalsRowShown="0">
  <x:autoFilter ref="A3:S55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2969211bc442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9569fd6a0f45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79" t="str">
        <x:v>FDS v3.1.18 · Executive Schedule Summary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46275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3.1.18 CANDIDATE</x:v>
      </x:c>
      <x:c r="D5" s="13" t="str">
        <x:v>G1 Target</x:v>
      </x:c>
      <x:c r="E5" s="19" t="n">
        <x:v>46282</x:v>
      </x:c>
    </x:row>
    <x:row r="6">
      <x:c r="A6" s="13" t="str">
        <x:v>Planning records</x:v>
      </x:c>
      <x:c r="B6" s="13" t="n">
        <x:f>COUNTA(WBS!A4:A58)</x:f>
        <x:v>55</x:v>
      </x:c>
      <x:c r="D6" s="13" t="str">
        <x:v>G2 Target</x:v>
      </x:c>
      <x:c r="E6" s="19" t="n">
        <x:v>46286</x:v>
      </x:c>
    </x:row>
    <x:row r="7">
      <x:c r="A7" s="13" t="str">
        <x:v>Tasks + CR</x:v>
      </x:c>
      <x:c r="B7" s="13" t="n">
        <x:f>COUNTIF(WBS!E4:E58,"Task")+COUNTIF(WBS!E4:E58,"Change Request")</x:f>
        <x:v>32</x:v>
      </x:c>
      <x:c r="D7" s="13" t="str">
        <x:v>G3 Target</x:v>
      </x:c>
      <x:c r="E7" s="19" t="n">
        <x:v>46287</x:v>
      </x:c>
    </x:row>
    <x:row r="8">
      <x:c r="A8" s="13" t="str">
        <x:v>Milestones</x:v>
      </x:c>
      <x:c r="B8" s="13" t="n">
        <x:f>COUNTIF(WBS!E4:E58,"Milestone")</x:f>
        <x:v>13</x:v>
      </x:c>
      <x:c r="D8" s="13" t="str">
        <x:v>ICR-D-NET-01-01</x:v>
      </x:c>
      <x:c r="E8" s="13" t="str">
        <x:v>In Progress / Plan 09-21; actual pending</x:v>
      </x:c>
    </x:row>
    <x:row r="9">
      <x:c r="D9" s="67" t="str">
        <x:v>CR-P1-ANS-01-01</x:v>
      </x:c>
      <x:c r="E9" s="67" t="str">
        <x:v>Done / 2026-09-07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COUNTIF(WBS!$G$4:$G$58,A12)</x:f>
        <x:v>7</x:v>
      </x:c>
      <x:c r="D12" s="13" t="str">
        <x:v>이권욱</x:v>
      </x:c>
      <x:c r="E12" s="13" t="n">
        <x:f>COUNTIF(WBS!$L$4:$L$58,D12)</x:f>
        <x:v>29</x:v>
      </x:c>
    </x:row>
    <x:row r="13">
      <x:c r="A13" s="13" t="str">
        <x:v>In Progress</x:v>
      </x:c>
      <x:c r="B13" s="13" t="n">
        <x:f>COUNTIF(WBS!$G$4:$G$58,A13)</x:f>
        <x:v>9</x:v>
      </x:c>
      <x:c r="D13" s="13" t="str">
        <x:v>이하영</x:v>
      </x:c>
      <x:c r="E13" s="13" t="n">
        <x:f>COUNTIF(WBS!$L$4:$L$58,D13)</x:f>
        <x:v>14</x:v>
      </x:c>
    </x:row>
    <x:row r="14">
      <x:c r="A14" s="13" t="str">
        <x:v>In Review</x:v>
      </x:c>
      <x:c r="B14" s="13" t="n">
        <x:f>COUNTIF(WBS!$G$4:$G$58,A14)</x:f>
        <x:v>0</x:v>
      </x:c>
      <x:c r="D14" s="13" t="str">
        <x:v>이재환</x:v>
      </x:c>
      <x:c r="E14" s="13" t="n">
        <x:f>COUNTIF(WBS!$L$4:$L$58,D14)</x:f>
        <x:v>12</x:v>
      </x:c>
    </x:row>
    <x:row r="15">
      <x:c r="A15" s="13" t="str">
        <x:v>To Do</x:v>
      </x:c>
      <x:c r="B15" s="13" t="n">
        <x:f>COUNTIF(WBS!$G$4:$G$58,A15)</x:f>
        <x:v>39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End TBD; G2 impact requires Lead approval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2026-09-20 is Sunday; D20 pending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JH LEE personal leave · 2026-09-04</x:v>
      </x:c>
      <x:c r="C25" s="45" t="str">
        <x:v>P1-DB/G1 → 09-07; P1-APP → 09-10; P1-MON starts 09-07; G2 unchanged</x:v>
      </x:c>
      <x:c r="D25" s="45" t="str">
        <x:v>이권욱</x:v>
      </x:c>
    </x:row>
    <x:row r="26" ht="30" customHeight="1">
      <x:c r="A26" s="71" t="str">
        <x:v>P0</x:v>
      </x:c>
      <x:c r="B26" s="71" t="str">
        <x:v>HY LEE interview leave · 2026-09-08</x:v>
      </x:c>
      <x:c r="C26" s="71" t="str">
        <x:v>P1-K8S/P1-HBR/P1-SEC Lead gap; ICR/P1-APP/P1-CICD support gap; no automatic rebaseline</x:v>
      </x:c>
      <x:c r="D26" s="71" t="str">
        <x:v>이권욱</x:v>
      </x:c>
    </x:row>
    <x:row r="27" ht="40" customHeight="1">
      <x:c r="A27" t="str">
        <x:v>P0</x:v>
      </x:c>
      <x:c r="B27" t="str">
        <x:v>Gate targets: G1 09-17 / G2 09-21 / G3 09-22</x:v>
      </x:c>
      <x:c r="C27" s="67" t="str">
        <x:v>Recommendation; evidence gates unchanged. Close 09-23 remains conditional.</x:v>
      </x:c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40" customHeight="1">
      <x:c r="A28" t="str">
        <x:v>P1</x:v>
      </x:c>
      <x:c r="B28" t="str">
        <x:v>P1 enhancements deferred</x:v>
      </x:c>
      <x:c r="C28" s="67" t="str">
        <x:v>MON-02 / DR-02 / HA-02: implementation dates TBD; handoff 09-23, replan decision 09-28.</x:v>
      </x:c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  <x:row r="29" ht="44" customHeight="1">
      <x:c r="A29" t="str">
        <x:v>P0</x:v>
      </x:c>
      <x:c r="B29" t="str">
        <x:v>HY LEE interview leave · 2026-09-10</x:v>
      </x:c>
      <x:c r="C29" s="67" t="str">
        <x:v>Existing SEC window: 5→4 days. New window through 09-21: 10 available days; not remaining effort.</x:v>
      </x:c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8a2969211bc4425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79" t="str">
        <x:v>FDS v3.1.18 · WBS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</x:row>
    <x:row r="2">
      <x:c r="A2" s="17" t="str">
        <x:v>As of</x:v>
      </x:c>
      <x:c r="B2" s="18" t="n">
        <x:v>46275</x:v>
      </x:c>
      <x:c r="C2" s="17" t="str">
        <x:v>Canonical</x:v>
      </x:c>
      <x:c r="D2" s="17" t="str">
        <x:v>3.1.18 CANDIDATE / Fast Tracking</x:v>
      </x:c>
      <x:c r="E2" s="17" t="str">
        <x:v>Records</x:v>
      </x:c>
      <x:c r="F2" s="17" t="n">
        <x:f>COUNTA(A4:A58)</x:f>
        <x:v>55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Calendar'!$A$5:$A$12,L4,'Team Calendar'!$C$5:$C$12,"&gt;="&amp;H4,'Team Calendar'!$C$5:$C$12,"&lt;="&amp;I4,'Team Calendar'!$F$5:$F$12,"Personal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Baseline v3.1.18; Ticket Pack v3.1.18; GitHub #7 snapshot 2026-09-09T12:13:54Z</x:v>
      </x:c>
      <x:c r="S4" s="13" t="str">
        <x:f>IF(G4="Done","Done",IF(I4="","End TBD",IF(I4&lt;'Executive Summary'!$B$4,"Overdue",IF(H4&gt;'Executive Summary'!$B$4,"Upcoming","Active window"))))</x:f>
        <x:v>Done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Calendar'!$A$5:$A$12,L5,'Team Calendar'!$C$5:$C$12,"&gt;="&amp;H5,'Team Calendar'!$C$5:$C$12,"&lt;="&amp;I5,'Team Calendar'!$F$5:$F$12,"Personal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3" t="str">
        <x:v>D-ARC-01·D-NET-01·D-WBS-01·D-SEC-01 승인과 정본 Evidence를 확인하고 G0 FULL PASS 기록 확보</x:v>
      </x:c>
      <x:c r="Q5" s="13" t="str">
        <x:v>G0 Design Freeze FULL PASS (2026-09-01).</x:v>
      </x:c>
      <x:c r="R5" s="13" t="str">
        <x:v>Baseline v3.1.18; Ticket Pack v3.1.18; GitHub #8 snapshot 2026-09-09T12:14:17Z</x:v>
      </x:c>
      <x:c r="S5" s="13" t="str">
        <x:f>IF(G5="Done","Done",IF(I5="","End TBD",IF(I5&lt;'Executive Summary'!$B$4,"Overdue",IF(H5&gt;'Executive Summary'!$B$4,"Upcoming","Active window"))))</x:f>
        <x:v>Done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46282</x:v>
      </x:c>
      <x:c r="J6" s="61" t="n">
        <x:f>IF(OR(H6="",I6=""),"",I6-H6+1)</x:f>
        <x:v>22</x:v>
      </x:c>
      <x:c r="K6" s="61" t="n">
        <x:f>IF(OR(H6="",I6=""),"",NETWORKDAYS(H6,I6,'Sources &amp; Change Log'!$J$2:$J$5)-COUNTIFS('Team Calendar'!$A$5:$A$12,L6,'Team Calendar'!$C$5:$C$12,"&gt;="&amp;H6,'Team Calendar'!$C$5:$C$12,"&lt;="&amp;I6,'Team Calendar'!$F$5:$F$12,"Personal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3" t="str">
        <x:v>IF-11/IF-11A/IF-06A Source Allowlist, `.109:6443→.102~.104:6443` Stage A Listener/Handoff와 Stage B Backend Health/API/Failover Evidence</x:v>
      </x:c>
      <x:c r="Q6" s="13" t="str">
        <x:v>Stage B는 3CP API 기동 후 검증하며 09-17 G1 인수에 연결한다. 실제 상태·완료 판정은 유지한다. 세부 배정: Fast Track Plan 시트.</x:v>
      </x:c>
      <x:c r="R6" s="13" t="str">
        <x:v>Baseline v3.1.18; Ticket Pack v3.1.18; GitHub #9 snapshot 2026-09-10T02:09:13Z; Fast Tracking 일정 권장안 2026-09-10 / 사용자 재편성 요청</x:v>
      </x:c>
      <x:c r="S6" s="13" t="str">
        <x:f>IF(G6="Done","Done",IF(I6="",IF(F6="P1","Deferred P1","End TBD"),IF(I6&lt;'Executive Summary'!$B$4,"Overdue",IF(H6&gt;'Executive Summary'!$B$4,"Upcoming","Active window"))))</x:f>
        <x:v>Active window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46282</x:v>
      </x:c>
      <x:c r="J7" s="61" t="n">
        <x:f>IF(OR(H7="",I7=""),"",I7-H7+1)</x:f>
        <x:v>22</x:v>
      </x:c>
      <x:c r="K7" s="61" t="n">
        <x:f>IF(OR(H7="",I7=""),"",NETWORKDAYS(H7,I7,'Sources &amp; Change Log'!$J$2:$J$5)-COUNTIFS('Team Calendar'!$A$5:$A$12,L7,'Team Calendar'!$C$5:$C$12,"&gt;="&amp;H7,'Team Calendar'!$C$5:$C$12,"&lt;="&amp;I7,'Team Calendar'!$F$5:$F$12,"Personal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3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3" t="str">
        <x:v>09-11 CP1, 09-14 CP2/3·Worker, 09-15 NTP·Calico, 09-17 증적 인수를 조건부 목표로 둔다. 실제 상태·완료 판정은 유지한다. 세부 배정: Fast Track Plan 시트.</x:v>
      </x:c>
      <x:c r="R7" s="13" t="str">
        <x:v>Baseline/Ticket Pack v3.1.18; GitHub #10; K8S PR #2 097ddb5, #3 merge 7d44afc, #4 75d476e; audit/v3.1.18/k8s-intake-20260910.json</x:v>
      </x:c>
      <x:c r="S7" s="13" t="str">
        <x:f>IF(G7="Done","Done",IF(I7="",IF(F7="P1","Deferred P1","End TBD"),IF(I7&lt;'Executive Summary'!$B$4,"Overdue",IF(H7&gt;'Executive Summary'!$B$4,"Upcoming","Active window"))))</x:f>
        <x:v>Active window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46282</x:v>
      </x:c>
      <x:c r="J8" s="61" t="n">
        <x:f>IF(OR(H8="",I8=""),"",I8-H8+1)</x:f>
        <x:v>21</x:v>
      </x:c>
      <x:c r="K8" s="61" t="n">
        <x:f>IF(OR(H8="",I8=""),"",NETWORKDAYS(H8,I8,'Sources &amp; Change Log'!$J$2:$J$5)-COUNTIFS('Team Calendar'!$A$5:$A$12,L8,'Team Calendar'!$C$5:$C$12,"&gt;="&amp;H8,'Team Calendar'!$C$5:$C$12,"&lt;="&amp;I8,'Team Calendar'!$F$5:$F$12,"Personal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</x:v>
      </x:c>
      <x:c r="R8" s="13" t="str">
        <x:v>Baseline v3.1.18; Ticket Pack v3.1.18; GitHub #11 snapshot 2026-09-10T04:01:06Z; Fast Tracking 일정 권장안 2026-09-10 / 사용자 재편성 요청</x:v>
      </x:c>
      <x:c r="S8" s="13" t="str">
        <x:f>IF(G8="Done","Done",IF(I8="",IF(F8="P1","Deferred P1","End TBD"),IF(I8&lt;'Executive Summary'!$B$4,"Overdue",IF(H8&gt;'Executive Summary'!$B$4,"Upcoming","Active window"))))</x:f>
        <x:v>Active window</x:v>
      </x:c>
    </x:row>
    <x:row r="9" ht="44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Calendar'!$A$5:$A$12,L9,'Team Calendar'!$C$5:$C$12,"&gt;="&amp;H9,'Team Calendar'!$C$5:$C$12,"&lt;="&amp;I9,'Team Calendar'!$F$5:$F$12,"Personal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3" t="str">
        <x:v>Primary/Secondary·TSIG·제한 Query/Recursion·Failover Evidence와 k8s-api-lb01 `.109` Resolver/ACL/IPSet 검증 및 Support Review 승인</x:v>
      </x:c>
      <x:c r="Q9" s="13" t="str">
        <x:v>기술 검증·Support Review·.109 ACL/Resolver/Failover Delta 확인 완료. 2026-09-03 Done 승인.</x:v>
      </x:c>
      <x:c r="R9" s="13" t="str">
        <x:v>Baseline v3.1.18; Ticket Pack v3.1.18; GitHub #12 snapshot 2026-09-10T02:09:19Z</x:v>
      </x:c>
      <x:c r="S9" s="13" t="str">
        <x:f>IF(G9="Done","Done",IF(I9="","End TBD",IF(I9&lt;'Executive Summary'!$B$4,"Overdue",IF(H9&gt;'Executive Summary'!$B$4,"Upcoming","Active window"))))</x:f>
        <x:v>Done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" t="n">
        <x:v>46265</x:v>
      </x:c>
      <x:c r="I10" s="19" t="n">
        <x:v>46282</x:v>
      </x:c>
      <x:c r="J10" s="61" t="n">
        <x:f>IF(OR(H10="",I10=""),"",I10-H10+1)</x:f>
        <x:v>18</x:v>
      </x:c>
      <x:c r="K10" s="61" t="n">
        <x:f>IF(OR(H10="",I10=""),"",NETWORKDAYS(H10,I10,'Sources &amp; Change Log'!$J$2:$J$5)-COUNTIFS('Team Calendar'!$A$5:$A$12,L10,'Team Calendar'!$C$5:$C$12,"&gt;="&amp;H10,'Team Calendar'!$C$5:$C$12,"&lt;="&amp;I10,'Team Calendar'!$F$5:$F$12,"Personal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3" t="str">
        <x:v>harbor01 `.54:443`, Private CA Trust, 최소권한 Robot Account, IF-09 Runner Push·IF-10 Worker Pull/Pod Start, 비승인 Push/Pull DENY, Trivy/Digest/Evidence PASS</x:v>
      </x:c>
      <x:c r="Q10" s="13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Baseline v3.1.18; Ticket Pack v3.1.18; GitHub #13 snapshot 2026-09-10T03:15:50Z; Fast Tracking 일정 권장안 2026-09-10 / 사용자 재편성 요청</x:v>
      </x:c>
      <x:c r="S10" s="13" t="str">
        <x:f>IF(G10="Done","Done",IF(I10="",IF(F10="P1","Deferred P1","End TBD"),IF(I10&lt;'Executive Summary'!$B$4,"Overdue",IF(H10&gt;'Executive Summary'!$B$4,"Upcoming","Active window"))))</x:f>
        <x:v>Active window</x:v>
      </x:c>
    </x:row>
    <x:row r="11" ht="44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 t="n">
        <x:v>46286</x:v>
      </x:c>
      <x:c r="J11" s="61" t="n">
        <x:f>IF(OR(H11="",I11=""),"",I11-H11+1)</x:f>
        <x:v>21</x:v>
      </x:c>
      <x:c r="K11" s="61" t="n">
        <x:f>IF(OR(H11="",I11=""),"",NETWORKDAYS(H11,I11,'Sources &amp; Change Log'!$J$2:$J$5)-COUNTIFS('Team Calendar'!$A$5:$A$12,L11,'Team Calendar'!$C$5:$C$12,"&gt;="&amp;H11,'Team Calendar'!$C$5:$C$12,"&lt;="&amp;I11,'Team Calendar'!$F$5:$F$12,"Personal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Baseline/Ticket Pack v3.1.18; GitHub #14; K8S PR #2 097ddb5, #3 merge 7d44afc, #4 75d476e; audit/v3.1.18/k8s-intake-20260910.json</x:v>
      </x:c>
      <x:c r="S11" s="13" t="str">
        <x:f>IF(G11="Done","Done",IF(I11="",IF(F11="P1","Deferred P1","End TBD"),IF(I11&lt;'Executive Summary'!$B$4,"Overdue",IF(H11&gt;'Executive Summary'!$B$4,"Upcoming","Active window"))))</x:f>
        <x:v>Active window</x:v>
      </x:c>
    </x:row>
    <x:row r="12" ht="58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" t="n">
        <x:v>46269</x:v>
      </x:c>
      <x:c r="I12" s="19" t="n">
        <x:v>46272</x:v>
      </x:c>
      <x:c r="J12" s="61" t="n">
        <x:f>IF(OR(H12="",I12=""),"",I12-H12+1)</x:f>
        <x:v>4</x:v>
      </x:c>
      <x:c r="K12" s="61" t="n">
        <x:f>IF(OR(H12="",I12=""),"",NETWORKDAYS(H12,I12,'Sources &amp; Change Log'!$J$2:$J$5)-COUNTIFS('Team Calendar'!$A$5:$A$12,L12,'Team Calendar'!$C$5:$C$12,"&gt;="&amp;H12,'Team Calendar'!$C$5:$C$12,"&lt;="&amp;I12,'Team Calendar'!$F$5:$F$12,"Personal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3" t="str">
        <x:v>Kubernetes 6개 Node의 DNS 전환, 검색 도메인·API FQDN/Short Name·외부 DNS·직접 질의·서비스 회귀·멱등성·Rollback·Evidence 무결성 및 Support Review 완료</x:v>
      </x:c>
      <x:c r="Q12" s="13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R12" s="13" t="str">
        <x:v>Baseline v3.1.18; Ticket Pack v3.1.18; GitHub #58 snapshot 2026-09-09T12:14:54Z</x:v>
      </x:c>
      <x:c r="S12" s="13" t="str">
        <x:f>IF(G12="Done","Done",IF(I12="","End TBD",IF(I12&lt;'Executive Summary'!$B$4,"Overdue",IF(H12&gt;'Executive Summary'!$B$4,"Upcoming","Active window"))))</x:f>
        <x:v>Done</x:v>
      </x:c>
    </x:row>
    <x:row r="13" ht="44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" t="n">
        <x:v>46266</x:v>
      </x:c>
      <x:c r="I13" s="19" t="n">
        <x:v>46283</x:v>
      </x:c>
      <x:c r="J13" s="61" t="n">
        <x:f>IF(OR(H13="",I13=""),"",I13-H13+1)</x:f>
        <x:v>18</x:v>
      </x:c>
      <x:c r="K13" s="61" t="n">
        <x:f>IF(OR(H13="",I13=""),"",NETWORKDAYS(H13,I13,'Sources &amp; Change Log'!$J$2:$J$5)-COUNTIFS('Team Calendar'!$A$5:$A$12,L13,'Team Calendar'!$C$5:$C$12,"&gt;="&amp;H13,'Team Calendar'!$C$5:$C$12,"&lt;="&amp;I13,'Team Calendar'!$F$5:$F$12,"Personal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3" t="str">
        <x:v>2개 Deployment/Service, 업무 8000/8001·metrics 9091/9090, `/livez`·`/readyz`, DB/FDS 장애정책, Resource, local endpoint topology, Contract/E2E Evidence</x:v>
      </x:c>
      <x:c r="Q13" s="13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Baseline v3.1.18; Ticket Pack v3.1.18; GitHub #15 snapshot 2026-09-10T04:01:11Z; Fast Tracking 일정 권장안 2026-09-10 / 사용자 재편성 요청</x:v>
      </x:c>
      <x:c r="S13" s="13" t="str">
        <x:f>IF(G13="Done","Done",IF(I13="",IF(F13="P1","Deferred P1","End TBD"),IF(I13&lt;'Executive Summary'!$B$4,"Overdue",IF(H13&gt;'Executive Summary'!$B$4,"Upcoming","Active window"))))</x:f>
        <x:v>Active window</x:v>
      </x:c>
    </x:row>
    <x:row r="14" ht="44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46266</x:v>
      </x:c>
      <x:c r="I14" s="19" t="n">
        <x:v>46283</x:v>
      </x:c>
      <x:c r="J14" s="61" t="n">
        <x:f>IF(OR(H14="",I14=""),"",I14-H14+1)</x:f>
        <x:v>18</x:v>
      </x:c>
      <x:c r="K14" s="61" t="n">
        <x:f>IF(OR(H14="",I14=""),"",NETWORKDAYS(H14,I14,'Sources &amp; Change Log'!$J$2:$J$5)-COUNTIFS('Team Calendar'!$A$5:$A$12,L14,'Team Calendar'!$C$5:$C$12,"&gt;="&amp;H14,'Team Calendar'!$C$5:$C$12,"&lt;="&amp;I14,'Team Calendar'!$F$5:$F$12,"Personal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3" t="str">
        <x:v>GitHub→Runner→Test→Build→Trivy→Harbor→Kubernetes Deploy→Health/E2E 흐름과 실패 시 Deploy 차단 Evidence 확보; 승인 Digest와 이전 Digest 복구 추적</x:v>
      </x:c>
      <x:c r="Q14" s="13" t="str">
        <x:v>Runner/Workflow·Negative Gate 준비를 플랫폼 구축과 병행하고 승인된 플랫폼·Harbor가 준비된 뒤 배포한다. 실제 상태·완료 판정은 유지한다. 세부 배정: Fast Track Plan 시트.</x:v>
      </x:c>
      <x:c r="R14" s="13" t="str">
        <x:v>Baseline v3.1.18; Ticket Pack v3.1.18; GitHub #16 snapshot 2026-09-10T02:09:24Z; Fast Tracking 일정 권장안 2026-09-10 / 사용자 재편성 요청</x:v>
      </x:c>
      <x:c r="S14" s="13" t="str">
        <x:f>IF(G14="Done","Done",IF(I14="",IF(F14="P1","Deferred P1","End TBD"),IF(I14&lt;'Executive Summary'!$B$4,"Overdue",IF(H14&gt;'Executive Summary'!$B$4,"Upcoming","Active window"))))</x:f>
        <x:v>Active window</x:v>
      </x:c>
    </x:row>
    <x:row r="15" ht="44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" t="n">
        <x:v>46272</x:v>
      </x:c>
      <x:c r="I15" s="19" t="n">
        <x:v>46283</x:v>
      </x:c>
      <x:c r="J15" s="61" t="n">
        <x:f>IF(OR(H15="",I15=""),"",I15-H15+1)</x:f>
        <x:v>12</x:v>
      </x:c>
      <x:c r="K15" s="61" t="n">
        <x:f>IF(OR(H15="",I15=""),"",NETWORKDAYS(H15,I15,'Sources &amp; Change Log'!$J$2:$J$5)-COUNTIFS('Team Calendar'!$A$5:$A$12,L15,'Team Calendar'!$C$5:$C$12,"&gt;="&amp;H15,'Team Calendar'!$C$5:$C$12,"&lt;="&amp;I15,'Team Calendar'!$F$5:$F$12,"Personal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3" t="str">
        <x:v>Hybrid Monitoring의 Runtime Acceptance 14개와 필수 보조통제 2개, 구축·복구·Rollback Runbook 및 Support Review 증적 확보</x:v>
      </x:c>
      <x:c r="Q15" s="13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Baseline v3.1.18; Ticket Pack v3.1.18; GitHub #17 snapshot 2026-09-10T04:01:45Z; Fast Tracking 일정 권장안 2026-09-10 / 사용자 재편성 요청</x:v>
      </x:c>
      <x:c r="S15" s="13" t="str">
        <x:f>IF(G15="Done","Done",IF(I15="",IF(F15="P1","Deferred P1","End TBD"),IF(I15&lt;'Executive Summary'!$B$4,"Overdue",IF(H15&gt;'Executive Summary'!$B$4,"Upcoming","Active window"))))</x:f>
        <x:v>Active window</x:v>
      </x:c>
    </x:row>
    <x:row r="16" ht="44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" t="n">
        <x:v>46282</x:v>
      </x:c>
      <x:c r="I16" s="19" t="n">
        <x:v>46282</x:v>
      </x:c>
      <x:c r="J16" s="61" t="n">
        <x:f>IF(OR(H16="",I16=""),"",I16-H16+1)</x:f>
        <x:v>1</x:v>
      </x:c>
      <x:c r="K16" s="61" t="n">
        <x:f>IF(OR(H16="",I16=""),"",NETWORKDAYS(H16,I16,'Sources &amp; Change Log'!$J$2:$J$5)-COUNTIFS('Team Calendar'!$A$5:$A$12,L16,'Team Calendar'!$C$5:$C$12,"&gt;="&amp;H16,'Team Calendar'!$C$5:$C$12,"&lt;="&amp;I16,'Team Calendar'!$F$5:$F$12,"Personal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3" t="str">
        <x:v>CentOS/containerd, Ansible Inventory/SSH/멱등성, 3CP+3Worker, API LB/Calico, Harbor/Runner/PostgreSQL, Node Connectivity와 Push/Pull 준비도 승인</x:v>
      </x:c>
      <x:c r="Q16" s="13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Baseline v3.1.18; Ticket Pack v3.1.18; GitHub #18 snapshot 2026-09-09T12:01:41Z; Fast Tracking 일정 권장안 2026-09-10 / 사용자 재편성 요청</x:v>
      </x:c>
      <x:c r="S16" s="13" t="str">
        <x:f>IF(G16="Done","Done",IF(I16="",IF(F16="P1","Deferred P1","End TBD"),IF(I16&lt;'Executive Summary'!$B$4,"Overdue",IF(H16&gt;'Executive Summary'!$B$4,"Upcoming","Active window"))))</x:f>
        <x:v>Upcoming</x:v>
      </x:c>
    </x:row>
    <x:row r="17" ht="44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" t="n">
        <x:v>46269</x:v>
      </x:c>
      <x:c r="I17" s="19" t="n">
        <x:v>46286</x:v>
      </x:c>
      <x:c r="J17" s="61" t="n">
        <x:f>IF(OR(H17="",I17=""),"",I17-H17+1)</x:f>
        <x:v>18</x:v>
      </x:c>
      <x:c r="K17" s="61" t="n">
        <x:f>IF(OR(H17="",I17=""),"",NETWORKDAYS(H17,I17,'Sources &amp; Change Log'!$J$2:$J$5)-COUNTIFS('Team Calendar'!$A$5:$A$12,L17,'Team Calendar'!$C$5:$C$12,"&gt;="&amp;H17,'Team Calendar'!$C$5:$C$12,"&lt;="&amp;I17,'Team Calendar'!$F$5:$F$12,"Personal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3" t="str">
        <x:v>PSA/SecurityContext/Default Deny/RBAC/HEP-GNP/Secretbox/LimitRange/Probe와 `.50/32→30080` 포함 Positive·Negative·Rollback Evidence PASS</x:v>
      </x:c>
      <x:c r="Q17" s="13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Baseline/Ticket Pack v3.1.18; GitHub #19; K8S PR #2 097ddb5, #3 merge 7d44afc, #4 75d476e; audit/v3.1.18/k8s-intake-20260910.json</x:v>
      </x:c>
      <x:c r="S17" s="13" t="str">
        <x:f>IF(G17="Done","Done",IF(I17="",IF(F17="P1","Deferred P1","End TBD"),IF(I17&lt;'Executive Summary'!$B$4,"Overdue",IF(H17&gt;'Executive Summary'!$B$4,"Upcoming","Active window"))))</x:f>
        <x:v>Active window</x:v>
      </x:c>
    </x:row>
    <x:row r="18" ht="44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46276</x:v>
      </x:c>
      <x:c r="I18" s="19" t="n">
        <x:v>46287</x:v>
      </x:c>
      <x:c r="J18" s="61" t="n">
        <x:f>IF(OR(H18="",I18=""),"",I18-H18+1)</x:f>
        <x:v>12</x:v>
      </x:c>
      <x:c r="K18" s="61" t="n">
        <x:f>IF(OR(H18="",I18=""),"",NETWORKDAYS(H18,I18,'Sources &amp; Change Log'!$J$2:$J$5)-COUNTIFS('Team Calendar'!$A$5:$A$12,L18,'Team Calendar'!$C$5:$C$12,"&gt;="&amp;H18,'Team Calendar'!$C$5:$C$12,"&lt;="&amp;I18,'Team Calendar'!$F$5:$F$12,"Personal absence"))</x:f>
        <x:v>4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3" t="str">
        <x:v>Client→edge→transaction-api→fds-engine→PostgreSQL→Prometheus E2E, Rule·Negative·Regression PASS, Critical Issue 0 및 Evidence 승인</x:v>
      </x:c>
      <x:c r="Q18" s="13" t="str">
        <x:v>09-11은 케이스·명령·판정 기준 준비일, Runtime은 09-18 이후, 최종 회귀는 09-22 오전이다. 실제 상태·완료 판정은 유지한다. 세부 배정: Fast Track Plan 시트.</x:v>
      </x:c>
      <x:c r="R18" s="13" t="str">
        <x:v>Baseline v3.1.18; Ticket Pack v3.1.18; GitHub #20 snapshot 2026-09-10T04:08:25Z; Fast Tracking 일정 권장안 2026-09-10 / 사용자 재편성 요청</x:v>
      </x:c>
      <x:c r="S18" s="13" t="str">
        <x:f>IF(G18="Done","Done",IF(I18="",IF(F18="P1","Deferred P1","End TBD"),IF(I18&lt;'Executive Summary'!$B$4,"Overdue",IF(H18&gt;'Executive Summary'!$B$4,"Upcoming","Active window"))))</x:f>
        <x:v>Upcoming</x:v>
      </x:c>
    </x:row>
    <x:row r="19" ht="44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46276</x:v>
      </x:c>
      <x:c r="I19" s="19" t="n">
        <x:v>46286</x:v>
      </x:c>
      <x:c r="J19" s="61" t="n">
        <x:f>IF(OR(H19="",I19=""),"",I19-H19+1)</x:f>
        <x:v>11</x:v>
      </x:c>
      <x:c r="K19" s="61" t="n">
        <x:f>IF(OR(H19="",I19=""),"",NETWORKDAYS(H19,I19,'Sources &amp; Change Log'!$J$2:$J$5)-COUNTIFS('Team Calendar'!$A$5:$A$12,L19,'Team Calendar'!$C$5:$C$12,"&gt;="&amp;H19,'Team Calendar'!$C$5:$C$12,"&lt;="&amp;I19,'Team Calendar'!$F$5:$F$12,"Personal absence"))</x:f>
        <x:v>3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3" t="str">
        <x:v>pg_dump Backup, 승인된 초기화/격리 환경 Restore, Row/Rule 결과 정합성 및 Restore 후 Final E2E PASS와 Runbook 확보</x:v>
      </x:c>
      <x:c r="Q19" s="13" t="str">
        <x:v>09-11 복구 절차·격리 대상 준비, 실제 Restore 및 후속 E2E는 09-21 오후 전용 창에서 수행한다. 실제 상태·완료 판정은 유지한다. 세부 배정: Fast Track Plan 시트.</x:v>
      </x:c>
      <x:c r="R19" s="13" t="str">
        <x:v>Baseline v3.1.18; Ticket Pack v3.1.18; GitHub #21 snapshot 2026-09-10T04:02:43Z; Fast Tracking 일정 권장안 2026-09-10 / 사용자 재편성 요청</x:v>
      </x:c>
      <x:c r="S19" s="13" t="str">
        <x:f>IF(G19="Done","Done",IF(I19="",IF(F19="P1","Deferred P1","End TBD"),IF(I19&lt;'Executive Summary'!$B$4,"Overdue",IF(H19&gt;'Executive Summary'!$B$4,"Upcoming","Active window"))))</x:f>
        <x:v>Upcoming</x:v>
      </x:c>
    </x:row>
    <x:row r="20" ht="44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To Do</x:v>
      </x:c>
      <x:c r="H20" s="19" t="n">
        <x:v>46276</x:v>
      </x:c>
      <x:c r="I20" s="19" t="n">
        <x:v>46286</x:v>
      </x:c>
      <x:c r="J20" s="61" t="n">
        <x:f>IF(OR(H20="",I20=""),"",I20-H20+1)</x:f>
        <x:v>11</x:v>
      </x:c>
      <x:c r="K20" s="61" t="n">
        <x:f>IF(OR(H20="",I20=""),"",NETWORKDAYS(H20,I20,'Sources &amp; Change Log'!$J$2:$J$5)-COUNTIFS('Team Calendar'!$A$5:$A$12,L20,'Team Calendar'!$C$5:$C$12,"&gt;="&amp;H20,'Team Calendar'!$C$5:$C$12,"&lt;="&amp;I20,'Team Calendar'!$F$5:$F$12,"Personal absence"))</x:f>
        <x:v>3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3" t="str">
        <x:v>FDS Replica 3개 Worker 분산, Worker Drain 중 승인된 서비스 지속 기준 충족, 복구·Uncordon 및 E2E Evidence 확보</x:v>
      </x:c>
      <x:c r="Q20" s="13" t="str">
        <x:v>09-11 Drain 케이스 준비, 3Worker 및 서비스 분산 확인 후 09-21 오전 전용 창에서 수행한다. 실제 상태·완료 판정은 유지한다. 세부 배정: Fast Track Plan 시트.</x:v>
      </x:c>
      <x:c r="R20" s="13" t="str">
        <x:v>Baseline v3.1.18; Ticket Pack v3.1.18; GitHub #22 snapshot 2026-09-10T04:08:14Z; Fast Tracking 일정 권장안 2026-09-10 / 사용자 재편성 요청</x:v>
      </x:c>
      <x:c r="S20" s="13" t="str">
        <x:f>IF(G20="Done","Done",IF(I20="",IF(F20="P1","Deferred P1","End TBD"),IF(I20&lt;'Executive Summary'!$B$4,"Overdue",IF(H20&gt;'Executive Summary'!$B$4,"Upcoming","Active window"))))</x:f>
        <x:v>Upcoming</x:v>
      </x:c>
    </x:row>
    <x:row r="21" ht="44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" t="n">
        <x:v>46286</x:v>
      </x:c>
      <x:c r="I21" s="19" t="n">
        <x:v>46286</x:v>
      </x:c>
      <x:c r="J21" s="61" t="n">
        <x:f>IF(OR(H21="",I21=""),"",I21-H21+1)</x:f>
        <x:v>1</x:v>
      </x:c>
      <x:c r="K21" s="61" t="n">
        <x:f>IF(OR(H21="",I21=""),"",NETWORKDAYS(H21,I21,'Sources &amp; Change Log'!$J$2:$J$5)-COUNTIFS('Team Calendar'!$A$5:$A$12,L21,'Team Calendar'!$C$5:$C$12,"&gt;="&amp;H21,'Team Calendar'!$C$5:$C$12,"&lt;="&amp;I21,'Team Calendar'!$F$5:$F$12,"Personal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3" t="str">
        <x:v>2-Service MSA, DB 저장, Security P0, CI/CD, Monitoring, Initial E2E/Negative Test/Worker Drain 준비도를 승인</x:v>
      </x:c>
      <x:c r="Q21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Baseline v3.1.18; Ticket Pack v3.1.18; GitHub #23 snapshot 2026-09-09T12:03:10Z; Fast Tracking 일정 권장안 2026-09-10 / 사용자 재편성 요청</x:v>
      </x:c>
      <x:c r="S21" s="13" t="str">
        <x:f>IF(G21="Done","Done",IF(I21="",IF(F21="P1","Deferred P1","End TBD"),IF(I21&lt;'Executive Summary'!$B$4,"Overdue",IF(H21&gt;'Executive Summary'!$B$4,"Upcoming","Active window"))))</x:f>
        <x:v>Upcoming</x:v>
      </x:c>
    </x:row>
    <x:row r="22" ht="44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" t="n">
        <x:v>46276</x:v>
      </x:c>
      <x:c r="I22" s="19" t="n">
        <x:v>46287</x:v>
      </x:c>
      <x:c r="J22" s="61" t="n">
        <x:f>IF(OR(H22="",I22=""),"",I22-H22+1)</x:f>
        <x:v>12</x:v>
      </x:c>
      <x:c r="K22" s="61" t="n">
        <x:f>IF(OR(H22="",I22=""),"",NETWORKDAYS(H22,I22,'Sources &amp; Change Log'!$J$2:$J$5)-COUNTIFS('Team Calendar'!$A$5:$A$12,L22,'Team Calendar'!$C$5:$C$12,"&gt;="&amp;H22,'Team Calendar'!$C$5:$C$12,"&lt;="&amp;I22,'Team Calendar'!$F$5:$F$12,"Personal absence"))</x:f>
        <x:v>8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3" t="str">
        <x:v>As-built Architecture, Test/Evidence Index, 구축·운영·복구 Runbook, P1 미완료 Known Issue의 풀네임 Owner·Due, Version/Source 및 Review 재현성 승인</x:v>
      </x:c>
      <x:c r="Q22" s="13" t="str">
        <x:v>구축 시 증적·Runbook을 병행 축적하고 09-22 오전 Final Evidence와 함께 동결한다. 실제 상태·완료 판정은 유지한다. 세부 배정: Fast Track Plan 시트.</x:v>
      </x:c>
      <x:c r="R22" s="13" t="str">
        <x:v>Baseline v3.1.18; Ticket Pack v3.1.18; GitHub #24 snapshot 2026-09-10T02:09:36Z; Fast Tracking 일정 권장안 2026-09-10 / 사용자 재편성 요청</x:v>
      </x:c>
      <x:c r="S22" s="13" t="str">
        <x:f>IF(G22="Done","Done",IF(I22="",IF(F22="P1","Deferred P1","End TBD"),IF(I22&lt;'Executive Summary'!$B$4,"Overdue",IF(H22&gt;'Executive Summary'!$B$4,"Upcoming","Active window"))))</x:f>
        <x:v>Upcoming</x:v>
      </x:c>
    </x:row>
    <x:row r="23" ht="44" customHeight="1">
      <x:c r="A23" s="13" t="str">
        <x:v>P1-MON-02</x:v>
      </x:c>
      <x:c r="B23" s="13" t="str">
        <x:v>Dashboard / Alert / HA / Retention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"/>
      <x:c r="I23" s="19"/>
      <x:c r="J23" s="61" t="str">
        <x:f>IF(OR(H23="",I23=""),"",I23-H23+1)</x:f>
      </x:c>
      <x:c r="K23" s="61" t="str">
        <x:f>IF(OR(H23="",I23=""),"",NETWORKDAYS(H23,I23,'Sources &amp; Change Log'!$J$2:$J$5)-COUNTIFS('Team Calendar'!$A$5:$A$12,L23,'Team Calendar'!$C$5:$C$12,"&gt;="&amp;H23,'Team Calendar'!$C$5:$C$12,"&lt;="&amp;I23,'Team Calendar'!$F$5:$F$12,"Personal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3" t="str">
        <x:v>Prometheus 2 Replica·Alertmanager 3 Replica, PDB/TopologySpread, Dashboard/Alert·장기보존 고도화와 장애·복구·P0 회귀 Evidence 및 Review</x:v>
      </x:c>
      <x:c r="Q23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3" s="13" t="str">
        <x:v>Baseline v3.1.18; Ticket Pack v3.1.18; GitHub #25 snapshot 2026-09-10T04:08:35Z; Fast Tracking 일정 권장안 2026-09-10 / 사용자 재편성 요청</x:v>
      </x:c>
      <x:c r="S23" s="13" t="str">
        <x:f>IF(G23="Done","Done",IF(I23="",IF(F23="P1","Deferred P1","End TBD"),IF(I23&lt;'Executive Summary'!$B$4,"Overdue",IF(H23&gt;'Executive Summary'!$B$4,"Upcoming","Active window"))))</x:f>
        <x:v>Deferred P1</x:v>
      </x:c>
    </x:row>
    <x:row r="24" ht="44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"/>
      <x:c r="I24" s="19"/>
      <x:c r="J24" s="61" t="str">
        <x:f>IF(OR(H24="",I24=""),"",I24-H24+1)</x:f>
      </x:c>
      <x:c r="K24" s="61" t="str">
        <x:f>IF(OR(H24="",I24=""),"",NETWORKDAYS(H24,I24,'Sources &amp; Change Log'!$J$2:$J$5)-COUNTIFS('Team Calendar'!$A$5:$A$12,L24,'Team Calendar'!$C$5:$C$12,"&gt;="&amp;H24,'Team Calendar'!$C$5:$C$12,"&lt;="&amp;I24,'Team Calendar'!$F$5:$F$12,"Personal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3" t="str">
        <x:v>Harbor Backup/Restore와 etcd Snapshot/Restore를 격리 대상에서 수행하고 무결성·복구·Runbook Evidence 확보</x:v>
      </x:c>
      <x:c r="Q24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4" s="13" t="str">
        <x:v>Baseline v3.1.18; Ticket Pack v3.1.18; GitHub #26 snapshot 2026-09-10T02:09:39Z; Fast Tracking 일정 권장안 2026-09-10 / 사용자 재편성 요청</x:v>
      </x:c>
      <x:c r="S24" s="13" t="str">
        <x:f>IF(G24="Done","Done",IF(I24="",IF(F24="P1","Deferred P1","End TBD"),IF(I24&lt;'Executive Summary'!$B$4,"Overdue",IF(H24&gt;'Executive Summary'!$B$4,"Upcoming","Active window"))))</x:f>
        <x:v>Deferred P1</x:v>
      </x:c>
    </x:row>
    <x:row r="25" ht="44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"/>
      <x:c r="I25" s="19"/>
      <x:c r="J25" s="61" t="str">
        <x:f>IF(OR(H25="",I25=""),"",I25-H25+1)</x:f>
      </x:c>
      <x:c r="K25" s="61" t="str">
        <x:f>IF(OR(H25="",I25=""),"",NETWORKDAYS(H25,I25,'Sources &amp; Change Log'!$J$2:$J$5)-COUNTIFS('Team Calendar'!$A$5:$A$12,L25,'Team Calendar'!$C$5:$C$12,"&gt;="&amp;H25,'Team Calendar'!$C$5:$C$12,"&lt;="&amp;I25,'Team Calendar'!$F$5:$F$12,"Personal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3" t="str">
        <x:v>Rolling Update, Control Plane 1대 장애, PDB 및 TopologySpreadConstraint 검증 결과와 복구 Evidence 확보</x:v>
      </x:c>
      <x:c r="Q25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5" s="13" t="str">
        <x:v>Baseline v3.1.18; Ticket Pack v3.1.18; GitHub #27 snapshot 2026-09-10T02:09:41Z; Fast Tracking 일정 권장안 2026-09-10 / 사용자 재편성 요청</x:v>
      </x:c>
      <x:c r="S25" s="13" t="str">
        <x:f>IF(G25="Done","Done",IF(I25="",IF(F25="P1","Deferred P1","End TBD"),IF(I25&lt;'Executive Summary'!$B$4,"Overdue",IF(H25&gt;'Executive Summary'!$B$4,"Upcoming","Active window"))))</x:f>
        <x:v>Deferred P1</x:v>
      </x:c>
    </x:row>
    <x:row r="26" ht="44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To Do</x:v>
      </x:c>
      <x:c r="H26" s="19" t="n">
        <x:v>46276</x:v>
      </x:c>
      <x:c r="I26" s="19" t="n">
        <x:v>46276</x:v>
      </x:c>
      <x:c r="J26" s="61" t="n">
        <x:f>IF(OR(H26="",I26=""),"",I26-H26+1)</x:f>
        <x:v>1</x:v>
      </x:c>
      <x:c r="K26" s="61" t="n">
        <x:f>IF(OR(H26="",I26=""),"",NETWORKDAYS(H26,I26,'Sources &amp; Change Log'!$J$2:$J$5)-COUNTIFS('Team Calendar'!$A$5:$A$12,L26,'Team Calendar'!$C$5:$C$12,"&gt;="&amp;H26,'Team Calendar'!$C$5:$C$12,"&lt;="&amp;I26,'Team Calendar'!$F$5:$F$12,"Personal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3" t="str">
        <x:v>09-20 일요일 Review 유지 또는 영업일 재배치, 참석자·승인권자·시간·대체일을 확정하고 WBS/Calendar 동기화</x:v>
      </x:c>
      <x:c r="Q2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R26" s="13" t="str">
        <x:v>Baseline v3.1.18; Ticket Pack v3.1.18; GitHub #28 snapshot 2026-09-09T12:04:41Z; Fast Tracking 일정 권장안 2026-09-10 / 사용자 재편성 요청</x:v>
      </x:c>
      <x:c r="S26" s="13" t="str">
        <x:f>IF(G26="Done","Done",IF(I26="",IF(F26="P1","Deferred P1","End TBD"),IF(I26&lt;'Executive Summary'!$B$4,"Overdue",IF(H26&gt;'Executive Summary'!$B$4,"Upcoming","Active window"))))</x:f>
        <x:v>Upcoming</x:v>
      </x:c>
    </x:row>
    <x:row r="27" ht="44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" t="n">
        <x:v>46287</x:v>
      </x:c>
      <x:c r="I27" s="19" t="n">
        <x:v>46287</x:v>
      </x:c>
      <x:c r="J27" s="61" t="n">
        <x:f>IF(OR(H27="",I27=""),"",I27-H27+1)</x:f>
        <x:v>1</x:v>
      </x:c>
      <x:c r="K27" s="61" t="n">
        <x:f>IF(OR(H27="",I27=""),"",NETWORKDAYS(H27,I27,'Sources &amp; Change Log'!$J$2:$J$5)-COUNTIFS('Team Calendar'!$A$5:$A$12,L27,'Team Calendar'!$C$5:$C$12,"&gt;="&amp;H27,'Team Calendar'!$C$5:$C$12,"&lt;="&amp;I27,'Team Calendar'!$F$5:$F$12,"Personal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3" t="str">
        <x:v>Final E2E/Regression, Worker Drain, PostgreSQL Restore, Critical Issue 0, Architecture/Test/Runbook 준비도를 승인</x:v>
      </x:c>
      <x:c r="Q27" s="13" t="str">
        <x:v>09-22 오전 최종 회귀·Drain·Restore 증적·Critical Issue 0과 산출물 동결이 모두 충족될 때 인수한다. 실제 상태·완료 판정은 유지한다. 세부 배정: Fast Track Plan 시트.</x:v>
      </x:c>
      <x:c r="R27" s="13" t="str">
        <x:v>Baseline v3.1.18; Ticket Pack v3.1.18; GitHub #29 snapshot 2026-09-09T12:04:58Z; Fast Tracking 일정 권장안 2026-09-10 / 사용자 재편성 요청</x:v>
      </x:c>
      <x:c r="S27" s="13" t="str">
        <x:f>IF(G27="Done","Done",IF(I27="",IF(F27="P1","Deferred P1","End TBD"),IF(I27&lt;'Executive Summary'!$B$4,"Overdue",IF(H27&gt;'Executive Summary'!$B$4,"Upcoming","Active window"))))</x:f>
        <x:v>Upcoming</x:v>
      </x:c>
    </x:row>
    <x:row r="28" ht="44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" t="n">
        <x:v>46287</x:v>
      </x:c>
      <x:c r="I28" s="19" t="n">
        <x:v>46288</x:v>
      </x:c>
      <x:c r="J28" s="61" t="n">
        <x:f>IF(OR(H28="",I28=""),"",I28-H28+1)</x:f>
        <x:v>2</x:v>
      </x:c>
      <x:c r="K28" s="61" t="n">
        <x:f>IF(OR(H28="",I28=""),"",NETWORKDAYS(H28,I28,'Sources &amp; Change Log'!$J$2:$J$5)-COUNTIFS('Team Calendar'!$A$5:$A$12,L28,'Team Calendar'!$C$5:$C$12,"&gt;="&amp;H28,'Team Calendar'!$C$5:$C$12,"&lt;="&amp;I28,'Team Calendar'!$F$5:$F$12,"Personal absence"))</x:f>
        <x:v>2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3" t="str">
        <x:v>G3 결과, Demo, P0 Evidence, Known Issue, P1 이관, Review Action을 승인하고 Phase 1 Close Sign-off 확보</x:v>
      </x:c>
      <x:c r="Q28" s="13" t="str">
        <x:v>09-22 오후 Review, 09-23 오전 보완·재시험, 오후 Close를 권장한다. 실제 상태·완료 판정은 유지한다. 세부 배정: Fast Track Plan 시트.</x:v>
      </x:c>
      <x:c r="R28" s="13" t="str">
        <x:v>Baseline v3.1.18; Ticket Pack v3.1.18; GitHub #30 snapshot 2026-09-10T04:08:08Z; Fast Tracking 일정 권장안 2026-09-10 / 사용자 재편성 요청</x:v>
      </x:c>
      <x:c r="S28" s="13" t="str">
        <x:f>IF(G28="Done","Done",IF(I28="",IF(F28="P1","Deferred P1","End TBD"),IF(I28&lt;'Executive Summary'!$B$4,"Overdue",IF(H28&gt;'Executive Summary'!$B$4,"Upcoming","Active window"))))</x:f>
        <x:v>Upcoming</x:v>
      </x:c>
    </x:row>
    <x:row r="29" ht="44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46287</x:v>
      </x:c>
      <x:c r="I29" s="19" t="n">
        <x:v>46287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Calendar'!$A$5:$A$12,L29,'Team Calendar'!$C$5:$C$12,"&gt;="&amp;H29,'Team Calendar'!$C$5:$C$12,"&lt;="&amp;I29,'Team Calendar'!$F$5:$F$12,"Personal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승인된 일정에 Demo/산출물/G3/Known Issue Review를 수행하고 Action 및 승인결과를 기록</x:v>
      </x:c>
      <x:c r="Q29" s="13" t="str">
        <x:v>기존 09-20 일요일 대신 09-22 화요일 오후. G3 통과와 참석자 확정이 필요하다. 실제 상태·완료 판정은 유지한다. 세부 배정: Fast Track Plan 시트.</x:v>
      </x:c>
      <x:c r="R29" s="13" t="str">
        <x:v>Baseline v3.1.18; Ticket Pack v3.1.18; GitHub #31 snapshot 2026-09-09T12:05:57Z; Fast Tracking 일정 권장안 2026-09-10 / 사용자 재편성 요청</x:v>
      </x:c>
      <x:c r="S29" s="13" t="str">
        <x:f>IF(G29="Done","Done",IF(I29="",IF(F29="P1","Deferred P1","End TBD"),IF(I29&lt;'Executive Summary'!$B$4,"Overdue",IF(H29&gt;'Executive Summary'!$B$4,"Upcoming","Active window"))))</x:f>
        <x:v>Upcoming</x:v>
      </x:c>
    </x:row>
    <x:row r="30" ht="44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46288</x:v>
      </x:c>
      <x:c r="I30" s="19" t="n">
        <x:v>46288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Calendar'!$A$5:$A$12,L30,'Team Calendar'!$C$5:$C$12,"&gt;="&amp;H30,'Team Calendar'!$C$5:$C$12,"&lt;="&amp;I30,'Team Calendar'!$F$5:$F$12,"Personal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3" t="str">
        <x:v>Review Action 처리, P0 승인, P1/Known Issue Owner·Due 이관 및 Phase 1 Close Sign-off 확보</x:v>
      </x:c>
      <x:c r="Q30" s="13" t="str">
        <x:v>09-24~09-25 비근무 전에 종결한다.</x:v>
      </x:c>
      <x:c r="R30" s="13" t="str">
        <x:v>Baseline v3.1.18; Ticket Pack v3.1.18; GitHub #32 snapshot 2026-09-09T12:06:14Z</x:v>
      </x:c>
      <x:c r="S30" s="13" t="str">
        <x:f>IF(G30="Done","Done",IF(I30="","End TBD",IF(I30&lt;'Executive Summary'!$B$4,"Overdue",IF(H30&gt;'Executive Summary'!$B$4,"Upcoming","Active window"))))</x:f>
        <x:v>Upcoming</x:v>
      </x:c>
    </x:row>
    <x:row r="31" ht="44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Calendar'!$A$5:$A$12,L31,'Team Calendar'!$C$5:$C$12,"&gt;="&amp;H31,'Team Calendar'!$C$5:$C$12,"&lt;="&amp;I31,'Team Calendar'!$F$5:$F$12,"Personal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3" t="str">
        <x:v>Phase 1 Close, Phase 2 계정·권한·일정·P0 범위·OCI Go/No-Go 계획을 확인하고 착수 승인</x:v>
      </x:c>
      <x:c r="Q31" s="13" t="str">
        <x:v>09-24~09-25 비근무 후 첫 작업일에 착수한다.</x:v>
      </x:c>
      <x:c r="R31" s="13" t="str">
        <x:v>Baseline v3.1.18; Ticket Pack v3.1.18; GitHub #33 snapshot 2026-09-09T12:06:31Z</x:v>
      </x:c>
      <x:c r="S31" s="13" t="str">
        <x:f>IF(G31="Done","Done",IF(I31="","End TBD",IF(I31&lt;'Executive Summary'!$B$4,"Overdue",IF(H31&gt;'Executive Summary'!$B$4,"Upcoming","Active window"))))</x:f>
        <x:v>Upcoming</x:v>
      </x:c>
    </x:row>
    <x:row r="32" ht="44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46293</x:v>
      </x:c>
      <x:c r="J32" s="61" t="n">
        <x:f>IF(OR(H32="",I32=""),"",I32-H32+1)</x:f>
        <x:v>1</x:v>
      </x:c>
      <x:c r="K32" s="61" t="n">
        <x:f>IF(OR(H32="",I32=""),"",NETWORKDAYS(H32,I32,'Sources &amp; Change Log'!$J$2:$J$5)-COUNTIFS('Team Calendar'!$A$5:$A$12,L32,'Team Calendar'!$C$5:$C$12,"&gt;="&amp;H32,'Team Calendar'!$C$5:$C$12,"&lt;="&amp;I32,'Team Calendar'!$F$5:$F$12,"Personal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3" t="str">
        <x:v>OCI Relay·AWS VPC/VPN·ROSA·On-Prem 연계 Architecture, Interface IF-17~IF-20, Security, Decision, Exit Criteria Freeze 승인</x:v>
      </x:c>
      <x:c r="Q32" s="13" t="str">
        <x:v>MS-P2-START-01 직후 완료하며 Phase 2 모든 구현 티켓이 참조하는 Phase 2 OCI/AWS/ROSA Design의 권위 Source를 생성한다.</x:v>
      </x:c>
      <x:c r="R32" s="13" t="str">
        <x:v>Baseline v3.1.18; Ticket Pack v3.1.18; GitHub #34 snapshot 2026-09-10T02:09:45Z</x:v>
      </x:c>
      <x:c r="S32" s="13" t="str">
        <x:f>IF(G32="Done","Done",IF(I32="","End TBD",IF(I32&lt;'Executive Summary'!$B$4,"Overdue",IF(H32&gt;'Executive Summary'!$B$4,"Upcoming","Active window"))))</x:f>
        <x:v>Upcoming</x:v>
      </x:c>
    </x:row>
    <x:row r="33" ht="44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46303</x:v>
      </x:c>
      <x:c r="J33" s="61" t="n">
        <x:f>IF(OR(H33="",I33=""),"",I33-H33+1)</x:f>
        <x:v>11</x:v>
      </x:c>
      <x:c r="K33" s="61" t="n">
        <x:f>IF(OR(H33="",I33=""),"",NETWORKDAYS(H33,I33,'Sources &amp; Change Log'!$J$2:$J$5)-COUNTIFS('Team Calendar'!$A$5:$A$12,L33,'Team Calendar'!$C$5:$C$12,"&gt;="&amp;H33,'Team Calendar'!$C$5:$C$12,"&lt;="&amp;I33,'Team Calendar'!$F$5:$F$12,"Personal absence"))</x:f>
        <x:v>8</x:v>
      </x:c>
      <x:c r="L33" s="13" t="str">
        <x:v>이권욱</x:v>
      </x:c>
      <x:c r="M33" s="13" t="str">
        <x:v>이하영</x:v>
      </x:c>
      <x:c r="N33" s="13" t="str">
        <x:v>D10; D21; D25</x:v>
      </x:c>
      <x:c r="O33" s="13" t="str">
        <x:v>RISK-10; RISK-11; RISK-12</x:v>
      </x:c>
      <x:c r="P33" s="13" t="str">
        <x:v>AWS VPC 10.20.0.0/16, ROSA 선행 인프라와 IAM/OIDC 최소권한의 Terraform fmt/validate/plan/apply, State·Secret 통제 및 G4 Evidence 확보</x:v>
      </x:c>
      <x:c r="Q33" s="13" t="str">
        <x:v>10-05는 비근무일이다. OCI Go/No-Go 결과에 따라 VPN 입력과 경로를 갱신한다.</x:v>
      </x:c>
      <x:c r="R33" s="13" t="str">
        <x:v>Baseline v3.1.18; Ticket Pack v3.1.18; GitHub #35 snapshot 2026-09-10T02:09:47Z</x:v>
      </x:c>
      <x:c r="S33" s="13" t="str">
        <x:f>IF(G33="Done","Done",IF(I33="","End TBD",IF(I33&lt;'Executive Summary'!$B$4,"Overdue",IF(H33&gt;'Executive Summary'!$B$4,"Upcoming","Active window"))))</x:f>
        <x:v>Upcoming</x:v>
      </x:c>
    </x:row>
    <x:row r="34" ht="44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" t="n">
        <x:v>46293</x:v>
      </x:c>
      <x:c r="I34" s="19" t="n">
        <x:v>46297</x:v>
      </x:c>
      <x:c r="J34" s="61" t="n">
        <x:f>IF(OR(H34="",I34=""),"",I34-H34+1)</x:f>
        <x:v>5</x:v>
      </x:c>
      <x:c r="K34" s="61" t="n">
        <x:f>IF(OR(H34="",I34=""),"",NETWORKDAYS(H34,I34,'Sources &amp; Change Log'!$J$2:$J$5)-COUNTIFS('Team Calendar'!$A$5:$A$12,L34,'Team Calendar'!$C$5:$C$12,"&gt;="&amp;H34,'Team Calendar'!$C$5:$C$12,"&lt;="&amp;I34,'Team Calendar'!$F$5:$F$12,"Personal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3" t="str">
        <x:v>OCI Relay 가능성·권한·Public Endpoint·IPsec/NAT-T·Route를 검증하고 Primary 또는 승인 Fallback 경로를 선택</x:v>
      </x:c>
      <x:c r="Q34" s="13" t="str">
        <x:v>10-02 Go/No-Go를 넘기지 않는다. No-Go 시 Vendor Endpoint→AWS EC2+EIP Relay→Overlay 순으로 승인된 Fallback을 선택한다.</x:v>
      </x:c>
      <x:c r="R34" s="13" t="str">
        <x:v>Baseline v3.1.18; Ticket Pack v3.1.18; GitHub #36 snapshot 2026-09-09T12:07:26Z</x:v>
      </x:c>
      <x:c r="S34" s="13" t="str">
        <x:f>IF(G34="Done","Done",IF(I34="","End TBD",IF(I34&lt;'Executive Summary'!$B$4,"Overdue",IF(H34&gt;'Executive Summary'!$B$4,"Upcoming","Active window"))))</x:f>
        <x:v>Upcoming</x:v>
      </x:c>
    </x:row>
    <x:row r="35" ht="44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46296</x:v>
      </x:c>
      <x:c r="I35" s="19" t="n">
        <x:v>46303</x:v>
      </x:c>
      <x:c r="J35" s="61" t="n">
        <x:f>IF(OR(H35="",I35=""),"",I35-H35+1)</x:f>
        <x:v>8</x:v>
      </x:c>
      <x:c r="K35" s="61" t="n">
        <x:f>IF(OR(H35="",I35=""),"",NETWORKDAYS(H35,I35,'Sources &amp; Change Log'!$J$2:$J$5)-COUNTIFS('Team Calendar'!$A$5:$A$12,L35,'Team Calendar'!$C$5:$C$12,"&gt;="&amp;H35,'Team Calendar'!$C$5:$C$12,"&lt;="&amp;I35,'Team Calendar'!$F$5:$F$12,"Personal absence"))</x:f>
        <x:v>5</x:v>
      </x:c>
      <x:c r="L35" s="13" t="str">
        <x:v>이권욱</x:v>
      </x:c>
      <x:c r="M35" s="13" t="str">
        <x:v>이하영</x:v>
      </x:c>
      <x:c r="N35" s="13" t="str">
        <x:v>D10; D21</x:v>
      </x:c>
      <x:c r="O35" s="13" t="str">
        <x:v>RISK-04; RISK-10; RISK-12</x:v>
      </x:c>
      <x:c r="P35" s="13" t="str">
        <x:v>승인 Transit 경로의 Tunnel UP, On-Prem↔VPC Route, UDP 500/4500/IPsec, Source·승인 TCP Path 및 장애 Evidence 확보</x:v>
      </x:c>
      <x:c r="Q35" s="13" t="str">
        <x:v>10-05는 비근무일이다. OCI No-Go 시 D21에서 승인된 Fallback만 사용한다.</x:v>
      </x:c>
      <x:c r="R35" s="13" t="str">
        <x:v>Baseline v3.1.18; Ticket Pack v3.1.18; GitHub #37 snapshot 2026-09-10T02:09:49Z</x:v>
      </x:c>
      <x:c r="S35" s="13" t="str">
        <x:f>IF(G35="Done","Done",IF(I35="","End TBD",IF(I35&lt;'Executive Summary'!$B$4,"Overdue",IF(H35&gt;'Executive Summary'!$B$4,"Upcoming","Active window"))))</x:f>
        <x:v>Upcoming</x:v>
      </x:c>
    </x:row>
    <x:row r="36" ht="44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" t="n">
        <x:v>46301</x:v>
      </x:c>
      <x:c r="I36" s="19" t="n">
        <x:v>46311</x:v>
      </x:c>
      <x:c r="J36" s="61" t="n">
        <x:f>IF(OR(H36="",I36=""),"",I36-H36+1)</x:f>
        <x:v>11</x:v>
      </x:c>
      <x:c r="K36" s="61" t="n">
        <x:f>IF(OR(H36="",I36=""),"",NETWORKDAYS(H36,I36,'Sources &amp; Change Log'!$J$2:$J$5)-COUNTIFS('Team Calendar'!$A$5:$A$12,L36,'Team Calendar'!$C$5:$C$12,"&gt;="&amp;H36,'Team Calendar'!$C$5:$C$12,"&lt;="&amp;I36,'Team Calendar'!$F$5:$F$12,"Personal absence"))</x:f>
        <x:v>8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3" t="str">
        <x:v>ROSA Cluster Ready, Namespace/RBAC/NetworkPolicy/SecurityContext, Hybrid Route 및 Application 배포 선행조건과 G5 Evidence 확보</x:v>
      </x:c>
      <x:c r="Q36" s="13" t="str">
        <x:v>10-09는 비근무일이다. 계정·Quota·리전 전제는 G4 이전에 확인하고 Cluster 범위를 최소화한다.</x:v>
      </x:c>
      <x:c r="R36" s="13" t="str">
        <x:v>Baseline v3.1.18; Ticket Pack v3.1.18; GitHub #38 snapshot 2026-09-10T02:09:51Z</x:v>
      </x:c>
      <x:c r="S36" s="13" t="str">
        <x:f>IF(G36="Done","Done",IF(I36="","End TBD",IF(I36&lt;'Executive Summary'!$B$4,"Overdue",IF(H36&gt;'Executive Summary'!$B$4,"Upcoming","Active window"))))</x:f>
        <x:v>Upcoming</x:v>
      </x:c>
    </x:row>
    <x:row r="37" ht="44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" t="n">
        <x:v>46303</x:v>
      </x:c>
      <x:c r="I37" s="19" t="n">
        <x:v>46303</x:v>
      </x:c>
      <x:c r="J37" s="61" t="n">
        <x:f>IF(OR(H37="",I37=""),"",I37-H37+1)</x:f>
        <x:v>1</x:v>
      </x:c>
      <x:c r="K37" s="61" t="n">
        <x:f>IF(OR(H37="",I37=""),"",NETWORKDAYS(H37,I37,'Sources &amp; Change Log'!$J$2:$J$5)-COUNTIFS('Team Calendar'!$A$5:$A$12,L37,'Team Calendar'!$C$5:$C$12,"&gt;="&amp;H37,'Team Calendar'!$C$5:$C$12,"&lt;="&amp;I37,'Team Calendar'!$F$5:$F$12,"Personal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3" t="str">
        <x:v>Terraform 인프라, 승인 Transit/VPN, Route/Security, ROSA 선행조건 및 승인 TCP 경로 준비도 승인</x:v>
      </x:c>
      <x:c r="Q37" s="13" t="str">
        <x:v>10-05 비근무를 반영한다. OCI No-Go 시 승인 Fallback 기준으로 판정한다.</x:v>
      </x:c>
      <x:c r="R37" s="13" t="str">
        <x:v>Baseline v3.1.18; Ticket Pack v3.1.18; GitHub #39 snapshot 2026-09-09T12:08:10Z</x:v>
      </x:c>
      <x:c r="S37" s="13" t="str">
        <x:f>IF(G37="Done","Done",IF(I37="","End TBD",IF(I37&lt;'Executive Summary'!$B$4,"Overdue",IF(H37&gt;'Executive Summary'!$B$4,"Upcoming","Active window"))))</x:f>
        <x:v>Upcoming</x:v>
      </x:c>
    </x:row>
    <x:row r="38" ht="44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Calendar'!$A$5:$A$12,L38,'Team Calendar'!$C$5:$C$12,"&gt;="&amp;H38,'Team Calendar'!$C$5:$C$12,"&lt;="&amp;I38,'Team Calendar'!$F$5:$F$12,"Personal absence"))</x:f>
        <x:v>5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3" t="str">
        <x:v>P0 IP Endpoint 유지 또는 Hybrid DNS P1 적용을 확정하고 Resolver/Forwarding/Zone/Route/테스트·Cancelled 결정 근거를 승인</x:v>
      </x:c>
      <x:c r="Q38" s="13" t="str">
        <x:v>Hybrid P0 E2E는 IP Endpoint를 허용하므로 본 P1 결정 미완료가 G5/G6를 자동 차단하지 않는다.</x:v>
      </x:c>
      <x:c r="R38" s="13" t="str">
        <x:v>Baseline v3.1.18; Ticket Pack v3.1.18; GitHub #40 snapshot 2026-09-09T12:08:24Z</x:v>
      </x:c>
      <x:c r="S38" s="13" t="str">
        <x:f>IF(G38="Done","Done",IF(I38="","End TBD",IF(I38&lt;'Executive Summary'!$B$4,"Overdue",IF(H38&gt;'Executive Summary'!$B$4,"Upcoming","Active window"))))</x:f>
        <x:v>Upcoming</x:v>
      </x:c>
    </x:row>
    <x:row r="39" ht="44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Calendar'!$A$5:$A$12,L39,'Team Calendar'!$C$5:$C$12,"&gt;="&amp;H39,'Team Calendar'!$C$5:$C$12,"&lt;="&amp;I39,'Team Calendar'!$F$5:$F$12,"Personal absence"))</x:f>
        <x:v>5</x:v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3" t="str">
        <x:v>ROSA Operator 공급망을 Direct Catalog 또는 oc-mirror/Harbor/Custom CatalogSource 중 하나로 결정하고 구현·N/A 기준 승인</x:v>
      </x:c>
      <x:c r="Q39" s="13" t="str">
        <x:v>D26에서 Direct Catalog 선택 시 P2-OP-01은 Cancelled 처리하고, Mirror 선택 시 P2-OP-01을 활성화한다.</x:v>
      </x:c>
      <x:c r="R39" s="13" t="str">
        <x:v>Baseline v3.1.18; Ticket Pack v3.1.18; GitHub #41 snapshot 2026-09-09T12:08:39Z</x:v>
      </x:c>
      <x:c r="S39" s="13" t="str">
        <x:f>IF(G39="Done","Done",IF(I39="","End TBD",IF(I39&lt;'Executive Summary'!$B$4,"Overdue",IF(H39&gt;'Executive Summary'!$B$4,"Upcoming","Active window"))))</x:f>
        <x:v>Upcoming</x:v>
      </x:c>
    </x:row>
    <x:row r="40" ht="44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Calendar'!$A$5:$A$12,L40,'Team Calendar'!$C$5:$C$12,"&gt;="&amp;H40,'Team Calendar'!$C$5:$C$12,"&lt;="&amp;I40,'Team Calendar'!$F$5:$F$12,"Personal absence"))</x:f>
        <x:v>5</x:v>
      </x:c>
      <x:c r="L40" s="13" t="str">
        <x:v>이하영</x:v>
      </x:c>
      <x:c r="M40" s="13" t="str">
        <x:v>이권욱, 이재환</x:v>
      </x:c>
      <x:c r="N40" s="13" t="str">
        <x:v>D22</x:v>
      </x:c>
      <x:c r="O40" s="13" t="str">
        <x:v>RISK-06; RISK-10; RISK-11; RISK-12</x:v>
      </x:c>
      <x:c r="P40" s="13" t="str">
        <x:v>ROSA Image Source를 On-Prem Harbor 또는 승인 Cloud Registry로 확정하고 Route·TLS·Credential·비용·Fallback을 승인</x:v>
      </x:c>
      <x:c r="Q40" s="13" t="str">
        <x:v>기준선의 ROSA→Harbor는 Optional이다. P2-APP-01 최종 Image 경로 전 10-16까지 확정한다.</x:v>
      </x:c>
      <x:c r="R40" s="13" t="str">
        <x:v>Baseline v3.1.18; Ticket Pack v3.1.18; GitHub #42 snapshot 2026-09-09T12:08:53Z</x:v>
      </x:c>
      <x:c r="S40" s="13" t="str">
        <x:f>IF(G40="Done","Done",IF(I40="","End TBD",IF(I40&lt;'Executive Summary'!$B$4,"Overdue",IF(H40&gt;'Executive Summary'!$B$4,"Upcoming","Active window"))))</x:f>
        <x:v>Upcoming</x:v>
      </x:c>
    </x:row>
    <x:row r="41" ht="44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46307</x:v>
      </x:c>
      <x:c r="I41" s="19" t="n">
        <x:v>46311</x:v>
      </x:c>
      <x:c r="J41" s="61" t="n">
        <x:f>IF(OR(H41="",I41=""),"",I41-H41+1)</x:f>
        <x:v>5</x:v>
      </x:c>
      <x:c r="K41" s="61" t="n">
        <x:f>IF(OR(H41="",I41=""),"",NETWORKDAYS(H41,I41,'Sources &amp; Change Log'!$J$2:$J$5)-COUNTIFS('Team Calendar'!$A$5:$A$12,L41,'Team Calendar'!$C$5:$C$12,"&gt;="&amp;H41,'Team Calendar'!$C$5:$C$12,"&lt;="&amp;I41,'Team Calendar'!$F$5:$F$12,"Personal absence"))</x:f>
        <x:v>5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3" t="str">
        <x:v>Phase 1과 동일한 transaction-api/fds-engine Image/Contract를 ROSA에 배포하고 Route/Health/Rule 기본검증 PASS</x:v>
      </x:c>
      <x:c r="Q41" s="13" t="str">
        <x:v>Image Source는 D22 결정에 따르며 Harbor 사용을 사전 가정하지 않는다. Manifest/Image 계약은 P2-CICD-01의 Runner 기반 ROSA Delivery에 연결한다.</x:v>
      </x:c>
      <x:c r="R41" s="13" t="str">
        <x:v>Baseline v3.1.18; Ticket Pack v3.1.18; GitHub #43 snapshot 2026-09-10T02:09:53Z</x:v>
      </x:c>
      <x:c r="S41" s="13" t="str">
        <x:f>IF(G41="Done","Done",IF(I41="","End TBD",IF(I41&lt;'Executive Summary'!$B$4,"Overdue",IF(H41&gt;'Executive Summary'!$B$4,"Upcoming","Active window"))))</x:f>
        <x:v>Upcoming</x:v>
      </x:c>
    </x:row>
    <x:row r="42" ht="44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P0</x:v>
      </x:c>
      <x:c r="G42" s="13" t="str">
        <x:v>To Do</x:v>
      </x:c>
      <x:c r="H42" s="19" t="n">
        <x:v>46310</x:v>
      </x:c>
      <x:c r="I42" s="19" t="n">
        <x:v>46317</x:v>
      </x:c>
      <x:c r="J42" s="61" t="n">
        <x:f>IF(OR(H42="",I42=""),"",I42-H42+1)</x:f>
        <x:v>8</x:v>
      </x:c>
      <x:c r="K42" s="61" t="n">
        <x:f>IF(OR(H42="",I42=""),"",NETWORKDAYS(H42,I42,'Sources &amp; Change Log'!$J$2:$J$5)-COUNTIFS('Team Calendar'!$A$5:$A$12,L42,'Team Calendar'!$C$5:$C$12,"&gt;="&amp;H42,'Team Calendar'!$C$5:$C$12,"&lt;="&amp;I42,'Team Calendar'!$F$5:$F$12,"Personal absence"))</x:f>
        <x:v>6</x:v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3" t="str">
        <x:v>OADP→S3 443, Backup 대상·Credential·Schedule, Restore 또는 승인 복구검증과 Evidence 확보</x:v>
      </x:c>
      <x:c r="Q42" s="13" t="str">
        <x:v>Backup 생성만으로 DONE 처리하지 않고 Restore 또는 승인된 복구 검증이 필요하다.</x:v>
      </x:c>
      <x:c r="R42" s="13" t="str">
        <x:v>Baseline v3.1.18; Ticket Pack v3.1.18; GitHub #44 snapshot 2026-09-10T02:09:55Z</x:v>
      </x:c>
      <x:c r="S42" s="13" t="str">
        <x:f>IF(G42="Done","Done",IF(I42="","End TBD",IF(I42&lt;'Executive Summary'!$B$4,"Overdue",IF(H42&gt;'Executive Summary'!$B$4,"Upcoming","Active window"))))</x:f>
        <x:v>Upcoming</x:v>
      </x:c>
    </x:row>
    <x:row r="43" ht="44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46311</x:v>
      </x:c>
      <x:c r="J43" s="61" t="n">
        <x:f>IF(OR(H43="",I43=""),"",I43-H43+1)</x:f>
        <x:v>1</x:v>
      </x:c>
      <x:c r="K43" s="61" t="n">
        <x:f>IF(OR(H43="",I43=""),"",NETWORKDAYS(H43,I43,'Sources &amp; Change Log'!$J$2:$J$5)-COUNTIFS('Team Calendar'!$A$5:$A$12,L43,'Team Calendar'!$C$5:$C$12,"&gt;="&amp;H43,'Team Calendar'!$C$5:$C$12,"&lt;="&amp;I43,'Team Calendar'!$F$5:$F$12,"Personal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3" t="str">
        <x:v>ROSA Platform/Security, P2-CICD-01 Runner 기반 Delivery, transaction-api/fds-engine Health·Rule Smoke Test와 Registry/DNS/Operator Decision 상태 승인</x:v>
      </x:c>
      <x:c r="Q43" s="13" t="str">
        <x:v>Registry는 D22, Hybrid DNS는 D23을 따른다. D23 미적용은 P0 IP Endpoint 사용 시 Non-blocker다.</x:v>
      </x:c>
      <x:c r="R43" s="13" t="str">
        <x:v>Baseline v3.1.18; Ticket Pack v3.1.18; GitHub #45 snapshot 2026-09-09T12:09:48Z</x:v>
      </x:c>
      <x:c r="S43" s="13" t="str">
        <x:f>IF(G43="Done","Done",IF(I43="","End TBD",IF(I43&lt;'Executive Summary'!$B$4,"Overdue",IF(H43&gt;'Executive Summary'!$B$4,"Upcoming","Active window"))))</x:f>
        <x:v>Upcoming</x:v>
      </x:c>
    </x:row>
    <x:row r="44" ht="44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46314</x:v>
      </x:c>
      <x:c r="J44" s="61" t="n">
        <x:f>IF(OR(H44="",I44=""),"",I44-H44+1)</x:f>
        <x:v>4</x:v>
      </x:c>
      <x:c r="K44" s="61" t="n">
        <x:f>IF(OR(H44="",I44=""),"",NETWORKDAYS(H44,I44,'Sources &amp; Change Log'!$J$2:$J$5)-COUNTIFS('Team Calendar'!$A$5:$A$12,L44,'Team Calendar'!$C$5:$C$12,"&gt;="&amp;H44,'Team Calendar'!$C$5:$C$12,"&lt;="&amp;I44,'Team Calendar'!$F$5:$F$12,"Personal absence"))</x:f>
        <x:v>2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3" t="str">
        <x:v>GitHub→Self-hosted Runner→승인 Registry→ROSA Deploy→Health/Rule Smoke Test 흐름과 실패 시 배포차단 Evidence 확보</x:v>
      </x:c>
      <x:c r="Q44" s="13" t="str">
        <x:v>P2-ROSA-01과 P2-APP-01의 Manifest/Image 계약을 사용하고 Registry는 D22 결과를 따른다. G5 ROSA Application Ready에 연결한다.</x:v>
      </x:c>
      <x:c r="R44" s="13" t="str">
        <x:v>Baseline v3.1.18; Ticket Pack v3.1.18; GitHub #46 snapshot 2026-09-10T02:09:57Z</x:v>
      </x:c>
      <x:c r="S44" s="13" t="str">
        <x:f>IF(G44="Done","Done",IF(I44="","End TBD",IF(I44&lt;'Executive Summary'!$B$4,"Overdue",IF(H44&gt;'Executive Summary'!$B$4,"Upcoming","Active window"))))</x:f>
        <x:v>Upcoming</x:v>
      </x:c>
    </x:row>
    <x:row r="45" ht="44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" t="n">
        <x:v>46311</x:v>
      </x:c>
      <x:c r="I45" s="19" t="n">
        <x:v>46317</x:v>
      </x:c>
      <x:c r="J45" s="61" t="n">
        <x:f>IF(OR(H45="",I45=""),"",I45-H45+1)</x:f>
        <x:v>7</x:v>
      </x:c>
      <x:c r="K45" s="61" t="n">
        <x:f>IF(OR(H45="",I45=""),"",NETWORKDAYS(H45,I45,'Sources &amp; Change Log'!$J$2:$J$5)-COUNTIFS('Team Calendar'!$A$5:$A$12,L45,'Team Calendar'!$C$5:$C$12,"&gt;="&amp;H45,'Team Calendar'!$C$5:$C$12,"&lt;="&amp;I45,'Team Calendar'!$F$5:$F$12,"Personal absence"))</x:f>
        <x:v>5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3" t="str">
        <x:v>ROSA→On-Prem db01 .55:5432와 승인 Registry 경로의 Route·Security·Source·Application 통합 검증 PASS</x:v>
      </x:c>
      <x:c r="Q45" s="13" t="str">
        <x:v>Harbor는 D22에 따라 사용 또는 Cancelled 처리한다. Hybrid DNS는 D23에 따라 적용 또는 IP Endpoint로 검증한다.</x:v>
      </x:c>
      <x:c r="R45" s="13" t="str">
        <x:v>Baseline v3.1.18; Ticket Pack v3.1.18; GitHub #47 snapshot 2026-09-10T02:09:59Z</x:v>
      </x:c>
      <x:c r="S45" s="13" t="str">
        <x:f>IF(G45="Done","Done",IF(I45="","End TBD",IF(I45&lt;'Executive Summary'!$B$4,"Overdue",IF(H45&gt;'Executive Summary'!$B$4,"Upcoming","Active window"))))</x:f>
        <x:v>Upcoming</x:v>
      </x:c>
    </x:row>
    <x:row r="46" ht="44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" t="n">
        <x:v>46314</x:v>
      </x:c>
      <x:c r="I46" s="19" t="n">
        <x:v>46315</x:v>
      </x:c>
      <x:c r="J46" s="61" t="n">
        <x:f>IF(OR(H46="",I46=""),"",I46-H46+1)</x:f>
        <x:v>2</x:v>
      </x:c>
      <x:c r="K46" s="61" t="n">
        <x:f>IF(OR(H46="",I46=""),"",NETWORKDAYS(H46,I46,'Sources &amp; Change Log'!$J$2:$J$5)-COUNTIFS('Team Calendar'!$A$5:$A$12,L46,'Team Calendar'!$C$5:$C$12,"&gt;="&amp;H46,'Team Calendar'!$C$5:$C$12,"&lt;="&amp;I46,'Team Calendar'!$F$5:$F$12,"Personal absence"))</x:f>
        <x:v>2</x:v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3" t="str">
        <x:v>D23이 Hybrid DNS를 선택한 경우 Resolver/Conditional Forwarding/Route/Query Test PASS; IP Endpoint 유지 시 Cancelled 결정 근거 승인</x:v>
      </x:c>
      <x:c r="Q46" s="13" t="str">
        <x:v>DEC-P2-DNS-01 / D23 결정 결과가 미구현이면 Status=Cancelled와 결정 근거를 기록한다. 구현 시 Hybrid E2E IP Endpoint에 대한 영향을 검증한다.</x:v>
      </x:c>
      <x:c r="R46" s="13" t="str">
        <x:v>Baseline v3.1.18; Ticket Pack v3.1.18; GitHub #48 snapshot 2026-09-10T02:10:01Z</x:v>
      </x:c>
      <x:c r="S46" s="13" t="str">
        <x:f>IF(G46="Done","Done",IF(I46="","End TBD",IF(I46&lt;'Executive Summary'!$B$4,"Overdue",IF(H46&gt;'Executive Summary'!$B$4,"Upcoming","Active window"))))</x:f>
        <x:v>Upcoming</x:v>
      </x:c>
    </x:row>
    <x:row r="47" ht="44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46318</x:v>
      </x:c>
      <x:c r="J47" s="61" t="n">
        <x:f>IF(OR(H47="",I47=""),"",I47-H47+1)</x:f>
        <x:v>5</x:v>
      </x:c>
      <x:c r="K47" s="61" t="n">
        <x:f>IF(OR(H47="",I47=""),"",NETWORKDAYS(H47,I47,'Sources &amp; Change Log'!$J$2:$J$5)-COUNTIFS('Team Calendar'!$A$5:$A$12,L47,'Team Calendar'!$C$5:$C$12,"&gt;="&amp;H47,'Team Calendar'!$C$5:$C$12,"&lt;="&amp;I47,'Team Calendar'!$F$5:$F$12,"Personal absence"))</x:f>
        <x:v>5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3" t="str">
        <x:v>Terraform/ROSA/VPN/Hybrid Architecture, CI/CD, Test/Evidence, Backup/Recovery Runbook, D22/D23/D26 Decision, Known Issue 및 Deliverable Freeze 승인</x:v>
      </x:c>
      <x:c r="Q47" s="13" t="str">
        <x:v>10-23 Deliverable Freeze와 DEC-CAL-P2-01을 함께 완료한다.</x:v>
      </x:c>
      <x:c r="R47" s="13" t="str">
        <x:v>Baseline v3.1.18; Ticket Pack v3.1.18; GitHub #49 snapshot 2026-09-10T02:10:03Z</x:v>
      </x:c>
      <x:c r="S47" s="13" t="str">
        <x:f>IF(G47="Done","Done",IF(I47="","End TBD",IF(I47&lt;'Executive Summary'!$B$4,"Overdue",IF(H47&gt;'Executive Summary'!$B$4,"Upcoming","Active window"))))</x:f>
        <x:v>Upcoming</x:v>
      </x:c>
    </x:row>
    <x:row r="48" ht="44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" t="n">
        <x:v>46314</x:v>
      </x:c>
      <x:c r="I48" s="19" t="n">
        <x:v>46317</x:v>
      </x:c>
      <x:c r="J48" s="61" t="n">
        <x:f>IF(OR(H48="",I48=""),"",I48-H48+1)</x:f>
        <x:v>4</x:v>
      </x:c>
      <x:c r="K48" s="61" t="n">
        <x:f>IF(OR(H48="",I48=""),"",NETWORKDAYS(H48,I48,'Sources &amp; Change Log'!$J$2:$J$5)-COUNTIFS('Team Calendar'!$A$5:$A$12,L48,'Team Calendar'!$C$5:$C$12,"&gt;="&amp;H48,'Team Calendar'!$C$5:$C$12,"&lt;="&amp;I48,'Team Calendar'!$F$5:$F$12,"Personal absence"))</x:f>
        <x:v>4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3" t="str">
        <x:v>ROSA transaction-api→fds-engine→On-Prem PostgreSQL Hybrid E2E, Rule/Negative/Recovery Regression PASS와 Critical Issue 0</x:v>
      </x:c>
      <x:c r="Q48" s="13" t="str">
        <x:v>IP Endpoint와 Registry N/A 여부는 승인 Decision 결과를 Expected에 반영한다.</x:v>
      </x:c>
      <x:c r="R48" s="13" t="str">
        <x:v>Baseline v3.1.18; Ticket Pack v3.1.18; GitHub #50 snapshot 2026-09-10T02:10:05Z</x:v>
      </x:c>
      <x:c r="S48" s="13" t="str">
        <x:f>IF(G48="Done","Done",IF(I48="","End TBD",IF(I48&lt;'Executive Summary'!$B$4,"Overdue",IF(H48&gt;'Executive Summary'!$B$4,"Upcoming","Active window"))))</x:f>
        <x:v>Upcoming</x:v>
      </x:c>
    </x:row>
    <x:row r="49" ht="44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" t="n">
        <x:v>46314</x:v>
      </x:c>
      <x:c r="I49" s="19" t="n">
        <x:v>46315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Calendar'!$A$5:$A$12,L49,'Team Calendar'!$C$5:$C$12,"&gt;="&amp;H49,'Team Calendar'!$C$5:$C$12,"&lt;="&amp;I49,'Team Calendar'!$F$5:$F$12,"Personal absence"))</x:f>
        <x:v>2</x:v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3" t="str">
        <x:v>D26이 Mirror를 선택한 경우 oc-mirror ImageSet·Harbor Push·Custom CatalogSource·Package 조회 PASS; Direct Catalog 선택 시 Cancelled 결정 근거 승인</x:v>
      </x:c>
      <x:c r="Q49" s="13" t="str">
        <x:v>DEC-P2-OP-01 / D26에서 Direct Catalog를 선택하면 Status=Cancelled와 결정 근거를 기록한다. Mirror 선택 시 구현을 진행한다.</x:v>
      </x:c>
      <x:c r="R49" s="13" t="str">
        <x:v>Baseline v3.1.18; Ticket Pack v3.1.18; GitHub #51 snapshot 2026-09-10T02:10:07Z</x:v>
      </x:c>
      <x:c r="S49" s="13" t="str">
        <x:f>IF(G49="Done","Done",IF(I49="","End TBD",IF(I49&lt;'Executive Summary'!$B$4,"Overdue",IF(H49&gt;'Executive Summary'!$B$4,"Upcoming","Active window"))))</x:f>
        <x:v>Upcoming</x:v>
      </x:c>
    </x:row>
    <x:row r="50" ht="44" customHeight="1">
      <x:c r="A50" s="13" t="str">
        <x:v>DEC-CAL-P2-01</x:v>
      </x:c>
      <x:c r="B50" s="13" t="str">
        <x:v>Phase 2 Weekend Review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46317</x:v>
      </x:c>
      <x:c r="J50" s="61" t="n">
        <x:f>IF(OR(H50="",I50=""),"",I50-H50+1)</x:f>
        <x:v>1</x:v>
      </x:c>
      <x:c r="K50" s="61" t="n">
        <x:f>IF(OR(H50="",I50=""),"",NETWORKDAYS(H50,I50,'Sources &amp; Change Log'!$J$2:$J$5)-COUNTIFS('Team Calendar'!$A$5:$A$12,L50,'Team Calendar'!$C$5:$C$12,"&gt;="&amp;H50,'Team Calendar'!$C$5:$C$12,"&lt;="&amp;I50,'Team Calendar'!$F$5:$F$12,"Personal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3" t="str">
        <x:v>10-24 토요일 Review 유지 또는 영업일 재배치, 참석자·승인권자·시간·Project Close 영향도를 확정하고 WBS 동기화</x:v>
      </x:c>
      <x:c r="Q50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R50" s="13" t="str">
        <x:v>Baseline v3.1.18; Ticket Pack v3.1.18; GitHub #52 snapshot 2026-09-09T12:11:51Z; Fast Tracking 일정 권장안 2026-09-10 / 사용자 재편성 요청</x:v>
      </x:c>
      <x:c r="S50" s="13" t="str">
        <x:f>IF(G50="Done","Done",IF(I50="",IF(F50="P1","Deferred P1","End TBD"),IF(I50&lt;'Executive Summary'!$B$4,"Overdue",IF(H50&gt;'Executive Summary'!$B$4,"Upcoming","Active window"))))</x:f>
        <x:v>Upcoming</x:v>
      </x:c>
    </x:row>
    <x:row r="51" ht="44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46317</x:v>
      </x:c>
      <x:c r="I51" s="19" t="n">
        <x:v>46317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Calendar'!$A$5:$A$12,L51,'Team Calendar'!$C$5:$C$12,"&gt;="&amp;H51,'Team Calendar'!$C$5:$C$12,"&lt;="&amp;I51,'Team Calendar'!$F$5:$F$12,"Personal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3" t="str">
        <x:v>Hybrid DB/Registry Integration, OADP 복구검증, Hybrid E2E/Regression, Critical Issue 0을 승인</x:v>
      </x:c>
      <x:c r="Q51" s="13" t="str">
        <x:v>Hybrid DNS와 Operator 공급망은 D23/D26 결과에 따라 구현 또는 Cancelled 처리한다. 같은 날 DEC-CAL-P2-01 검토를 시작해 Review 일정을 10-23까지 확정한다.</x:v>
      </x:c>
      <x:c r="R51" s="13" t="str">
        <x:v>Baseline v3.1.18; Ticket Pack v3.1.18; GitHub #53 snapshot 2026-09-09T12:12:06Z</x:v>
      </x:c>
      <x:c r="S51" s="13" t="str">
        <x:f>IF(G51="Done","Done",IF(I51="","End TBD",IF(I51&lt;'Executive Summary'!$B$4,"Overdue",IF(H51&gt;'Executive Summary'!$B$4,"Upcoming","Active window"))))</x:f>
        <x:v>Upcoming</x:v>
      </x:c>
    </x:row>
    <x:row r="52" ht="44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46318</x:v>
      </x:c>
      <x:c r="J52" s="61" t="n">
        <x:f>IF(OR(H52="",I52=""),"",I52-H52+1)</x:f>
        <x:v>1</x:v>
      </x:c>
      <x:c r="K52" s="61" t="n">
        <x:f>IF(OR(H52="",I52=""),"",NETWORKDAYS(H52,I52,'Sources &amp; Change Log'!$J$2:$J$5)-COUNTIFS('Team Calendar'!$A$5:$A$12,L52,'Team Calendar'!$C$5:$C$12,"&gt;="&amp;H52,'Team Calendar'!$C$5:$C$12,"&lt;="&amp;I52,'Team Calendar'!$F$5:$F$12,"Personal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Architecture/IaC/Test/Runbook/Evidence/Decision/Known Issue의 최종 Version과 변경금지를 승인</x:v>
      </x:c>
      <x:c r="Q52" s="13" t="str">
        <x:v>Freeze 이후 변경은 Review Action 또는 Change Request로만 허용한다.</x:v>
      </x:c>
      <x:c r="R52" s="13" t="str">
        <x:v>Baseline v3.1.18; Ticket Pack v3.1.18; GitHub #54 snapshot 2026-09-09T12:12:22Z</x:v>
      </x:c>
      <x:c r="S52" s="13" t="str">
        <x:f>IF(G52="Done","Done",IF(I52="","End TBD",IF(I52&lt;'Executive Summary'!$B$4,"Overdue",IF(H52&gt;'Executive Summary'!$B$4,"Upcoming","Active window"))))</x:f>
        <x:v>Upcoming</x:v>
      </x:c>
    </x:row>
    <x:row r="53" ht="44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" t="n">
        <x:v>46318</x:v>
      </x:c>
      <x:c r="I53" s="19" t="n">
        <x:v>46321</x:v>
      </x:c>
      <x:c r="J53" s="61" t="n">
        <x:f>IF(OR(H53="",I53=""),"",I53-H53+1)</x:f>
        <x:v>4</x:v>
      </x:c>
      <x:c r="K53" s="61" t="n">
        <x:f>IF(OR(H53="",I53=""),"",NETWORKDAYS(H53,I53,'Sources &amp; Change Log'!$J$2:$J$5)-COUNTIFS('Team Calendar'!$A$5:$A$12,L53,'Team Calendar'!$C$5:$C$12,"&gt;="&amp;H53,'Team Calendar'!$C$5:$C$12,"&lt;="&amp;I53,'Team Calendar'!$F$5:$F$12,"Personal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3" t="str">
        <x:v>G6/Deliverable Freeze, Hybrid Demo, P0 Evidence, Decision/Known Issue, 비용·자원 정리 및 Project Close Sign-off 확보</x:v>
      </x:c>
      <x:c r="Q53" s="13" t="str">
        <x:v>Review 실행일은 D24 결과를 따른다. 최종 Close 목표는 10-26이다.</x:v>
      </x:c>
      <x:c r="R53" s="13" t="str">
        <x:v>Baseline v3.1.18; Ticket Pack v3.1.18; GitHub #55 snapshot 2026-09-10T02:10:09Z</x:v>
      </x:c>
      <x:c r="S53" s="13" t="str">
        <x:f>IF(G53="Done","Done",IF(I53="","End TBD",IF(I53&lt;'Executive Summary'!$B$4,"Overdue",IF(H53&gt;'Executive Summary'!$B$4,"Upcoming","Active window"))))</x:f>
        <x:v>Upcoming</x:v>
      </x:c>
    </x:row>
    <x:row r="54" ht="44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46318</x:v>
      </x:c>
      <x:c r="I54" s="19" t="n">
        <x:v>46318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Calendar'!$A$5:$A$12,L54,'Team Calendar'!$C$5:$C$12,"&gt;="&amp;H54,'Team Calendar'!$C$5:$C$12,"&lt;="&amp;I54,'Team Calendar'!$F$5:$F$12,"Personal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3" t="str">
        <x:v>승인된 일정에 Hybrid Demo/산출물/G6/Known Issue/Cloud Resource Review를 수행하고 Action·승인결과를 기록</x:v>
      </x:c>
      <x:c r="Q5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R54" s="13" t="str">
        <x:v>Baseline v3.1.18; Ticket Pack v3.1.18; GitHub #56 snapshot 2026-09-09T12:12:58Z; Fast Tracking 일정 권장안 2026-09-10 / 사용자 재편성 요청</x:v>
      </x:c>
      <x:c r="S54" s="13" t="str">
        <x:f>IF(G54="Done","Done",IF(I54="",IF(F54="P1","Deferred P1","End TBD"),IF(I54&lt;'Executive Summary'!$B$4,"Overdue",IF(H54&gt;'Executive Summary'!$B$4,"Upcoming","Active window"))))</x:f>
        <x:v>Upcoming</x:v>
      </x:c>
    </x:row>
    <x:row r="55" ht="64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84" t="n">
        <x:v>46321</x:v>
      </x:c>
      <x:c r="I55" s="84" t="n">
        <x:v>46321</x:v>
      </x:c>
      <x:c r="J55" s="85" t="n">
        <x:f>IF(OR(H55="",I55=""),"",I55-H55+1)</x:f>
        <x:v>1</x:v>
      </x:c>
      <x:c r="K55" s="85" t="n">
        <x:f>IF(OR(H55="",I55=""),"",NETWORKDAYS(H55,I55,'Sources &amp; Change Log'!$J$2:$J$5)-COUNTIFS('Team Calendar'!$A$5:$A$12,L55,'Team Calendar'!$C$5:$C$12,"&gt;="&amp;H55,'Team Calendar'!$C$5:$C$12,"&lt;="&amp;I55,'Team Calendar'!$F$5:$F$12,"Personal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83" t="str">
        <x:v>Review Action, P0 승인, 후속 P1/Known Issue, Cloud Resource/Cost, Source/Deliverable 인계 및 Project Close Sign-off 확보</x:v>
      </x:c>
      <x:c r="Q55" s="83" t="str">
        <x:v>D24가 Review를 10-26 이후로 이동시키면 Project Close도 Change Request 대상이다.</x:v>
      </x:c>
      <x:c r="R55" s="83" t="str">
        <x:v>Baseline v3.1.18; Ticket Pack v3.1.18; GitHub #57 snapshot 2026-09-09T12:13:16Z</x:v>
      </x:c>
      <x:c r="S55" s="83" t="str">
        <x:f>IF(G55="Done","Done",IF(I55="","End TBD",IF(I55&lt;'Executive Summary'!$B$4,"Overdue",IF(H55&gt;'Executive Summary'!$B$4,"Upcoming","Active window"))))</x:f>
        <x:v>Upcoming</x:v>
      </x:c>
    </x:row>
    <x:row r="56" ht="64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84" t="n">
        <x:v>46273</x:v>
      </x:c>
      <x:c r="I56" s="84" t="n">
        <x:v>46274</x:v>
      </x:c>
      <x:c r="J56" s="85" t="n">
        <x:f>IF(OR(H56="",I56=""),"",I56-H56+1)</x:f>
        <x:v>2</x:v>
      </x:c>
      <x:c r="K56" s="85" t="n">
        <x:f>IF(OR(H56="",I56=""),"",NETWORKDAYS(H56,I56,'Sources &amp; Change Log'!$J$2:$J$5)-COUNTIFS('Team Calendar'!$A$5:$A$12,L56,'Team Calendar'!$C$5:$C$12,"&gt;="&amp;H56,'Team Calendar'!$C$5:$C$12,"&lt;="&amp;I56,'Team Calendar'!$F$5:$F$12,"Personal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83" t="str">
        <x:v>현행 탐지·기록 유지, 신규 보류·운영 기능 미도입, 실패 정책·계약 소유권, G2 영향 없음 및 후속 검증·재검토 조건 기록</x:v>
      </x:c>
      <x:c r="Q56" s="83" t="str">
        <x:v>현행 유지·신규 기능 확대 유예 결정 Done. 본 v3.1.18 후보에 통합하며 발행 전 운영 정본은 v3.1.17이다. 신규 기능 G2 편입·Runtime 승인은 아니다.</x:v>
      </x:c>
      <x:c r="R56" s="83" t="str">
        <x:v>Baseline v3.1.18; Ticket Pack v3.1.18; GitHub #4 snapshot 2026-09-10T01:21:55Z</x:v>
      </x:c>
      <x:c r="S56" s="83" t="str">
        <x:f>IF(G56="Done","Done",IF(I56="","End TBD",IF(I56&lt;'Executive Summary'!$B$4,"Overdue",IF(H56&gt;'Executive Summary'!$B$4,"Upcoming","Active window"))))</x:f>
        <x:v>Done</x:v>
      </x:c>
    </x:row>
    <x:row r="57" ht="64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84" t="n">
        <x:v>46273</x:v>
      </x:c>
      <x:c r="I57" s="84" t="n">
        <x:v>46274</x:v>
      </x:c>
      <x:c r="J57" s="85" t="n">
        <x:f>IF(OR(H57="",I57=""),"",I57-H57+1)</x:f>
        <x:v>2</x:v>
      </x:c>
      <x:c r="K57" s="85" t="n">
        <x:f>IF(OR(H57="",I57=""),"",NETWORKDAYS(H57,I57,'Sources &amp; Change Log'!$J$2:$J$5)-COUNTIFS('Team Calendar'!$A$5:$A$12,L57,'Team Calendar'!$C$5:$C$12,"&gt;="&amp;H57,'Team Calendar'!$C$5:$C$12,"&lt;="&amp;I57,'Team Calendar'!$F$5:$F$12,"Personal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83" t="str">
        <x:v>기존 계약 유지 선택, 신규 상태/API·Migration 변경 유예, #4/#6과 정책·표현 소유권 및 기존 구현 정합성 후속 기록</x:v>
      </x:c>
      <x:c r="Q57" s="83" t="str">
        <x:v>현행 유지·신규 기능 확대 유예 결정 Done. 본 v3.1.18 후보에 통합하며 발행 전 운영 정본은 v3.1.17이다. 신규 기능 G2 편입·Runtime 승인은 아니다.</x:v>
      </x:c>
      <x:c r="R57" s="83" t="str">
        <x:v>Baseline v3.1.18; Ticket Pack v3.1.18; GitHub #5 snapshot 2026-09-10T01:22:10Z</x:v>
      </x:c>
      <x:c r="S57" s="83" t="str">
        <x:f>IF(G57="Done","Done",IF(I57="","End TBD",IF(I57&lt;'Executive Summary'!$B$4,"Overdue",IF(H57&gt;'Executive Summary'!$B$4,"Upcoming","Active window"))))</x:f>
        <x:v>Done</x:v>
      </x:c>
    </x:row>
    <x:row r="58" ht="64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84" t="n">
        <x:v>46273</x:v>
      </x:c>
      <x:c r="I58" s="84" t="n">
        <x:v>46274</x:v>
      </x:c>
      <x:c r="J58" s="85" t="n">
        <x:f>IF(OR(H58="",I58=""),"",I58-H58+1)</x:f>
        <x:v>2</x:v>
      </x:c>
      <x:c r="K58" s="85" t="n">
        <x:f>IF(OR(H58="",I58=""),"",NETWORKDAYS(H58,I58,'Sources &amp; Change Log'!$J$2:$J$5)-COUNTIFS('Team Calendar'!$A$5:$A$12,L58,'Team Calendar'!$C$5:$C$12,"&gt;="&amp;H58,'Team Calendar'!$C$5:$C$12,"&lt;="&amp;I58,'Team Calendar'!$F$5:$F$12,"Personal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83" t="str">
        <x:v>프론트엔드 배치 제외, 합성 데이터·최소 노출 원칙, 5개 검토 축 적용/유예, 기존 접근 통제 재사용 및 후속 시나리오 인계 기록</x:v>
      </x:c>
      <x:c r="Q58" s="83" t="str">
        <x:v>현행 유지·신규 기능 확대 유예 결정 Done. 본 v3.1.18 후보에 통합하며 발행 전 운영 정본은 v3.1.17이다. 신규 기능 G2 편입·Runtime 승인은 아니다.</x:v>
      </x:c>
      <x:c r="R58" s="83" t="str">
        <x:v>Baseline v3.1.18; Ticket Pack v3.1.18; GitHub #6 snapshot 2026-09-10T01:22:24Z</x:v>
      </x:c>
      <x:c r="S58" s="83" t="str">
        <x:f>IF(G58="Done","Done",IF(I58="","End TBD",IF(I58&lt;'Executive Summary'!$B$4,"Overdue",IF(H58&gt;'Executive Summary'!$B$4,"Upcoming","Active window"))))</x:f>
        <x:v>Done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conditionalFormatting sqref="G55:G58">
    <x:cfRule type="containsText" dxfId="23" priority="7" operator="containsText" text="Done"/>
    <x:cfRule type="containsText" dxfId="24" priority="8" operator="containsText" text="In Progress"/>
    <x:cfRule type="containsText" dxfId="25" priority="9" operator="containsText" text="In Review"/>
    <x:cfRule type="containsText" dxfId="26" priority="10" operator="containsText" text="Blocked"/>
  </x:conditionalFormatting>
  <x:conditionalFormatting sqref="S55:S58">
    <x:cfRule type="containsText" dxfId="27" priority="11" operator="containsText" text="Overdue"/>
    <x:cfRule type="containsText" dxfId="28" priority="12" operator="containsText" text="End TBD"/>
  </x:conditionalFormatting>
  <x:dataValidations count="4">
    <x:dataValidation type="list" sqref="G4:G54">
      <x:formula1>"To Do,In Progress,In Review,Blocked,Done"</x:formula1>
    </x:dataValidation>
    <x:dataValidation type="list" sqref="F4:F54">
      <x:formula1>"P0,P1,P2"</x:formula1>
    </x:dataValidation>
    <x:dataValidation type="list" sqref="G55:G58">
      <x:formula1>"To Do,In Progress,In Review,Blocked,Done"</x:formula1>
    </x:dataValidation>
    <x:dataValidation type="list" sqref="F55:F5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9569fd6a0f45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1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Fast Tracking recommendation | weekdays only | G1 09-17 · G2 09-21 · G3/Review 09-22 · Close 09-23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109" t="n">
        <x:v>46263</x:v>
      </x:c>
      <x:c r="K4" s="109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109" t="n">
        <x:v>46270</x:v>
      </x:c>
      <x:c r="R4" s="109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109" t="n">
        <x:v>46277</x:v>
      </x:c>
      <x:c r="Y4" s="109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109" t="n">
        <x:v>46284</x:v>
      </x:c>
      <x:c r="AF4" s="109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f>WBS!A4</x:f>
        <x:v>D-SEC-01</x:v>
      </x:c>
      <x:c r="B5" s="13" t="str">
        <x:f>WBS!B4</x:f>
        <x:v>Security Design Scope / Approval Review</x:v>
      </x:c>
      <x:c r="C5" s="13" t="str">
        <x:f>WBS!G4</x:f>
        <x:v>Done</x:v>
      </x:c>
      <x:c r="D5" s="86" t="n">
        <x:f>IF(WBS!H4="","",WBS!H4)</x:f>
        <x:v>46260</x:v>
      </x:c>
      <x:c r="E5" s="86" t="n">
        <x:f>IF(WBS!I4="","",WBS!I4)</x:f>
        <x:v>46266</x:v>
      </x:c>
      <x:c r="F5" s="13" t="str">
        <x:f>WBS!L4</x:f>
        <x:v>이하영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n">
        <x:f>IF(AND(ISNUMBER($D5),ISNUMBER($E5),H$4&gt;=$D5,H$4&lt;=$E5,WEEKDAY(H$4,2)&lt;=5,COUNTIF('Sources &amp; Change Log'!$J$2:$J$5,H$4)=0,COUNTIFS('Team Calendar'!$A$5:$A$12,$F5,'Team Calendar'!$C$5:$C$12,H$4)=0),1,"")</x:f>
        <x:v>1</x:v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7" t="str">
        <x:f>IF(AND(ISNUMBER($D5),ISNUMBER($E5),J$4&gt;=$D5,J$4&lt;=$E5,WEEKDAY(J$4,2)&lt;=5,COUNTIF('Sources &amp; Change Log'!$J$2:$J$5,J$4)=0,COUNTIFS('Team Calendar'!$A$5:$A$12,$F5,'Team Calendar'!$C$5:$C$12,J$4)=0),1,"")</x:f>
      </x:c>
      <x:c r="K5" s="107" t="str">
        <x:f>IF(AND(ISNUMBER($D5),ISNUMBER($E5),K$4&gt;=$D5,K$4&lt;=$E5,WEEKDAY(K$4,2)&lt;=5,COUNTIF('Sources &amp; Change Log'!$J$2:$J$5,K$4)=0,COUNTIFS('Team Calendar'!$A$5:$A$12,$F5,'Team Calendar'!$C$5:$C$12,K$4)=0),1,"")</x:f>
      </x:c>
      <x:c r="L5" s="100" t="n">
        <x:f>IF(AND(ISNUMBER($D5),ISNUMBER($E5),L$4&gt;=$D5,L$4&lt;=$E5,WEEKDAY(L$4,2)&lt;=5,COUNTIF('Sources &amp; Change Log'!$J$2:$J$5,L$4)=0,COUNTIFS('Team Calendar'!$A$5:$A$12,$F5,'Team Calendar'!$C$5:$C$12,L$4)=0),1,"")</x:f>
        <x:v>1</x:v>
      </x:c>
      <x:c r="M5" s="101" t="n">
        <x:f>IF(AND(ISNUMBER($D5),ISNUMBER($E5),M$4&gt;=$D5,M$4&lt;=$E5,WEEKDAY(M$4,2)&lt;=5,COUNTIF('Sources &amp; Change Log'!$J$2:$J$5,M$4)=0,COUNTIFS('Team Calendar'!$A$5:$A$12,$F5,'Team Calendar'!$C$5:$C$12,M$4)=0),1,"")</x:f>
        <x:v>1</x:v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7" t="str">
        <x:f>IF(AND(ISNUMBER($D5),ISNUMBER($E5),Q$4&gt;=$D5,Q$4&lt;=$E5,WEEKDAY(Q$4,2)&lt;=5,COUNTIF('Sources &amp; Change Log'!$J$2:$J$5,Q$4)=0,COUNTIFS('Team Calendar'!$A$5:$A$12,$F5,'Team Calendar'!$C$5:$C$12,Q$4)=0),1,"")</x:f>
      </x:c>
      <x:c r="R5" s="107" t="str">
        <x:f>IF(AND(ISNUMBER($D5),ISNUMBER($E5),R$4&gt;=$D5,R$4&lt;=$E5,WEEKDAY(R$4,2)&lt;=5,COUNTIF('Sources &amp; Change Log'!$J$2:$J$5,R$4)=0,COUNTIFS('Team Calendar'!$A$5:$A$12,$F5,'Team Calendar'!$C$5:$C$12,R$4)=0),1,"")</x:f>
      </x:c>
      <x:c r="S5" s="100" t="str">
        <x:f>IF(AND(ISNUMBER($D5),ISNUMBER($E5),S$4&gt;=$D5,S$4&lt;=$E5,WEEKDAY(S$4,2)&lt;=5,COUNTIF('Sources &amp; Change Log'!$J$2:$J$5,S$4)=0,COUNTIFS('Team Calendar'!$A$5:$A$12,$F5,'Team Calendar'!$C$5:$C$12,S$4)=0),1,"")</x:f>
      </x:c>
      <x:c r="T5" s="100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7" t="str">
        <x:f>IF(AND(ISNUMBER($D5),ISNUMBER($E5),X$4&gt;=$D5,X$4&lt;=$E5,WEEKDAY(X$4,2)&lt;=5,COUNTIF('Sources &amp; Change Log'!$J$2:$J$5,X$4)=0,COUNTIFS('Team Calendar'!$A$5:$A$12,$F5,'Team Calendar'!$C$5:$C$12,X$4)=0),1,"")</x:f>
      </x:c>
      <x:c r="Y5" s="107" t="str">
        <x:f>IF(AND(ISNUMBER($D5),ISNUMBER($E5),Y$4&gt;=$D5,Y$4&lt;=$E5,WEEKDAY(Y$4,2)&lt;=5,COUNTIF('Sources &amp; Change Log'!$J$2:$J$5,Y$4)=0,COUNTIFS('Team Calendar'!$A$5:$A$12,$F5,'Team Calendar'!$C$5:$C$12,Y$4)=0),1,"")</x:f>
      </x:c>
      <x:c r="Z5" s="100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0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7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7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0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0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WBS!A5</x:f>
        <x:v>MS-G0-01</x:v>
      </x:c>
      <x:c r="B6" s="13" t="str">
        <x:f>WBS!B5</x:f>
        <x:v>G0 Design Freeze</x:v>
      </x:c>
      <x:c r="C6" s="13" t="str">
        <x:f>WBS!G5</x:f>
        <x:v>Done</x:v>
      </x:c>
      <x:c r="D6" s="86" t="n">
        <x:f>IF(WBS!H5="","",WBS!H5)</x:f>
        <x:v>46260</x:v>
      </x:c>
      <x:c r="E6" s="86" t="n">
        <x:f>IF(WBS!I5="","",WBS!I5)</x:f>
        <x:v>46266</x:v>
      </x:c>
      <x:c r="F6" s="13" t="str">
        <x:f>WBS!L5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n">
        <x:f>IF(AND(ISNUMBER($D6),ISNUMBER($E6),H$4&gt;=$D6,H$4&lt;=$E6,WEEKDAY(H$4,2)&lt;=5,COUNTIF('Sources &amp; Change Log'!$J$2:$J$5,H$4)=0,COUNTIFS('Team Calendar'!$A$5:$A$12,$F6,'Team Calendar'!$C$5:$C$12,H$4)=0),1,"")</x:f>
        <x:v>1</x:v>
      </x:c>
      <x:c r="I6" s="100" t="n">
        <x:f>IF(AND(ISNUMBER($D6),ISNUMBER($E6),I$4&gt;=$D6,I$4&lt;=$E6,WEEKDAY(I$4,2)&lt;=5,COUNTIF('Sources &amp; Change Log'!$J$2:$J$5,I$4)=0,COUNTIFS('Team Calendar'!$A$5:$A$12,$F6,'Team Calendar'!$C$5:$C$12,I$4)=0),1,"")</x:f>
        <x:v>1</x:v>
      </x:c>
      <x:c r="J6" s="107" t="str">
        <x:f>IF(AND(ISNUMBER($D6),ISNUMBER($E6),J$4&gt;=$D6,J$4&lt;=$E6,WEEKDAY(J$4,2)&lt;=5,COUNTIF('Sources &amp; Change Log'!$J$2:$J$5,J$4)=0,COUNTIFS('Team Calendar'!$A$5:$A$12,$F6,'Team Calendar'!$C$5:$C$12,J$4)=0),1,"")</x:f>
      </x:c>
      <x:c r="K6" s="107" t="str">
        <x:f>IF(AND(ISNUMBER($D6),ISNUMBER($E6),K$4&gt;=$D6,K$4&lt;=$E6,WEEKDAY(K$4,2)&lt;=5,COUNTIF('Sources &amp; Change Log'!$J$2:$J$5,K$4)=0,COUNTIFS('Team Calendar'!$A$5:$A$12,$F6,'Team Calendar'!$C$5:$C$12,K$4)=0),1,"")</x:f>
      </x:c>
      <x:c r="L6" s="100" t="n">
        <x:f>IF(AND(ISNUMBER($D6),ISNUMBER($E6),L$4&gt;=$D6,L$4&lt;=$E6,WEEKDAY(L$4,2)&lt;=5,COUNTIF('Sources &amp; Change Log'!$J$2:$J$5,L$4)=0,COUNTIFS('Team Calendar'!$A$5:$A$12,$F6,'Team Calendar'!$C$5:$C$12,L$4)=0),1,"")</x:f>
        <x:v>1</x:v>
      </x:c>
      <x:c r="M6" s="101" t="n">
        <x:f>IF(AND(ISNUMBER($D6),ISNUMBER($E6),M$4&gt;=$D6,M$4&lt;=$E6,WEEKDAY(M$4,2)&lt;=5,COUNTIF('Sources &amp; Change Log'!$J$2:$J$5,M$4)=0,COUNTIFS('Team Calendar'!$A$5:$A$12,$F6,'Team Calendar'!$C$5:$C$12,M$4)=0),1,"")</x:f>
        <x:v>1</x:v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7" t="str">
        <x:f>IF(AND(ISNUMBER($D6),ISNUMBER($E6),Q$4&gt;=$D6,Q$4&lt;=$E6,WEEKDAY(Q$4,2)&lt;=5,COUNTIF('Sources &amp; Change Log'!$J$2:$J$5,Q$4)=0,COUNTIFS('Team Calendar'!$A$5:$A$12,$F6,'Team Calendar'!$C$5:$C$12,Q$4)=0),1,"")</x:f>
      </x:c>
      <x:c r="R6" s="107" t="str">
        <x:f>IF(AND(ISNUMBER($D6),ISNUMBER($E6),R$4&gt;=$D6,R$4&lt;=$E6,WEEKDAY(R$4,2)&lt;=5,COUNTIF('Sources &amp; Change Log'!$J$2:$J$5,R$4)=0,COUNTIFS('Team Calendar'!$A$5:$A$12,$F6,'Team Calendar'!$C$5:$C$12,R$4)=0),1,"")</x:f>
      </x:c>
      <x:c r="S6" s="100" t="str">
        <x:f>IF(AND(ISNUMBER($D6),ISNUMBER($E6),S$4&gt;=$D6,S$4&lt;=$E6,WEEKDAY(S$4,2)&lt;=5,COUNTIF('Sources &amp; Change Log'!$J$2:$J$5,S$4)=0,COUNTIFS('Team Calendar'!$A$5:$A$12,$F6,'Team Calendar'!$C$5:$C$12,S$4)=0),1,"")</x:f>
      </x:c>
      <x:c r="T6" s="100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7" t="str">
        <x:f>IF(AND(ISNUMBER($D6),ISNUMBER($E6),X$4&gt;=$D6,X$4&lt;=$E6,WEEKDAY(X$4,2)&lt;=5,COUNTIF('Sources &amp; Change Log'!$J$2:$J$5,X$4)=0,COUNTIFS('Team Calendar'!$A$5:$A$12,$F6,'Team Calendar'!$C$5:$C$12,X$4)=0),1,"")</x:f>
      </x:c>
      <x:c r="Y6" s="107" t="str">
        <x:f>IF(AND(ISNUMBER($D6),ISNUMBER($E6),Y$4&gt;=$D6,Y$4&lt;=$E6,WEEKDAY(Y$4,2)&lt;=5,COUNTIF('Sources &amp; Change Log'!$J$2:$J$5,Y$4)=0,COUNTIFS('Team Calendar'!$A$5:$A$12,$F6,'Team Calendar'!$C$5:$C$12,Y$4)=0),1,"")</x:f>
      </x:c>
      <x:c r="Z6" s="100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0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7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7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0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0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WBS!A7</x:f>
        <x:v>P1-K8S-01</x:v>
      </x:c>
      <x:c r="B7" s="13" t="str">
        <x:f>WBS!B7</x:f>
        <x:v>kubeadm 3CP + 3Worker / Calico</x:v>
      </x:c>
      <x:c r="C7" s="13" t="str">
        <x:f>WBS!G7</x:f>
        <x:v>In Progress</x:v>
      </x:c>
      <x:c r="D7" s="86" t="n">
        <x:f>IF(WBS!H7="","",WBS!H7)</x:f>
        <x:v>46261</x:v>
      </x:c>
      <x:c r="E7" s="86" t="n">
        <x:f>IF(WBS!I7="","",WBS!I7)</x:f>
        <x:v>46282</x:v>
      </x:c>
      <x:c r="F7" s="13" t="str">
        <x:f>WBS!L7</x:f>
        <x:v>이하영</x:v>
      </x:c>
      <x:c r="G7" s="100" t="str">
        <x:f>IF(AND(ISNUMBER($D7),ISNUMBER($E7),G$4&gt;=$D7,G$4&lt;=$E7,WEEKDAY(G$4,2)&lt;=5,COUNTIF('Sources &amp; Change Log'!$J$2:$J$5,G$4)=0,COUNTIFS('Team Calendar'!$A$5:$A$12,$F7,'Team Calendar'!$C$5:$C$12,G$4)=0),1,"")</x:f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str">
        <x:f>IF(AND(ISNUMBER($D7),ISNUMBER($E7),I$4&gt;=$D7,I$4&lt;=$E7,WEEKDAY(I$4,2)&lt;=5,COUNTIF('Sources &amp; Change Log'!$J$2:$J$5,I$4)=0,COUNTIFS('Team Calendar'!$A$5:$A$12,$F7,'Team Calendar'!$C$5:$C$12,I$4)=0),1,"")</x:f>
      </x:c>
      <x:c r="J7" s="107" t="str">
        <x:f>IF(AND(ISNUMBER($D7),ISNUMBER($E7),J$4&gt;=$D7,J$4&lt;=$E7,WEEKDAY(J$4,2)&lt;=5,COUNTIF('Sources &amp; Change Log'!$J$2:$J$5,J$4)=0,COUNTIFS('Team Calendar'!$A$5:$A$12,$F7,'Team Calendar'!$C$5:$C$12,J$4)=0),1,"")</x:f>
      </x:c>
      <x:c r="K7" s="107" t="str">
        <x:f>IF(AND(ISNUMBER($D7),ISNUMBER($E7),K$4&gt;=$D7,K$4&lt;=$E7,WEEKDAY(K$4,2)&lt;=5,COUNTIF('Sources &amp; Change Log'!$J$2:$J$5,K$4)=0,COUNTIFS('Team Calendar'!$A$5:$A$12,$F7,'Team Calendar'!$C$5:$C$12,K$4)=0),1,"")</x:f>
      </x:c>
      <x:c r="L7" s="100" t="n">
        <x:f>IF(AND(ISNUMBER($D7),ISNUMBER($E7),L$4&gt;=$D7,L$4&lt;=$E7,WEEKDAY(L$4,2)&lt;=5,COUNTIF('Sources &amp; Change Log'!$J$2:$J$5,L$4)=0,COUNTIFS('Team Calendar'!$A$5:$A$12,$F7,'Team Calendar'!$C$5:$C$12,L$4)=0),1,"")</x:f>
        <x:v>1</x:v>
      </x:c>
      <x:c r="M7" s="101" t="n">
        <x:f>IF(AND(ISNUMBER($D7),ISNUMBER($E7),M$4&gt;=$D7,M$4&lt;=$E7,WEEKDAY(M$4,2)&lt;=5,COUNTIF('Sources &amp; Change Log'!$J$2:$J$5,M$4)=0,COUNTIFS('Team Calendar'!$A$5:$A$12,$F7,'Team Calendar'!$C$5:$C$12,M$4)=0),1,"")</x:f>
        <x:v>1</x:v>
      </x:c>
      <x:c r="N7" s="100" t="n">
        <x:f>IF(AND(ISNUMBER($D7),ISNUMBER($E7),N$4&gt;=$D7,N$4&lt;=$E7,WEEKDAY(N$4,2)&lt;=5,COUNTIF('Sources &amp; Change Log'!$J$2:$J$5,N$4)=0,COUNTIFS('Team Calendar'!$A$5:$A$12,$F7,'Team Calendar'!$C$5:$C$12,N$4)=0),1,"")</x:f>
        <x:v>1</x:v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7" t="str">
        <x:f>IF(AND(ISNUMBER($D7),ISNUMBER($E7),Q$4&gt;=$D7,Q$4&lt;=$E7,WEEKDAY(Q$4,2)&lt;=5,COUNTIF('Sources &amp; Change Log'!$J$2:$J$5,Q$4)=0,COUNTIFS('Team Calendar'!$A$5:$A$12,$F7,'Team Calendar'!$C$5:$C$12,Q$4)=0),1,"")</x:f>
      </x:c>
      <x:c r="R7" s="107" t="str">
        <x:f>IF(AND(ISNUMBER($D7),ISNUMBER($E7),R$4&gt;=$D7,R$4&lt;=$E7,WEEKDAY(R$4,2)&lt;=5,COUNTIF('Sources &amp; Change Log'!$J$2:$J$5,R$4)=0,COUNTIFS('Team Calendar'!$A$5:$A$12,$F7,'Team Calendar'!$C$5:$C$12,R$4)=0),1,"")</x:f>
      </x:c>
      <x:c r="S7" s="100" t="n">
        <x:f>IF(AND(ISNUMBER($D7),ISNUMBER($E7),S$4&gt;=$D7,S$4&lt;=$E7,WEEKDAY(S$4,2)&lt;=5,COUNTIF('Sources &amp; Change Log'!$J$2:$J$5,S$4)=0,COUNTIFS('Team Calendar'!$A$5:$A$12,$F7,'Team Calendar'!$C$5:$C$12,S$4)=0),1,"")</x:f>
        <x:v>1</x:v>
      </x:c>
      <x:c r="T7" s="102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n">
        <x:f>IF(AND(ISNUMBER($D7),ISNUMBER($E7),U$4&gt;=$D7,U$4&lt;=$E7,WEEKDAY(U$4,2)&lt;=5,COUNTIF('Sources &amp; Change Log'!$J$2:$J$5,U$4)=0,COUNTIFS('Team Calendar'!$A$5:$A$12,$F7,'Team Calendar'!$C$5:$C$12,U$4)=0),1,"")</x:f>
        <x:v>1</x:v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n">
        <x:f>IF(AND(ISNUMBER($D7),ISNUMBER($E7),W$4&gt;=$D7,W$4&lt;=$E7,WEEKDAY(W$4,2)&lt;=5,COUNTIF('Sources &amp; Change Log'!$J$2:$J$5,W$4)=0,COUNTIFS('Team Calendar'!$A$5:$A$12,$F7,'Team Calendar'!$C$5:$C$12,W$4)=0),1,"")</x:f>
        <x:v>1</x:v>
      </x:c>
      <x:c r="X7" s="107" t="str">
        <x:f>IF(AND(ISNUMBER($D7),ISNUMBER($E7),X$4&gt;=$D7,X$4&lt;=$E7,WEEKDAY(X$4,2)&lt;=5,COUNTIF('Sources &amp; Change Log'!$J$2:$J$5,X$4)=0,COUNTIFS('Team Calendar'!$A$5:$A$12,$F7,'Team Calendar'!$C$5:$C$12,X$4)=0),1,"")</x:f>
      </x:c>
      <x:c r="Y7" s="107" t="str">
        <x:f>IF(AND(ISNUMBER($D7),ISNUMBER($E7),Y$4&gt;=$D7,Y$4&lt;=$E7,WEEKDAY(Y$4,2)&lt;=5,COUNTIF('Sources &amp; Change Log'!$J$2:$J$5,Y$4)=0,COUNTIFS('Team Calendar'!$A$5:$A$12,$F7,'Team Calendar'!$C$5:$C$12,Y$4)=0),1,"")</x:f>
      </x:c>
      <x:c r="Z7" s="100" t="n">
        <x:f>IF(AND(ISNUMBER($D7),ISNUMBER($E7),Z$4&gt;=$D7,Z$4&lt;=$E7,WEEKDAY(Z$4,2)&lt;=5,COUNTIF('Sources &amp; Change Log'!$J$2:$J$5,Z$4)=0,COUNTIFS('Team Calendar'!$A$5:$A$12,$F7,'Team Calendar'!$C$5:$C$12,Z$4)=0),1,"")</x:f>
        <x:v>1</x:v>
      </x:c>
      <x:c r="AA7" s="100" t="n">
        <x:f>IF(AND(ISNUMBER($D7),ISNUMBER($E7),AA$4&gt;=$D7,AA$4&lt;=$E7,WEEKDAY(AA$4,2)&lt;=5,COUNTIF('Sources &amp; Change Log'!$J$2:$J$5,AA$4)=0,COUNTIFS('Team Calendar'!$A$5:$A$12,$F7,'Team Calendar'!$C$5:$C$12,AA$4)=0),1,"")</x:f>
        <x:v>1</x:v>
      </x:c>
      <x:c r="AB7" s="100" t="n">
        <x:f>IF(AND(ISNUMBER($D7),ISNUMBER($E7),AB$4&gt;=$D7,AB$4&lt;=$E7,WEEKDAY(AB$4,2)&lt;=5,COUNTIF('Sources &amp; Change Log'!$J$2:$J$5,AB$4)=0,COUNTIFS('Team Calendar'!$A$5:$A$12,$F7,'Team Calendar'!$C$5:$C$12,AB$4)=0),1,"")</x:f>
        <x:v>1</x:v>
      </x:c>
      <x:c r="AC7" s="100" t="n">
        <x:f>IF(AND(ISNUMBER($D7),ISNUMBER($E7),AC$4&gt;=$D7,AC$4&lt;=$E7,WEEKDAY(AC$4,2)&lt;=5,COUNTIF('Sources &amp; Change Log'!$J$2:$J$5,AC$4)=0,COUNTIFS('Team Calendar'!$A$5:$A$12,$F7,'Team Calendar'!$C$5:$C$12,AC$4)=0),1,"")</x:f>
        <x:v>1</x:v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7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7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0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0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WBS!A6</x:f>
        <x:v>P1-LB-01</x:v>
      </x:c>
      <x:c r="B8" s="13" t="str">
        <x:f>WBS!B6</x:f>
        <x:v>Kubernetes API Load Balancer</x:v>
      </x:c>
      <x:c r="C8" s="13" t="str">
        <x:f>WBS!G6</x:f>
        <x:v>In Progress</x:v>
      </x:c>
      <x:c r="D8" s="86" t="n">
        <x:f>IF(WBS!H6="","",WBS!H6)</x:f>
        <x:v>46261</x:v>
      </x:c>
      <x:c r="E8" s="86" t="n">
        <x:f>IF(WBS!I6="","",WBS!I6)</x:f>
        <x:v>46282</x:v>
      </x:c>
      <x:c r="F8" s="13" t="str">
        <x:f>WBS!L6</x:f>
        <x:v>이권욱</x:v>
      </x:c>
      <x:c r="G8" s="100" t="str">
        <x:f>IF(AND(ISNUMBER($D8),ISNUMBER($E8),G$4&gt;=$D8,G$4&lt;=$E8,WEEKDAY(G$4,2)&lt;=5,COUNTIF('Sources &amp; Change Log'!$J$2:$J$5,G$4)=0,COUNTIFS('Team Calendar'!$A$5:$A$12,$F8,'Team Calendar'!$C$5:$C$12,G$4)=0),1,"")</x:f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7" t="str">
        <x:f>IF(AND(ISNUMBER($D8),ISNUMBER($E8),J$4&gt;=$D8,J$4&lt;=$E8,WEEKDAY(J$4,2)&lt;=5,COUNTIF('Sources &amp; Change Log'!$J$2:$J$5,J$4)=0,COUNTIFS('Team Calendar'!$A$5:$A$12,$F8,'Team Calendar'!$C$5:$C$12,J$4)=0),1,"")</x:f>
      </x:c>
      <x:c r="K8" s="107" t="str">
        <x:f>IF(AND(ISNUMBER($D8),ISNUMBER($E8),K$4&gt;=$D8,K$4&lt;=$E8,WEEKDAY(K$4,2)&lt;=5,COUNTIF('Sources &amp; Change Log'!$J$2:$J$5,K$4)=0,COUNTIFS('Team Calendar'!$A$5:$A$12,$F8,'Team Calendar'!$C$5:$C$12,K$4)=0),1,"")</x:f>
      </x:c>
      <x:c r="L8" s="100" t="n">
        <x:f>IF(AND(ISNUMBER($D8),ISNUMBER($E8),L$4&gt;=$D8,L$4&lt;=$E8,WEEKDAY(L$4,2)&lt;=5,COUNTIF('Sources &amp; Change Log'!$J$2:$J$5,L$4)=0,COUNTIFS('Team Calendar'!$A$5:$A$12,$F8,'Team Calendar'!$C$5:$C$12,L$4)=0),1,"")</x:f>
        <x:v>1</x:v>
      </x:c>
      <x:c r="M8" s="101" t="n">
        <x:f>IF(AND(ISNUMBER($D8),ISNUMBER($E8),M$4&gt;=$D8,M$4&lt;=$E8,WEEKDAY(M$4,2)&lt;=5,COUNTIF('Sources &amp; Change Log'!$J$2:$J$5,M$4)=0,COUNTIFS('Team Calendar'!$A$5:$A$12,$F8,'Team Calendar'!$C$5:$C$12,M$4)=0),1,"")</x:f>
        <x:v>1</x:v>
      </x:c>
      <x:c r="N8" s="100" t="n">
        <x:f>IF(AND(ISNUMBER($D8),ISNUMBER($E8),N$4&gt;=$D8,N$4&lt;=$E8,WEEKDAY(N$4,2)&lt;=5,COUNTIF('Sources &amp; Change Log'!$J$2:$J$5,N$4)=0,COUNTIFS('Team Calendar'!$A$5:$A$12,$F8,'Team Calendar'!$C$5:$C$12,N$4)=0),1,"")</x:f>
        <x:v>1</x:v>
      </x:c>
      <x:c r="O8" s="100" t="n">
        <x:f>IF(AND(ISNUMBER($D8),ISNUMBER($E8),O$4&gt;=$D8,O$4&lt;=$E8,WEEKDAY(O$4,2)&lt;=5,COUNTIF('Sources &amp; Change Log'!$J$2:$J$5,O$4)=0,COUNTIFS('Team Calendar'!$A$5:$A$12,$F8,'Team Calendar'!$C$5:$C$12,O$4)=0),1,"")</x:f>
        <x:v>1</x:v>
      </x:c>
      <x:c r="P8" s="100" t="n">
        <x:f>IF(AND(ISNUMBER($D8),ISNUMBER($E8),P$4&gt;=$D8,P$4&lt;=$E8,WEEKDAY(P$4,2)&lt;=5,COUNTIF('Sources &amp; Change Log'!$J$2:$J$5,P$4)=0,COUNTIFS('Team Calendar'!$A$5:$A$12,$F8,'Team Calendar'!$C$5:$C$12,P$4)=0),1,"")</x:f>
        <x:v>1</x:v>
      </x:c>
      <x:c r="Q8" s="107" t="str">
        <x:f>IF(AND(ISNUMBER($D8),ISNUMBER($E8),Q$4&gt;=$D8,Q$4&lt;=$E8,WEEKDAY(Q$4,2)&lt;=5,COUNTIF('Sources &amp; Change Log'!$J$2:$J$5,Q$4)=0,COUNTIFS('Team Calendar'!$A$5:$A$12,$F8,'Team Calendar'!$C$5:$C$12,Q$4)=0),1,"")</x:f>
      </x:c>
      <x:c r="R8" s="107" t="str">
        <x:f>IF(AND(ISNUMBER($D8),ISNUMBER($E8),R$4&gt;=$D8,R$4&lt;=$E8,WEEKDAY(R$4,2)&lt;=5,COUNTIF('Sources &amp; Change Log'!$J$2:$J$5,R$4)=0,COUNTIFS('Team Calendar'!$A$5:$A$12,$F8,'Team Calendar'!$C$5:$C$12,R$4)=0),1,"")</x:f>
      </x:c>
      <x:c r="S8" s="100" t="n">
        <x:f>IF(AND(ISNUMBER($D8),ISNUMBER($E8),S$4&gt;=$D8,S$4&lt;=$E8,WEEKDAY(S$4,2)&lt;=5,COUNTIF('Sources &amp; Change Log'!$J$2:$J$5,S$4)=0,COUNTIFS('Team Calendar'!$A$5:$A$12,$F8,'Team Calendar'!$C$5:$C$12,S$4)=0),1,"")</x:f>
        <x:v>1</x:v>
      </x:c>
      <x:c r="T8" s="100" t="n">
        <x:f>IF(AND(ISNUMBER($D8),ISNUMBER($E8),T$4&gt;=$D8,T$4&lt;=$E8,WEEKDAY(T$4,2)&lt;=5,COUNTIF('Sources &amp; Change Log'!$J$2:$J$5,T$4)=0,COUNTIFS('Team Calendar'!$A$5:$A$12,$F8,'Team Calendar'!$C$5:$C$12,T$4)=0),1,"")</x:f>
        <x:v>1</x:v>
      </x:c>
      <x:c r="U8" s="100" t="n">
        <x:f>IF(AND(ISNUMBER($D8),ISNUMBER($E8),U$4&gt;=$D8,U$4&lt;=$E8,WEEKDAY(U$4,2)&lt;=5,COUNTIF('Sources &amp; Change Log'!$J$2:$J$5,U$4)=0,COUNTIFS('Team Calendar'!$A$5:$A$12,$F8,'Team Calendar'!$C$5:$C$12,U$4)=0),1,"")</x:f>
        <x:v>1</x:v>
      </x:c>
      <x:c r="V8" s="100" t="n">
        <x:f>IF(AND(ISNUMBER($D8),ISNUMBER($E8),V$4&gt;=$D8,V$4&lt;=$E8,WEEKDAY(V$4,2)&lt;=5,COUNTIF('Sources &amp; Change Log'!$J$2:$J$5,V$4)=0,COUNTIFS('Team Calendar'!$A$5:$A$12,$F8,'Team Calendar'!$C$5:$C$12,V$4)=0),1,"")</x:f>
        <x:v>1</x:v>
      </x:c>
      <x:c r="W8" s="100" t="n">
        <x:f>IF(AND(ISNUMBER($D8),ISNUMBER($E8),W$4&gt;=$D8,W$4&lt;=$E8,WEEKDAY(W$4,2)&lt;=5,COUNTIF('Sources &amp; Change Log'!$J$2:$J$5,W$4)=0,COUNTIFS('Team Calendar'!$A$5:$A$12,$F8,'Team Calendar'!$C$5:$C$12,W$4)=0),1,"")</x:f>
        <x:v>1</x:v>
      </x:c>
      <x:c r="X8" s="107" t="str">
        <x:f>IF(AND(ISNUMBER($D8),ISNUMBER($E8),X$4&gt;=$D8,X$4&lt;=$E8,WEEKDAY(X$4,2)&lt;=5,COUNTIF('Sources &amp; Change Log'!$J$2:$J$5,X$4)=0,COUNTIFS('Team Calendar'!$A$5:$A$12,$F8,'Team Calendar'!$C$5:$C$12,X$4)=0),1,"")</x:f>
      </x:c>
      <x:c r="Y8" s="107" t="str">
        <x:f>IF(AND(ISNUMBER($D8),ISNUMBER($E8),Y$4&gt;=$D8,Y$4&lt;=$E8,WEEKDAY(Y$4,2)&lt;=5,COUNTIF('Sources &amp; Change Log'!$J$2:$J$5,Y$4)=0,COUNTIFS('Team Calendar'!$A$5:$A$12,$F8,'Team Calendar'!$C$5:$C$12,Y$4)=0),1,"")</x:f>
      </x:c>
      <x:c r="Z8" s="100" t="n">
        <x:f>IF(AND(ISNUMBER($D8),ISNUMBER($E8),Z$4&gt;=$D8,Z$4&lt;=$E8,WEEKDAY(Z$4,2)&lt;=5,COUNTIF('Sources &amp; Change Log'!$J$2:$J$5,Z$4)=0,COUNTIFS('Team Calendar'!$A$5:$A$12,$F8,'Team Calendar'!$C$5:$C$12,Z$4)=0),1,"")</x:f>
        <x:v>1</x:v>
      </x:c>
      <x:c r="AA8" s="100" t="n">
        <x:f>IF(AND(ISNUMBER($D8),ISNUMBER($E8),AA$4&gt;=$D8,AA$4&lt;=$E8,WEEKDAY(AA$4,2)&lt;=5,COUNTIF('Sources &amp; Change Log'!$J$2:$J$5,AA$4)=0,COUNTIFS('Team Calendar'!$A$5:$A$12,$F8,'Team Calendar'!$C$5:$C$12,AA$4)=0),1,"")</x:f>
        <x:v>1</x:v>
      </x:c>
      <x:c r="AB8" s="100" t="n">
        <x:f>IF(AND(ISNUMBER($D8),ISNUMBER($E8),AB$4&gt;=$D8,AB$4&lt;=$E8,WEEKDAY(AB$4,2)&lt;=5,COUNTIF('Sources &amp; Change Log'!$J$2:$J$5,AB$4)=0,COUNTIFS('Team Calendar'!$A$5:$A$12,$F8,'Team Calendar'!$C$5:$C$12,AB$4)=0),1,"")</x:f>
        <x:v>1</x:v>
      </x:c>
      <x:c r="AC8" s="100" t="n">
        <x:f>IF(AND(ISNUMBER($D8),ISNUMBER($E8),AC$4&gt;=$D8,AC$4&lt;=$E8,WEEKDAY(AC$4,2)&lt;=5,COUNTIF('Sources &amp; Change Log'!$J$2:$J$5,AC$4)=0,COUNTIFS('Team Calendar'!$A$5:$A$12,$F8,'Team Calendar'!$C$5:$C$12,AC$4)=0),1,"")</x:f>
        <x:v>1</x:v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7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7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0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0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WBS!A8</x:f>
        <x:v>P1-DB-01</x:v>
      </x:c>
      <x:c r="B9" s="13" t="str">
        <x:f>WBS!B8</x:f>
        <x:v>PostgreSQL External VM</x:v>
      </x:c>
      <x:c r="C9" s="13" t="str">
        <x:f>WBS!G8</x:f>
        <x:v>In Progress</x:v>
      </x:c>
      <x:c r="D9" s="86" t="n">
        <x:f>IF(WBS!H8="","",WBS!H8)</x:f>
        <x:v>46262</x:v>
      </x:c>
      <x:c r="E9" s="86" t="n">
        <x:f>IF(WBS!I8="","",WBS!I8)</x:f>
        <x:v>46282</x:v>
      </x:c>
      <x:c r="F9" s="13" t="str">
        <x:f>WBS!L8</x:f>
        <x:v>이재환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n">
        <x:f>IF(AND(ISNUMBER($D9),ISNUMBER($E9),I$4&gt;=$D9,I$4&lt;=$E9,WEEKDAY(I$4,2)&lt;=5,COUNTIF('Sources &amp; Change Log'!$J$2:$J$5,I$4)=0,COUNTIFS('Team Calendar'!$A$5:$A$12,$F9,'Team Calendar'!$C$5:$C$12,I$4)=0),1,"")</x:f>
        <x:v>1</x:v>
      </x:c>
      <x:c r="J9" s="107" t="str">
        <x:f>IF(AND(ISNUMBER($D9),ISNUMBER($E9),J$4&gt;=$D9,J$4&lt;=$E9,WEEKDAY(J$4,2)&lt;=5,COUNTIF('Sources &amp; Change Log'!$J$2:$J$5,J$4)=0,COUNTIFS('Team Calendar'!$A$5:$A$12,$F9,'Team Calendar'!$C$5:$C$12,J$4)=0),1,"")</x:f>
      </x:c>
      <x:c r="K9" s="107" t="str">
        <x:f>IF(AND(ISNUMBER($D9),ISNUMBER($E9),K$4&gt;=$D9,K$4&lt;=$E9,WEEKDAY(K$4,2)&lt;=5,COUNTIF('Sources &amp; Change Log'!$J$2:$J$5,K$4)=0,COUNTIFS('Team Calendar'!$A$5:$A$12,$F9,'Team Calendar'!$C$5:$C$12,K$4)=0),1,"")</x:f>
      </x:c>
      <x:c r="L9" s="100" t="n">
        <x:f>IF(AND(ISNUMBER($D9),ISNUMBER($E9),L$4&gt;=$D9,L$4&lt;=$E9,WEEKDAY(L$4,2)&lt;=5,COUNTIF('Sources &amp; Change Log'!$J$2:$J$5,L$4)=0,COUNTIFS('Team Calendar'!$A$5:$A$12,$F9,'Team Calendar'!$C$5:$C$12,L$4)=0),1,"")</x:f>
        <x:v>1</x:v>
      </x:c>
      <x:c r="M9" s="101" t="n">
        <x:f>IF(AND(ISNUMBER($D9),ISNUMBER($E9),M$4&gt;=$D9,M$4&lt;=$E9,WEEKDAY(M$4,2)&lt;=5,COUNTIF('Sources &amp; Change Log'!$J$2:$J$5,M$4)=0,COUNTIFS('Team Calendar'!$A$5:$A$12,$F9,'Team Calendar'!$C$5:$C$12,M$4)=0),1,"")</x:f>
        <x:v>1</x:v>
      </x:c>
      <x:c r="N9" s="100" t="n">
        <x:f>IF(AND(ISNUMBER($D9),ISNUMBER($E9),N$4&gt;=$D9,N$4&lt;=$E9,WEEKDAY(N$4,2)&lt;=5,COUNTIF('Sources &amp; Change Log'!$J$2:$J$5,N$4)=0,COUNTIFS('Team Calendar'!$A$5:$A$12,$F9,'Team Calendar'!$C$5:$C$12,N$4)=0),1,"")</x:f>
        <x:v>1</x:v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6" t="str">
        <x:f>IF(AND(ISNUMBER($D9),ISNUMBER($E9),P$4&gt;=$D9,P$4&lt;=$E9,WEEKDAY(P$4,2)&lt;=5,COUNTIF('Sources &amp; Change Log'!$J$2:$J$5,P$4)=0,COUNTIFS('Team Calendar'!$A$5:$A$12,$F9,'Team Calendar'!$C$5:$C$12,P$4)=0),1,"")</x:f>
      </x:c>
      <x:c r="Q9" s="107" t="str">
        <x:f>IF(AND(ISNUMBER($D9),ISNUMBER($E9),Q$4&gt;=$D9,Q$4&lt;=$E9,WEEKDAY(Q$4,2)&lt;=5,COUNTIF('Sources &amp; Change Log'!$J$2:$J$5,Q$4)=0,COUNTIFS('Team Calendar'!$A$5:$A$12,$F9,'Team Calendar'!$C$5:$C$12,Q$4)=0),1,"")</x:f>
      </x:c>
      <x:c r="R9" s="107" t="str">
        <x:f>IF(AND(ISNUMBER($D9),ISNUMBER($E9),R$4&gt;=$D9,R$4&lt;=$E9,WEEKDAY(R$4,2)&lt;=5,COUNTIF('Sources &amp; Change Log'!$J$2:$J$5,R$4)=0,COUNTIFS('Team Calendar'!$A$5:$A$12,$F9,'Team Calendar'!$C$5:$C$12,R$4)=0),1,"")</x:f>
      </x:c>
      <x:c r="S9" s="100" t="n">
        <x:f>IF(AND(ISNUMBER($D9),ISNUMBER($E9),S$4&gt;=$D9,S$4&lt;=$E9,WEEKDAY(S$4,2)&lt;=5,COUNTIF('Sources &amp; Change Log'!$J$2:$J$5,S$4)=0,COUNTIFS('Team Calendar'!$A$5:$A$12,$F9,'Team Calendar'!$C$5:$C$12,S$4)=0),1,"")</x:f>
        <x:v>1</x:v>
      </x:c>
      <x:c r="T9" s="100" t="n">
        <x:f>IF(AND(ISNUMBER($D9),ISNUMBER($E9),T$4&gt;=$D9,T$4&lt;=$E9,WEEKDAY(T$4,2)&lt;=5,COUNTIF('Sources &amp; Change Log'!$J$2:$J$5,T$4)=0,COUNTIFS('Team Calendar'!$A$5:$A$12,$F9,'Team Calendar'!$C$5:$C$12,T$4)=0),1,"")</x:f>
        <x:v>1</x:v>
      </x:c>
      <x:c r="U9" s="100" t="n">
        <x:f>IF(AND(ISNUMBER($D9),ISNUMBER($E9),U$4&gt;=$D9,U$4&lt;=$E9,WEEKDAY(U$4,2)&lt;=5,COUNTIF('Sources &amp; Change Log'!$J$2:$J$5,U$4)=0,COUNTIFS('Team Calendar'!$A$5:$A$12,$F9,'Team Calendar'!$C$5:$C$12,U$4)=0),1,"")</x:f>
        <x:v>1</x:v>
      </x:c>
      <x:c r="V9" s="100" t="n">
        <x:f>IF(AND(ISNUMBER($D9),ISNUMBER($E9),V$4&gt;=$D9,V$4&lt;=$E9,WEEKDAY(V$4,2)&lt;=5,COUNTIF('Sources &amp; Change Log'!$J$2:$J$5,V$4)=0,COUNTIFS('Team Calendar'!$A$5:$A$12,$F9,'Team Calendar'!$C$5:$C$12,V$4)=0),1,"")</x:f>
        <x:v>1</x:v>
      </x:c>
      <x:c r="W9" s="100" t="n">
        <x:f>IF(AND(ISNUMBER($D9),ISNUMBER($E9),W$4&gt;=$D9,W$4&lt;=$E9,WEEKDAY(W$4,2)&lt;=5,COUNTIF('Sources &amp; Change Log'!$J$2:$J$5,W$4)=0,COUNTIFS('Team Calendar'!$A$5:$A$12,$F9,'Team Calendar'!$C$5:$C$12,W$4)=0),1,"")</x:f>
        <x:v>1</x:v>
      </x:c>
      <x:c r="X9" s="107" t="str">
        <x:f>IF(AND(ISNUMBER($D9),ISNUMBER($E9),X$4&gt;=$D9,X$4&lt;=$E9,WEEKDAY(X$4,2)&lt;=5,COUNTIF('Sources &amp; Change Log'!$J$2:$J$5,X$4)=0,COUNTIFS('Team Calendar'!$A$5:$A$12,$F9,'Team Calendar'!$C$5:$C$12,X$4)=0),1,"")</x:f>
      </x:c>
      <x:c r="Y9" s="107" t="str">
        <x:f>IF(AND(ISNUMBER($D9),ISNUMBER($E9),Y$4&gt;=$D9,Y$4&lt;=$E9,WEEKDAY(Y$4,2)&lt;=5,COUNTIF('Sources &amp; Change Log'!$J$2:$J$5,Y$4)=0,COUNTIFS('Team Calendar'!$A$5:$A$12,$F9,'Team Calendar'!$C$5:$C$12,Y$4)=0),1,"")</x:f>
      </x:c>
      <x:c r="Z9" s="100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0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7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7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0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0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WBS!A9</x:f>
        <x:v>P1-DNS-01</x:v>
      </x:c>
      <x:c r="B10" s="13" t="str">
        <x:f>WBS!B9</x:f>
        <x:v>Internal DNS Primary/Secondary</x:v>
      </x:c>
      <x:c r="C10" s="13" t="str">
        <x:f>WBS!G9</x:f>
        <x:v>Done</x:v>
      </x:c>
      <x:c r="D10" s="86" t="n">
        <x:f>IF(WBS!H9="","",WBS!H9)</x:f>
        <x:v>46262</x:v>
      </x:c>
      <x:c r="E10" s="86" t="n">
        <x:f>IF(WBS!I9="","",WBS!I9)</x:f>
        <x:v>46268</x:v>
      </x:c>
      <x:c r="F10" s="13" t="str">
        <x:f>WBS!L9</x:f>
        <x:v>이권욱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n">
        <x:f>IF(AND(ISNUMBER($D10),ISNUMBER($E10),I$4&gt;=$D10,I$4&lt;=$E10,WEEKDAY(I$4,2)&lt;=5,COUNTIF('Sources &amp; Change Log'!$J$2:$J$5,I$4)=0,COUNTIFS('Team Calendar'!$A$5:$A$12,$F10,'Team Calendar'!$C$5:$C$12,I$4)=0),1,"")</x:f>
        <x:v>1</x:v>
      </x:c>
      <x:c r="J10" s="107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7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0" t="n">
        <x:f>IF(AND(ISNUMBER($D10),ISNUMBER($E10),L$4&gt;=$D10,L$4&lt;=$E10,WEEKDAY(L$4,2)&lt;=5,COUNTIF('Sources &amp; Change Log'!$J$2:$J$5,L$4)=0,COUNTIFS('Team Calendar'!$A$5:$A$12,$F10,'Team Calendar'!$C$5:$C$12,L$4)=0),1,"")</x:f>
        <x:v>1</x:v>
      </x:c>
      <x:c r="M10" s="101" t="n">
        <x:f>IF(AND(ISNUMBER($D10),ISNUMBER($E10),M$4&gt;=$D10,M$4&lt;=$E10,WEEKDAY(M$4,2)&lt;=5,COUNTIF('Sources &amp; Change Log'!$J$2:$J$5,M$4)=0,COUNTIFS('Team Calendar'!$A$5:$A$12,$F10,'Team Calendar'!$C$5:$C$12,M$4)=0),1,"")</x:f>
        <x:v>1</x:v>
      </x:c>
      <x:c r="N10" s="100" t="n">
        <x:f>IF(AND(ISNUMBER($D10),ISNUMBER($E10),N$4&gt;=$D10,N$4&lt;=$E10,WEEKDAY(N$4,2)&lt;=5,COUNTIF('Sources &amp; Change Log'!$J$2:$J$5,N$4)=0,COUNTIFS('Team Calendar'!$A$5:$A$12,$F10,'Team Calendar'!$C$5:$C$12,N$4)=0),1,"")</x:f>
        <x:v>1</x:v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str">
        <x:f>IF(AND(ISNUMBER($D10),ISNUMBER($E10),P$4&gt;=$D10,P$4&lt;=$E10,WEEKDAY(P$4,2)&lt;=5,COUNTIF('Sources &amp; Change Log'!$J$2:$J$5,P$4)=0,COUNTIFS('Team Calendar'!$A$5:$A$12,$F10,'Team Calendar'!$C$5:$C$12,P$4)=0),1,"")</x:f>
      </x:c>
      <x:c r="Q10" s="107" t="str">
        <x:f>IF(AND(ISNUMBER($D10),ISNUMBER($E10),Q$4&gt;=$D10,Q$4&lt;=$E10,WEEKDAY(Q$4,2)&lt;=5,COUNTIF('Sources &amp; Change Log'!$J$2:$J$5,Q$4)=0,COUNTIFS('Team Calendar'!$A$5:$A$12,$F10,'Team Calendar'!$C$5:$C$12,Q$4)=0),1,"")</x:f>
      </x:c>
      <x:c r="R10" s="107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0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0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str">
        <x:f>IF(AND(ISNUMBER($D10),ISNUMBER($E10),U$4&gt;=$D10,U$4&lt;=$E10,WEEKDAY(U$4,2)&lt;=5,COUNTIF('Sources &amp; Change Log'!$J$2:$J$5,U$4)=0,COUNTIFS('Team Calendar'!$A$5:$A$12,$F10,'Team Calendar'!$C$5:$C$12,U$4)=0),1,"")</x:f>
      </x:c>
      <x:c r="V10" s="100" t="str">
        <x:f>IF(AND(ISNUMBER($D10),ISNUMBER($E10),V$4&gt;=$D10,V$4&lt;=$E10,WEEKDAY(V$4,2)&lt;=5,COUNTIF('Sources &amp; Change Log'!$J$2:$J$5,V$4)=0,COUNTIFS('Team Calendar'!$A$5:$A$12,$F10,'Team Calendar'!$C$5:$C$12,V$4)=0),1,"")</x:f>
      </x:c>
      <x:c r="W10" s="100" t="str">
        <x:f>IF(AND(ISNUMBER($D10),ISNUMBER($E10),W$4&gt;=$D10,W$4&lt;=$E10,WEEKDAY(W$4,2)&lt;=5,COUNTIF('Sources &amp; Change Log'!$J$2:$J$5,W$4)=0,COUNTIFS('Team Calendar'!$A$5:$A$12,$F10,'Team Calendar'!$C$5:$C$12,W$4)=0),1,"")</x:f>
      </x:c>
      <x:c r="X10" s="107" t="str">
        <x:f>IF(AND(ISNUMBER($D10),ISNUMBER($E10),X$4&gt;=$D10,X$4&lt;=$E10,WEEKDAY(X$4,2)&lt;=5,COUNTIF('Sources &amp; Change Log'!$J$2:$J$5,X$4)=0,COUNTIFS('Team Calendar'!$A$5:$A$12,$F10,'Team Calendar'!$C$5:$C$12,X$4)=0),1,"")</x:f>
      </x:c>
      <x:c r="Y10" s="107" t="str">
        <x:f>IF(AND(ISNUMBER($D10),ISNUMBER($E10),Y$4&gt;=$D10,Y$4&lt;=$E10,WEEKDAY(Y$4,2)&lt;=5,COUNTIF('Sources &amp; Change Log'!$J$2:$J$5,Y$4)=0,COUNTIFS('Team Calendar'!$A$5:$A$12,$F10,'Team Calendar'!$C$5:$C$12,Y$4)=0),1,"")</x:f>
      </x:c>
      <x:c r="Z10" s="100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0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7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7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0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0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WBS!A10</x:f>
        <x:v>P1-HBR-01</x:v>
      </x:c>
      <x:c r="B11" s="13" t="str">
        <x:f>WBS!B10</x:f>
        <x:v>Harbor / Trivy Registry</x:v>
      </x:c>
      <x:c r="C11" s="13" t="str">
        <x:f>WBS!G10</x:f>
        <x:v>In Progress</x:v>
      </x:c>
      <x:c r="D11" s="86" t="n">
        <x:f>IF(WBS!H10="","",WBS!H10)</x:f>
        <x:v>46265</x:v>
      </x:c>
      <x:c r="E11" s="86" t="n">
        <x:f>IF(WBS!I10="","",WBS!I10)</x:f>
        <x:v>46282</x:v>
      </x:c>
      <x:c r="F11" s="13" t="str">
        <x:f>WBS!L10</x:f>
        <x:v>이하영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7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7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0" t="n">
        <x:f>IF(AND(ISNUMBER($D11),ISNUMBER($E11),L$4&gt;=$D11,L$4&lt;=$E11,WEEKDAY(L$4,2)&lt;=5,COUNTIF('Sources &amp; Change Log'!$J$2:$J$5,L$4)=0,COUNTIFS('Team Calendar'!$A$5:$A$12,$F11,'Team Calendar'!$C$5:$C$12,L$4)=0),1,"")</x:f>
        <x:v>1</x:v>
      </x:c>
      <x:c r="M11" s="101" t="n">
        <x:f>IF(AND(ISNUMBER($D11),ISNUMBER($E11),M$4&gt;=$D11,M$4&lt;=$E11,WEEKDAY(M$4,2)&lt;=5,COUNTIF('Sources &amp; Change Log'!$J$2:$J$5,M$4)=0,COUNTIFS('Team Calendar'!$A$5:$A$12,$F11,'Team Calendar'!$C$5:$C$12,M$4)=0),1,"")</x:f>
        <x:v>1</x:v>
      </x:c>
      <x:c r="N11" s="100" t="n">
        <x:f>IF(AND(ISNUMBER($D11),ISNUMBER($E11),N$4&gt;=$D11,N$4&lt;=$E11,WEEKDAY(N$4,2)&lt;=5,COUNTIF('Sources &amp; Change Log'!$J$2:$J$5,N$4)=0,COUNTIFS('Team Calendar'!$A$5:$A$12,$F11,'Team Calendar'!$C$5:$C$12,N$4)=0),1,"")</x:f>
        <x:v>1</x:v>
      </x:c>
      <x:c r="O11" s="100" t="n">
        <x:f>IF(AND(ISNUMBER($D11),ISNUMBER($E11),O$4&gt;=$D11,O$4&lt;=$E11,WEEKDAY(O$4,2)&lt;=5,COUNTIF('Sources &amp; Change Log'!$J$2:$J$5,O$4)=0,COUNTIFS('Team Calendar'!$A$5:$A$12,$F11,'Team Calendar'!$C$5:$C$12,O$4)=0),1,"")</x:f>
        <x:v>1</x:v>
      </x:c>
      <x:c r="P11" s="100" t="n">
        <x:f>IF(AND(ISNUMBER($D11),ISNUMBER($E11),P$4&gt;=$D11,P$4&lt;=$E11,WEEKDAY(P$4,2)&lt;=5,COUNTIF('Sources &amp; Change Log'!$J$2:$J$5,P$4)=0,COUNTIFS('Team Calendar'!$A$5:$A$12,$F11,'Team Calendar'!$C$5:$C$12,P$4)=0),1,"")</x:f>
        <x:v>1</x:v>
      </x:c>
      <x:c r="Q11" s="107" t="str">
        <x:f>IF(AND(ISNUMBER($D11),ISNUMBER($E11),Q$4&gt;=$D11,Q$4&lt;=$E11,WEEKDAY(Q$4,2)&lt;=5,COUNTIF('Sources &amp; Change Log'!$J$2:$J$5,Q$4)=0,COUNTIFS('Team Calendar'!$A$5:$A$12,$F11,'Team Calendar'!$C$5:$C$12,Q$4)=0),1,"")</x:f>
      </x:c>
      <x:c r="R11" s="107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0" t="n">
        <x:f>IF(AND(ISNUMBER($D11),ISNUMBER($E11),S$4&gt;=$D11,S$4&lt;=$E11,WEEKDAY(S$4,2)&lt;=5,COUNTIF('Sources &amp; Change Log'!$J$2:$J$5,S$4)=0,COUNTIFS('Team Calendar'!$A$5:$A$12,$F11,'Team Calendar'!$C$5:$C$12,S$4)=0),1,"")</x:f>
        <x:v>1</x:v>
      </x:c>
      <x:c r="T11" s="102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n">
        <x:f>IF(AND(ISNUMBER($D11),ISNUMBER($E11),U$4&gt;=$D11,U$4&lt;=$E11,WEEKDAY(U$4,2)&lt;=5,COUNTIF('Sources &amp; Change Log'!$J$2:$J$5,U$4)=0,COUNTIFS('Team Calendar'!$A$5:$A$12,$F11,'Team Calendar'!$C$5:$C$12,U$4)=0),1,"")</x:f>
        <x:v>1</x:v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n">
        <x:f>IF(AND(ISNUMBER($D11),ISNUMBER($E11),W$4&gt;=$D11,W$4&lt;=$E11,WEEKDAY(W$4,2)&lt;=5,COUNTIF('Sources &amp; Change Log'!$J$2:$J$5,W$4)=0,COUNTIFS('Team Calendar'!$A$5:$A$12,$F11,'Team Calendar'!$C$5:$C$12,W$4)=0),1,"")</x:f>
        <x:v>1</x:v>
      </x:c>
      <x:c r="X11" s="107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7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0" t="n">
        <x:f>IF(AND(ISNUMBER($D11),ISNUMBER($E11),Z$4&gt;=$D11,Z$4&lt;=$E11,WEEKDAY(Z$4,2)&lt;=5,COUNTIF('Sources &amp; Change Log'!$J$2:$J$5,Z$4)=0,COUNTIFS('Team Calendar'!$A$5:$A$12,$F11,'Team Calendar'!$C$5:$C$12,Z$4)=0),1,"")</x:f>
        <x:v>1</x:v>
      </x:c>
      <x:c r="AA11" s="100" t="n">
        <x:f>IF(AND(ISNUMBER($D11),ISNUMBER($E11),AA$4&gt;=$D11,AA$4&lt;=$E11,WEEKDAY(AA$4,2)&lt;=5,COUNTIF('Sources &amp; Change Log'!$J$2:$J$5,AA$4)=0,COUNTIFS('Team Calendar'!$A$5:$A$12,$F11,'Team Calendar'!$C$5:$C$12,AA$4)=0),1,"")</x:f>
        <x:v>1</x:v>
      </x:c>
      <x:c r="AB11" s="100" t="n">
        <x:f>IF(AND(ISNUMBER($D11),ISNUMBER($E11),AB$4&gt;=$D11,AB$4&lt;=$E11,WEEKDAY(AB$4,2)&lt;=5,COUNTIF('Sources &amp; Change Log'!$J$2:$J$5,AB$4)=0,COUNTIFS('Team Calendar'!$A$5:$A$12,$F11,'Team Calendar'!$C$5:$C$12,AB$4)=0),1,"")</x:f>
        <x:v>1</x:v>
      </x:c>
      <x:c r="AC11" s="100" t="n">
        <x:f>IF(AND(ISNUMBER($D11),ISNUMBER($E11),AC$4&gt;=$D11,AC$4&lt;=$E11,WEEKDAY(AC$4,2)&lt;=5,COUNTIF('Sources &amp; Change Log'!$J$2:$J$5,AC$4)=0,COUNTIFS('Team Calendar'!$A$5:$A$12,$F11,'Team Calendar'!$C$5:$C$12,AC$4)=0),1,"")</x:f>
        <x:v>1</x:v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7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7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0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0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WBS!A11</x:f>
        <x:v>ICR-D-NET-01-01</x:v>
      </x:c>
      <x:c r="B12" s="13" t="str">
        <x:f>WBS!B11</x:f>
        <x:v>Kubernetes Node Host Firewall / Monitoring Route</x:v>
      </x:c>
      <x:c r="C12" s="13" t="str">
        <x:f>WBS!G11</x:f>
        <x:v>In Progress</x:v>
      </x:c>
      <x:c r="D12" s="86" t="n">
        <x:f>IF(WBS!H11="","",WBS!H11)</x:f>
        <x:v>46266</x:v>
      </x:c>
      <x:c r="E12" s="86" t="n">
        <x:f>IF(WBS!I11="","",WBS!I11)</x:f>
        <x:v>46286</x:v>
      </x:c>
      <x:c r="F12" s="13" t="str">
        <x:f>WBS!L11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7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7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0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1" t="n">
        <x:f>IF(AND(ISNUMBER($D12),ISNUMBER($E12),M$4&gt;=$D12,M$4&lt;=$E12,WEEKDAY(M$4,2)&lt;=5,COUNTIF('Sources &amp; Change Log'!$J$2:$J$5,M$4)=0,COUNTIFS('Team Calendar'!$A$5:$A$12,$F12,'Team Calendar'!$C$5:$C$12,M$4)=0),1,"")</x:f>
        <x:v>1</x:v>
      </x:c>
      <x:c r="N12" s="100" t="n">
        <x:f>IF(AND(ISNUMBER($D12),ISNUMBER($E12),N$4&gt;=$D12,N$4&lt;=$E12,WEEKDAY(N$4,2)&lt;=5,COUNTIF('Sources &amp; Change Log'!$J$2:$J$5,N$4)=0,COUNTIFS('Team Calendar'!$A$5:$A$12,$F12,'Team Calendar'!$C$5:$C$12,N$4)=0),1,"")</x:f>
        <x:v>1</x:v>
      </x:c>
      <x:c r="O12" s="100" t="n">
        <x:f>IF(AND(ISNUMBER($D12),ISNUMBER($E12),O$4&gt;=$D12,O$4&lt;=$E12,WEEKDAY(O$4,2)&lt;=5,COUNTIF('Sources &amp; Change Log'!$J$2:$J$5,O$4)=0,COUNTIFS('Team Calendar'!$A$5:$A$12,$F12,'Team Calendar'!$C$5:$C$12,O$4)=0),1,"")</x:f>
        <x:v>1</x:v>
      </x:c>
      <x:c r="P12" s="100" t="n">
        <x:f>IF(AND(ISNUMBER($D12),ISNUMBER($E12),P$4&gt;=$D12,P$4&lt;=$E12,WEEKDAY(P$4,2)&lt;=5,COUNTIF('Sources &amp; Change Log'!$J$2:$J$5,P$4)=0,COUNTIFS('Team Calendar'!$A$5:$A$12,$F12,'Team Calendar'!$C$5:$C$12,P$4)=0),1,"")</x:f>
        <x:v>1</x:v>
      </x:c>
      <x:c r="Q12" s="107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7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0" t="n">
        <x:f>IF(AND(ISNUMBER($D12),ISNUMBER($E12),S$4&gt;=$D12,S$4&lt;=$E12,WEEKDAY(S$4,2)&lt;=5,COUNTIF('Sources &amp; Change Log'!$J$2:$J$5,S$4)=0,COUNTIFS('Team Calendar'!$A$5:$A$12,$F12,'Team Calendar'!$C$5:$C$12,S$4)=0),1,"")</x:f>
        <x:v>1</x:v>
      </x:c>
      <x:c r="T12" s="100" t="n">
        <x:f>IF(AND(ISNUMBER($D12),ISNUMBER($E12),T$4&gt;=$D12,T$4&lt;=$E12,WEEKDAY(T$4,2)&lt;=5,COUNTIF('Sources &amp; Change Log'!$J$2:$J$5,T$4)=0,COUNTIFS('Team Calendar'!$A$5:$A$12,$F12,'Team Calendar'!$C$5:$C$12,T$4)=0),1,"")</x:f>
        <x:v>1</x:v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7" t="str">
        <x:f>IF(AND(ISNUMBER($D12),ISNUMBER($E12),X$4&gt;=$D12,X$4&lt;=$E12,WEEKDAY(X$4,2)&lt;=5,COUNTIF('Sources &amp; Change Log'!$J$2:$J$5,X$4)=0,COUNTIFS('Team Calendar'!$A$5:$A$12,$F12,'Team Calendar'!$C$5:$C$12,X$4)=0),1,"")</x:f>
      </x:c>
      <x:c r="Y12" s="107" t="str">
        <x:f>IF(AND(ISNUMBER($D12),ISNUMBER($E12),Y$4&gt;=$D12,Y$4&lt;=$E12,WEEKDAY(Y$4,2)&lt;=5,COUNTIF('Sources &amp; Change Log'!$J$2:$J$5,Y$4)=0,COUNTIFS('Team Calendar'!$A$5:$A$12,$F12,'Team Calendar'!$C$5:$C$12,Y$4)=0),1,"")</x:f>
      </x:c>
      <x:c r="Z12" s="100" t="n">
        <x:f>IF(AND(ISNUMBER($D12),ISNUMBER($E12),Z$4&gt;=$D12,Z$4&lt;=$E12,WEEKDAY(Z$4,2)&lt;=5,COUNTIF('Sources &amp; Change Log'!$J$2:$J$5,Z$4)=0,COUNTIFS('Team Calendar'!$A$5:$A$12,$F12,'Team Calendar'!$C$5:$C$12,Z$4)=0),1,"")</x:f>
        <x:v>1</x:v>
      </x:c>
      <x:c r="AA12" s="100" t="n">
        <x:f>IF(AND(ISNUMBER($D12),ISNUMBER($E12),AA$4&gt;=$D12,AA$4&lt;=$E12,WEEKDAY(AA$4,2)&lt;=5,COUNTIF('Sources &amp; Change Log'!$J$2:$J$5,AA$4)=0,COUNTIFS('Team Calendar'!$A$5:$A$12,$F12,'Team Calendar'!$C$5:$C$12,AA$4)=0),1,"")</x:f>
        <x:v>1</x:v>
      </x:c>
      <x:c r="AB12" s="100" t="n">
        <x:f>IF(AND(ISNUMBER($D12),ISNUMBER($E12),AB$4&gt;=$D12,AB$4&lt;=$E12,WEEKDAY(AB$4,2)&lt;=5,COUNTIF('Sources &amp; Change Log'!$J$2:$J$5,AB$4)=0,COUNTIFS('Team Calendar'!$A$5:$A$12,$F12,'Team Calendar'!$C$5:$C$12,AB$4)=0),1,"")</x:f>
        <x:v>1</x:v>
      </x:c>
      <x:c r="AC12" s="100" t="n">
        <x:f>IF(AND(ISNUMBER($D12),ISNUMBER($E12),AC$4&gt;=$D12,AC$4&lt;=$E12,WEEKDAY(AC$4,2)&lt;=5,COUNTIF('Sources &amp; Change Log'!$J$2:$J$5,AC$4)=0,COUNTIFS('Team Calendar'!$A$5:$A$12,$F12,'Team Calendar'!$C$5:$C$12,AC$4)=0),1,"")</x:f>
        <x:v>1</x:v>
      </x:c>
      <x:c r="AD12" s="100" t="n">
        <x:f>IF(AND(ISNUMBER($D12),ISNUMBER($E12),AD$4&gt;=$D12,AD$4&lt;=$E12,WEEKDAY(AD$4,2)&lt;=5,COUNTIF('Sources &amp; Change Log'!$J$2:$J$5,AD$4)=0,COUNTIFS('Team Calendar'!$A$5:$A$12,$F12,'Team Calendar'!$C$5:$C$12,AD$4)=0),1,"")</x:f>
        <x:v>1</x:v>
      </x:c>
      <x:c r="AE12" s="107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7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0" t="n">
        <x:f>IF(AND(ISNUMBER($D12),ISNUMBER($E12),AG$4&gt;=$D12,AG$4&lt;=$E12,WEEKDAY(AG$4,2)&lt;=5,COUNTIF('Sources &amp; Change Log'!$J$2:$J$5,AG$4)=0,COUNTIFS('Team Calendar'!$A$5:$A$12,$F12,'Team Calendar'!$C$5:$C$12,AG$4)=0),1,"")</x:f>
        <x:v>1</x:v>
      </x:c>
      <x:c r="AH12" s="100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WBS!A12</x:f>
        <x:v>CR-P1-ANS-01-01</x:v>
      </x:c>
      <x:c r="B13" s="13" t="str">
        <x:f>WBS!B12</x:f>
        <x:v>Ansible Kubernetes Node DNS Resolver 변경</x:v>
      </x:c>
      <x:c r="C13" s="13" t="str">
        <x:f>WBS!G12</x:f>
        <x:v>Done</x:v>
      </x:c>
      <x:c r="D13" s="86" t="n">
        <x:f>IF(WBS!H12="","",WBS!H12)</x:f>
        <x:v>46269</x:v>
      </x:c>
      <x:c r="E13" s="86" t="n">
        <x:f>IF(WBS!I12="","",WBS!I12)</x:f>
        <x:v>46272</x:v>
      </x:c>
      <x:c r="F13" s="13" t="str">
        <x:f>WBS!L12</x:f>
        <x:v>이권욱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7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7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0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1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6" t="n">
        <x:f>IF(AND(ISNUMBER($D13),ISNUMBER($E13),P$4&gt;=$D13,P$4&lt;=$E13,WEEKDAY(P$4,2)&lt;=5,COUNTIF('Sources &amp; Change Log'!$J$2:$J$5,P$4)=0,COUNTIFS('Team Calendar'!$A$5:$A$12,$F13,'Team Calendar'!$C$5:$C$12,P$4)=0),1,"")</x:f>
        <x:v>1</x:v>
      </x:c>
      <x:c r="Q13" s="107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7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0" t="n">
        <x:f>IF(AND(ISNUMBER($D13),ISNUMBER($E13),S$4&gt;=$D13,S$4&lt;=$E13,WEEKDAY(S$4,2)&lt;=5,COUNTIF('Sources &amp; Change Log'!$J$2:$J$5,S$4)=0,COUNTIFS('Team Calendar'!$A$5:$A$12,$F13,'Team Calendar'!$C$5:$C$12,S$4)=0),1,"")</x:f>
        <x:v>1</x:v>
      </x:c>
      <x:c r="T13" s="100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str">
        <x:f>IF(AND(ISNUMBER($D13),ISNUMBER($E13),U$4&gt;=$D13,U$4&lt;=$E13,WEEKDAY(U$4,2)&lt;=5,COUNTIF('Sources &amp; Change Log'!$J$2:$J$5,U$4)=0,COUNTIFS('Team Calendar'!$A$5:$A$12,$F13,'Team Calendar'!$C$5:$C$12,U$4)=0),1,"")</x:f>
      </x:c>
      <x:c r="V13" s="100" t="str">
        <x:f>IF(AND(ISNUMBER($D13),ISNUMBER($E13),V$4&gt;=$D13,V$4&lt;=$E13,WEEKDAY(V$4,2)&lt;=5,COUNTIF('Sources &amp; Change Log'!$J$2:$J$5,V$4)=0,COUNTIFS('Team Calendar'!$A$5:$A$12,$F13,'Team Calendar'!$C$5:$C$12,V$4)=0),1,"")</x:f>
      </x:c>
      <x:c r="W13" s="100" t="str">
        <x:f>IF(AND(ISNUMBER($D13),ISNUMBER($E13),W$4&gt;=$D13,W$4&lt;=$E13,WEEKDAY(W$4,2)&lt;=5,COUNTIF('Sources &amp; Change Log'!$J$2:$J$5,W$4)=0,COUNTIFS('Team Calendar'!$A$5:$A$12,$F13,'Team Calendar'!$C$5:$C$12,W$4)=0),1,"")</x:f>
      </x:c>
      <x:c r="X13" s="107" t="str">
        <x:f>IF(AND(ISNUMBER($D13),ISNUMBER($E13),X$4&gt;=$D13,X$4&lt;=$E13,WEEKDAY(X$4,2)&lt;=5,COUNTIF('Sources &amp; Change Log'!$J$2:$J$5,X$4)=0,COUNTIFS('Team Calendar'!$A$5:$A$12,$F13,'Team Calendar'!$C$5:$C$12,X$4)=0),1,"")</x:f>
      </x:c>
      <x:c r="Y13" s="107" t="str">
        <x:f>IF(AND(ISNUMBER($D13),ISNUMBER($E13),Y$4&gt;=$D13,Y$4&lt;=$E13,WEEKDAY(Y$4,2)&lt;=5,COUNTIF('Sources &amp; Change Log'!$J$2:$J$5,Y$4)=0,COUNTIFS('Team Calendar'!$A$5:$A$12,$F13,'Team Calendar'!$C$5:$C$12,Y$4)=0),1,"")</x:f>
      </x:c>
      <x:c r="Z13" s="100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0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7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7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0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0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WBS!A13</x:f>
        <x:v>P1-APP-01</x:v>
      </x:c>
      <x:c r="B14" s="13" t="str">
        <x:f>WBS!B13</x:f>
        <x:v>transaction-api / fds-engine</x:v>
      </x:c>
      <x:c r="C14" s="13" t="str">
        <x:f>WBS!G13</x:f>
        <x:v>In Progress</x:v>
      </x:c>
      <x:c r="D14" s="86" t="n">
        <x:f>IF(WBS!H13="","",WBS!H13)</x:f>
        <x:v>46266</x:v>
      </x:c>
      <x:c r="E14" s="86" t="n">
        <x:f>IF(WBS!I13="","",WBS!I13)</x:f>
        <x:v>46283</x:v>
      </x:c>
      <x:c r="F14" s="13" t="str">
        <x:f>WBS!L13</x:f>
        <x:v>이재환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7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7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0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1" t="n">
        <x:f>IF(AND(ISNUMBER($D14),ISNUMBER($E14),M$4&gt;=$D14,M$4&lt;=$E14,WEEKDAY(M$4,2)&lt;=5,COUNTIF('Sources &amp; Change Log'!$J$2:$J$5,M$4)=0,COUNTIFS('Team Calendar'!$A$5:$A$12,$F14,'Team Calendar'!$C$5:$C$12,M$4)=0),1,"")</x:f>
        <x:v>1</x:v>
      </x:c>
      <x:c r="N14" s="100" t="n">
        <x:f>IF(AND(ISNUMBER($D14),ISNUMBER($E14),N$4&gt;=$D14,N$4&lt;=$E14,WEEKDAY(N$4,2)&lt;=5,COUNTIF('Sources &amp; Change Log'!$J$2:$J$5,N$4)=0,COUNTIFS('Team Calendar'!$A$5:$A$12,$F14,'Team Calendar'!$C$5:$C$12,N$4)=0),1,"")</x:f>
        <x:v>1</x:v>
      </x:c>
      <x:c r="O14" s="100" t="n">
        <x:f>IF(AND(ISNUMBER($D14),ISNUMBER($E14),O$4&gt;=$D14,O$4&lt;=$E14,WEEKDAY(O$4,2)&lt;=5,COUNTIF('Sources &amp; Change Log'!$J$2:$J$5,O$4)=0,COUNTIFS('Team Calendar'!$A$5:$A$12,$F14,'Team Calendar'!$C$5:$C$12,O$4)=0),1,"")</x:f>
        <x:v>1</x:v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7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7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0" t="n">
        <x:f>IF(AND(ISNUMBER($D14),ISNUMBER($E14),S$4&gt;=$D14,S$4&lt;=$E14,WEEKDAY(S$4,2)&lt;=5,COUNTIF('Sources &amp; Change Log'!$J$2:$J$5,S$4)=0,COUNTIFS('Team Calendar'!$A$5:$A$12,$F14,'Team Calendar'!$C$5:$C$12,S$4)=0),1,"")</x:f>
        <x:v>1</x:v>
      </x:c>
      <x:c r="T14" s="100" t="n">
        <x:f>IF(AND(ISNUMBER($D14),ISNUMBER($E14),T$4&gt;=$D14,T$4&lt;=$E14,WEEKDAY(T$4,2)&lt;=5,COUNTIF('Sources &amp; Change Log'!$J$2:$J$5,T$4)=0,COUNTIFS('Team Calendar'!$A$5:$A$12,$F14,'Team Calendar'!$C$5:$C$12,T$4)=0),1,"")</x:f>
        <x:v>1</x:v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7" t="str">
        <x:f>IF(AND(ISNUMBER($D14),ISNUMBER($E14),X$4&gt;=$D14,X$4&lt;=$E14,WEEKDAY(X$4,2)&lt;=5,COUNTIF('Sources &amp; Change Log'!$J$2:$J$5,X$4)=0,COUNTIFS('Team Calendar'!$A$5:$A$12,$F14,'Team Calendar'!$C$5:$C$12,X$4)=0),1,"")</x:f>
      </x:c>
      <x:c r="Y14" s="107" t="str">
        <x:f>IF(AND(ISNUMBER($D14),ISNUMBER($E14),Y$4&gt;=$D14,Y$4&lt;=$E14,WEEKDAY(Y$4,2)&lt;=5,COUNTIF('Sources &amp; Change Log'!$J$2:$J$5,Y$4)=0,COUNTIFS('Team Calendar'!$A$5:$A$12,$F14,'Team Calendar'!$C$5:$C$12,Y$4)=0),1,"")</x:f>
      </x:c>
      <x:c r="Z14" s="100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0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n">
        <x:f>IF(AND(ISNUMBER($D14),ISNUMBER($E14),AD$4&gt;=$D14,AD$4&lt;=$E14,WEEKDAY(AD$4,2)&lt;=5,COUNTIF('Sources &amp; Change Log'!$J$2:$J$5,AD$4)=0,COUNTIFS('Team Calendar'!$A$5:$A$12,$F14,'Team Calendar'!$C$5:$C$12,AD$4)=0),1,"")</x:f>
        <x:v>1</x:v>
      </x:c>
      <x:c r="AE14" s="107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7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0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0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WBS!A14</x:f>
        <x:v>P1-CICD-01</x:v>
      </x:c>
      <x:c r="B15" s="13" t="str">
        <x:f>WBS!B14</x:f>
        <x:v>GitHub Actions / Self-hosted Runner Delivery</x:v>
      </x:c>
      <x:c r="C15" s="13" t="str">
        <x:f>WBS!G14</x:f>
        <x:v>In Progress</x:v>
      </x:c>
      <x:c r="D15" s="86" t="n">
        <x:f>IF(WBS!H14="","",WBS!H14)</x:f>
        <x:v>46266</x:v>
      </x:c>
      <x:c r="E15" s="86" t="n">
        <x:f>IF(WBS!I14="","",WBS!I14)</x:f>
        <x:v>46283</x:v>
      </x:c>
      <x:c r="F15" s="13" t="str">
        <x:f>WBS!L14</x:f>
        <x:v>이권욱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7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7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0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1" t="n">
        <x:f>IF(AND(ISNUMBER($D15),ISNUMBER($E15),M$4&gt;=$D15,M$4&lt;=$E15,WEEKDAY(M$4,2)&lt;=5,COUNTIF('Sources &amp; Change Log'!$J$2:$J$5,M$4)=0,COUNTIFS('Team Calendar'!$A$5:$A$12,$F15,'Team Calendar'!$C$5:$C$12,M$4)=0),1,"")</x:f>
        <x:v>1</x:v>
      </x:c>
      <x:c r="N15" s="100" t="n">
        <x:f>IF(AND(ISNUMBER($D15),ISNUMBER($E15),N$4&gt;=$D15,N$4&lt;=$E15,WEEKDAY(N$4,2)&lt;=5,COUNTIF('Sources &amp; Change Log'!$J$2:$J$5,N$4)=0,COUNTIFS('Team Calendar'!$A$5:$A$12,$F15,'Team Calendar'!$C$5:$C$12,N$4)=0),1,"")</x:f>
        <x:v>1</x:v>
      </x:c>
      <x:c r="O15" s="100" t="n">
        <x:f>IF(AND(ISNUMBER($D15),ISNUMBER($E15),O$4&gt;=$D15,O$4&lt;=$E15,WEEKDAY(O$4,2)&lt;=5,COUNTIF('Sources &amp; Change Log'!$J$2:$J$5,O$4)=0,COUNTIFS('Team Calendar'!$A$5:$A$12,$F15,'Team Calendar'!$C$5:$C$12,O$4)=0),1,"")</x:f>
        <x:v>1</x:v>
      </x:c>
      <x:c r="P15" s="100" t="n">
        <x:f>IF(AND(ISNUMBER($D15),ISNUMBER($E15),P$4&gt;=$D15,P$4&lt;=$E15,WEEKDAY(P$4,2)&lt;=5,COUNTIF('Sources &amp; Change Log'!$J$2:$J$5,P$4)=0,COUNTIFS('Team Calendar'!$A$5:$A$12,$F15,'Team Calendar'!$C$5:$C$12,P$4)=0),1,"")</x:f>
        <x:v>1</x:v>
      </x:c>
      <x:c r="Q15" s="107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7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0" t="n">
        <x:f>IF(AND(ISNUMBER($D15),ISNUMBER($E15),S$4&gt;=$D15,S$4&lt;=$E15,WEEKDAY(S$4,2)&lt;=5,COUNTIF('Sources &amp; Change Log'!$J$2:$J$5,S$4)=0,COUNTIFS('Team Calendar'!$A$5:$A$12,$F15,'Team Calendar'!$C$5:$C$12,S$4)=0),1,"")</x:f>
        <x:v>1</x:v>
      </x:c>
      <x:c r="T15" s="100" t="n">
        <x:f>IF(AND(ISNUMBER($D15),ISNUMBER($E15),T$4&gt;=$D15,T$4&lt;=$E15,WEEKDAY(T$4,2)&lt;=5,COUNTIF('Sources &amp; Change Log'!$J$2:$J$5,T$4)=0,COUNTIFS('Team Calendar'!$A$5:$A$12,$F15,'Team Calendar'!$C$5:$C$12,T$4)=0),1,"")</x:f>
        <x:v>1</x:v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7" t="str">
        <x:f>IF(AND(ISNUMBER($D15),ISNUMBER($E15),X$4&gt;=$D15,X$4&lt;=$E15,WEEKDAY(X$4,2)&lt;=5,COUNTIF('Sources &amp; Change Log'!$J$2:$J$5,X$4)=0,COUNTIFS('Team Calendar'!$A$5:$A$12,$F15,'Team Calendar'!$C$5:$C$12,X$4)=0),1,"")</x:f>
      </x:c>
      <x:c r="Y15" s="107" t="str">
        <x:f>IF(AND(ISNUMBER($D15),ISNUMBER($E15),Y$4&gt;=$D15,Y$4&lt;=$E15,WEEKDAY(Y$4,2)&lt;=5,COUNTIF('Sources &amp; Change Log'!$J$2:$J$5,Y$4)=0,COUNTIFS('Team Calendar'!$A$5:$A$12,$F15,'Team Calendar'!$C$5:$C$12,Y$4)=0),1,"")</x:f>
      </x:c>
      <x:c r="Z15" s="100" t="n">
        <x:f>IF(AND(ISNUMBER($D15),ISNUMBER($E15),Z$4&gt;=$D15,Z$4&lt;=$E15,WEEKDAY(Z$4,2)&lt;=5,COUNTIF('Sources &amp; Change Log'!$J$2:$J$5,Z$4)=0,COUNTIFS('Team Calendar'!$A$5:$A$12,$F15,'Team Calendar'!$C$5:$C$12,Z$4)=0),1,"")</x:f>
        <x:v>1</x:v>
      </x:c>
      <x:c r="AA15" s="100" t="n">
        <x:f>IF(AND(ISNUMBER($D15),ISNUMBER($E15),AA$4&gt;=$D15,AA$4&lt;=$E15,WEEKDAY(AA$4,2)&lt;=5,COUNTIF('Sources &amp; Change Log'!$J$2:$J$5,AA$4)=0,COUNTIFS('Team Calendar'!$A$5:$A$12,$F15,'Team Calendar'!$C$5:$C$12,AA$4)=0),1,"")</x:f>
        <x:v>1</x:v>
      </x:c>
      <x:c r="AB15" s="100" t="n">
        <x:f>IF(AND(ISNUMBER($D15),ISNUMBER($E15),AB$4&gt;=$D15,AB$4&lt;=$E15,WEEKDAY(AB$4,2)&lt;=5,COUNTIF('Sources &amp; Change Log'!$J$2:$J$5,AB$4)=0,COUNTIFS('Team Calendar'!$A$5:$A$12,$F15,'Team Calendar'!$C$5:$C$12,AB$4)=0),1,"")</x:f>
        <x:v>1</x:v>
      </x:c>
      <x:c r="AC15" s="100" t="n">
        <x:f>IF(AND(ISNUMBER($D15),ISNUMBER($E15),AC$4&gt;=$D15,AC$4&lt;=$E15,WEEKDAY(AC$4,2)&lt;=5,COUNTIF('Sources &amp; Change Log'!$J$2:$J$5,AC$4)=0,COUNTIFS('Team Calendar'!$A$5:$A$12,$F15,'Team Calendar'!$C$5:$C$12,AC$4)=0),1,"")</x:f>
        <x:v>1</x:v>
      </x:c>
      <x:c r="AD15" s="100" t="n">
        <x:f>IF(AND(ISNUMBER($D15),ISNUMBER($E15),AD$4&gt;=$D15,AD$4&lt;=$E15,WEEKDAY(AD$4,2)&lt;=5,COUNTIF('Sources &amp; Change Log'!$J$2:$J$5,AD$4)=0,COUNTIFS('Team Calendar'!$A$5:$A$12,$F15,'Team Calendar'!$C$5:$C$12,AD$4)=0),1,"")</x:f>
        <x:v>1</x:v>
      </x:c>
      <x:c r="AE15" s="107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7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0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0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WBS!A16</x:f>
        <x:v>MS-G1-01</x:v>
      </x:c>
      <x:c r="B16" s="13" t="str">
        <x:f>WBS!B16</x:f>
        <x:v>G1 Infrastructure Ready</x:v>
      </x:c>
      <x:c r="C16" s="13" t="str">
        <x:f>WBS!G16</x:f>
        <x:v>To Do</x:v>
      </x:c>
      <x:c r="D16" s="86" t="n">
        <x:f>IF(WBS!H16="","",WBS!H16)</x:f>
        <x:v>46282</x:v>
      </x:c>
      <x:c r="E16" s="86" t="n">
        <x:f>IF(WBS!I16="","",WBS!I16)</x:f>
        <x:v>46282</x:v>
      </x:c>
      <x:c r="F16" s="13" t="str">
        <x:f>WBS!L16</x:f>
        <x:v>이권욱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7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7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0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1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6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7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7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0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0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7" t="str">
        <x:f>IF(AND(ISNUMBER($D16),ISNUMBER($E16),X$4&gt;=$D16,X$4&lt;=$E16,WEEKDAY(X$4,2)&lt;=5,COUNTIF('Sources &amp; Change Log'!$J$2:$J$5,X$4)=0,COUNTIFS('Team Calendar'!$A$5:$A$12,$F16,'Team Calendar'!$C$5:$C$12,X$4)=0),1,"")</x:f>
      </x:c>
      <x:c r="Y16" s="107" t="str">
        <x:f>IF(AND(ISNUMBER($D16),ISNUMBER($E16),Y$4&gt;=$D16,Y$4&lt;=$E16,WEEKDAY(Y$4,2)&lt;=5,COUNTIF('Sources &amp; Change Log'!$J$2:$J$5,Y$4)=0,COUNTIFS('Team Calendar'!$A$5:$A$12,$F16,'Team Calendar'!$C$5:$C$12,Y$4)=0),1,"")</x:f>
      </x:c>
      <x:c r="Z16" s="100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0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str">
        <x:f>IF(AND(ISNUMBER($D16),ISNUMBER($E16),AB$4&gt;=$D16,AB$4&lt;=$E16,WEEKDAY(AB$4,2)&lt;=5,COUNTIF('Sources &amp; Change Log'!$J$2:$J$5,AB$4)=0,COUNTIFS('Team Calendar'!$A$5:$A$12,$F16,'Team Calendar'!$C$5:$C$12,AB$4)=0),1,"")</x:f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str">
        <x:f>IF(AND(ISNUMBER($D16),ISNUMBER($E16),AD$4&gt;=$D16,AD$4&lt;=$E16,WEEKDAY(AD$4,2)&lt;=5,COUNTIF('Sources &amp; Change Log'!$J$2:$J$5,AD$4)=0,COUNTIFS('Team Calendar'!$A$5:$A$12,$F16,'Team Calendar'!$C$5:$C$12,AD$4)=0),1,"")</x:f>
      </x:c>
      <x:c r="AE16" s="107" t="str">
        <x:f>IF(AND(ISNUMBER($D16),ISNUMBER($E16),AE$4&gt;=$D16,AE$4&lt;=$E16,WEEKDAY(AE$4,2)&lt;=5,COUNTIF('Sources &amp; Change Log'!$J$2:$J$5,AE$4)=0,COUNTIFS('Team Calendar'!$A$5:$A$12,$F16,'Team Calendar'!$C$5:$C$12,AE$4)=0),1,"")</x:f>
      </x:c>
      <x:c r="AF16" s="107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0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0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WBS!A15</x:f>
        <x:v>P1-MON-01</x:v>
      </x:c>
      <x:c r="B17" s="13" t="str">
        <x:f>WBS!B15</x:f>
        <x:v>Kubernetes-Integrated Hybrid Monitoring 구축 및 검증</x:v>
      </x:c>
      <x:c r="C17" s="13" t="str">
        <x:f>WBS!G15</x:f>
        <x:v>In Progress</x:v>
      </x:c>
      <x:c r="D17" s="86" t="n">
        <x:f>IF(WBS!H15="","",WBS!H15)</x:f>
        <x:v>46272</x:v>
      </x:c>
      <x:c r="E17" s="86" t="n">
        <x:f>IF(WBS!I15="","",WBS!I15)</x:f>
        <x:v>46283</x:v>
      </x:c>
      <x:c r="F17" s="13" t="str">
        <x:f>WBS!L15</x:f>
        <x:v>이재환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7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7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0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1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7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7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0" t="n">
        <x:f>IF(AND(ISNUMBER($D17),ISNUMBER($E17),S$4&gt;=$D17,S$4&lt;=$E17,WEEKDAY(S$4,2)&lt;=5,COUNTIF('Sources &amp; Change Log'!$J$2:$J$5,S$4)=0,COUNTIFS('Team Calendar'!$A$5:$A$12,$F17,'Team Calendar'!$C$5:$C$12,S$4)=0),1,"")</x:f>
        <x:v>1</x:v>
      </x:c>
      <x:c r="T17" s="102" t="n">
        <x:f>IF(AND(ISNUMBER($D17),ISNUMBER($E17),T$4&gt;=$D17,T$4&lt;=$E17,WEEKDAY(T$4,2)&lt;=5,COUNTIF('Sources &amp; Change Log'!$J$2:$J$5,T$4)=0,COUNTIFS('Team Calendar'!$A$5:$A$12,$F17,'Team Calendar'!$C$5:$C$12,T$4)=0),1,"")</x:f>
        <x:v>1</x:v>
      </x:c>
      <x:c r="U17" s="100" t="n">
        <x:f>IF(AND(ISNUMBER($D17),ISNUMBER($E17),U$4&gt;=$D17,U$4&lt;=$E17,WEEKDAY(U$4,2)&lt;=5,COUNTIF('Sources &amp; Change Log'!$J$2:$J$5,U$4)=0,COUNTIFS('Team Calendar'!$A$5:$A$12,$F17,'Team Calendar'!$C$5:$C$12,U$4)=0),1,"")</x:f>
        <x:v>1</x:v>
      </x:c>
      <x:c r="V17" s="100" t="n">
        <x:f>IF(AND(ISNUMBER($D17),ISNUMBER($E17),V$4&gt;=$D17,V$4&lt;=$E17,WEEKDAY(V$4,2)&lt;=5,COUNTIF('Sources &amp; Change Log'!$J$2:$J$5,V$4)=0,COUNTIFS('Team Calendar'!$A$5:$A$12,$F17,'Team Calendar'!$C$5:$C$12,V$4)=0),1,"")</x:f>
        <x:v>1</x:v>
      </x:c>
      <x:c r="W17" s="100" t="n">
        <x:f>IF(AND(ISNUMBER($D17),ISNUMBER($E17),W$4&gt;=$D17,W$4&lt;=$E17,WEEKDAY(W$4,2)&lt;=5,COUNTIF('Sources &amp; Change Log'!$J$2:$J$5,W$4)=0,COUNTIFS('Team Calendar'!$A$5:$A$12,$F17,'Team Calendar'!$C$5:$C$12,W$4)=0),1,"")</x:f>
        <x:v>1</x:v>
      </x:c>
      <x:c r="X17" s="107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7" t="str">
        <x:f>IF(AND(ISNUMBER($D17),ISNUMBER($E17),Y$4&gt;=$D17,Y$4&lt;=$E17,WEEKDAY(Y$4,2)&lt;=5,COUNTIF('Sources &amp; Change Log'!$J$2:$J$5,Y$4)=0,COUNTIFS('Team Calendar'!$A$5:$A$12,$F17,'Team Calendar'!$C$5:$C$12,Y$4)=0),1,"")</x:f>
      </x:c>
      <x:c r="Z17" s="100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0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n">
        <x:f>IF(AND(ISNUMBER($D17),ISNUMBER($E17),AD$4&gt;=$D17,AD$4&lt;=$E17,WEEKDAY(AD$4,2)&lt;=5,COUNTIF('Sources &amp; Change Log'!$J$2:$J$5,AD$4)=0,COUNTIFS('Team Calendar'!$A$5:$A$12,$F17,'Team Calendar'!$C$5:$C$12,AD$4)=0),1,"")</x:f>
        <x:v>1</x:v>
      </x:c>
      <x:c r="AE17" s="107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7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0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0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WBS!A17</x:f>
        <x:v>P1-SEC-01</x:v>
      </x:c>
      <x:c r="B18" s="13" t="str">
        <x:f>WBS!B17</x:f>
        <x:v>Kubernetes Security Controls</x:v>
      </x:c>
      <x:c r="C18" s="13" t="str">
        <x:f>WBS!G17</x:f>
        <x:v>In Progress</x:v>
      </x:c>
      <x:c r="D18" s="86" t="n">
        <x:f>IF(WBS!H17="","",WBS!H17)</x:f>
        <x:v>46269</x:v>
      </x:c>
      <x:c r="E18" s="86" t="n">
        <x:f>IF(WBS!I17="","",WBS!I17)</x:f>
        <x:v>46286</x:v>
      </x:c>
      <x:c r="F18" s="13" t="str">
        <x:f>WBS!L17</x:f>
        <x:v>이하영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7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7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0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1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n">
        <x:f>IF(AND(ISNUMBER($D18),ISNUMBER($E18),P$4&gt;=$D18,P$4&lt;=$E18,WEEKDAY(P$4,2)&lt;=5,COUNTIF('Sources &amp; Change Log'!$J$2:$J$5,P$4)=0,COUNTIFS('Team Calendar'!$A$5:$A$12,$F18,'Team Calendar'!$C$5:$C$12,P$4)=0),1,"")</x:f>
        <x:v>1</x:v>
      </x:c>
      <x:c r="Q18" s="107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7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0" t="n">
        <x:f>IF(AND(ISNUMBER($D18),ISNUMBER($E18),S$4&gt;=$D18,S$4&lt;=$E18,WEEKDAY(S$4,2)&lt;=5,COUNTIF('Sources &amp; Change Log'!$J$2:$J$5,S$4)=0,COUNTIFS('Team Calendar'!$A$5:$A$12,$F18,'Team Calendar'!$C$5:$C$12,S$4)=0),1,"")</x:f>
        <x:v>1</x:v>
      </x:c>
      <x:c r="T18" s="100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n">
        <x:f>IF(AND(ISNUMBER($D18),ISNUMBER($E18),U$4&gt;=$D18,U$4&lt;=$E18,WEEKDAY(U$4,2)&lt;=5,COUNTIF('Sources &amp; Change Log'!$J$2:$J$5,U$4)=0,COUNTIFS('Team Calendar'!$A$5:$A$12,$F18,'Team Calendar'!$C$5:$C$12,U$4)=0),1,"")</x:f>
        <x:v>1</x:v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n">
        <x:f>IF(AND(ISNUMBER($D18),ISNUMBER($E18),W$4&gt;=$D18,W$4&lt;=$E18,WEEKDAY(W$4,2)&lt;=5,COUNTIF('Sources &amp; Change Log'!$J$2:$J$5,W$4)=0,COUNTIFS('Team Calendar'!$A$5:$A$12,$F18,'Team Calendar'!$C$5:$C$12,W$4)=0),1,"")</x:f>
        <x:v>1</x:v>
      </x:c>
      <x:c r="X18" s="107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7" t="str">
        <x:f>IF(AND(ISNUMBER($D18),ISNUMBER($E18),Y$4&gt;=$D18,Y$4&lt;=$E18,WEEKDAY(Y$4,2)&lt;=5,COUNTIF('Sources &amp; Change Log'!$J$2:$J$5,Y$4)=0,COUNTIFS('Team Calendar'!$A$5:$A$12,$F18,'Team Calendar'!$C$5:$C$12,Y$4)=0),1,"")</x:f>
      </x:c>
      <x:c r="Z18" s="100" t="n">
        <x:f>IF(AND(ISNUMBER($D18),ISNUMBER($E18),Z$4&gt;=$D18,Z$4&lt;=$E18,WEEKDAY(Z$4,2)&lt;=5,COUNTIF('Sources &amp; Change Log'!$J$2:$J$5,Z$4)=0,COUNTIFS('Team Calendar'!$A$5:$A$12,$F18,'Team Calendar'!$C$5:$C$12,Z$4)=0),1,"")</x:f>
        <x:v>1</x:v>
      </x:c>
      <x:c r="AA18" s="100" t="n">
        <x:f>IF(AND(ISNUMBER($D18),ISNUMBER($E18),AA$4&gt;=$D18,AA$4&lt;=$E18,WEEKDAY(AA$4,2)&lt;=5,COUNTIF('Sources &amp; Change Log'!$J$2:$J$5,AA$4)=0,COUNTIFS('Team Calendar'!$A$5:$A$12,$F18,'Team Calendar'!$C$5:$C$12,AA$4)=0),1,"")</x:f>
        <x:v>1</x:v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n">
        <x:f>IF(AND(ISNUMBER($D18),ISNUMBER($E18),AC$4&gt;=$D18,AC$4&lt;=$E18,WEEKDAY(AC$4,2)&lt;=5,COUNTIF('Sources &amp; Change Log'!$J$2:$J$5,AC$4)=0,COUNTIFS('Team Calendar'!$A$5:$A$12,$F18,'Team Calendar'!$C$5:$C$12,AC$4)=0),1,"")</x:f>
        <x:v>1</x:v>
      </x:c>
      <x:c r="AD18" s="100" t="n">
        <x:f>IF(AND(ISNUMBER($D18),ISNUMBER($E18),AD$4&gt;=$D18,AD$4&lt;=$E18,WEEKDAY(AD$4,2)&lt;=5,COUNTIF('Sources &amp; Change Log'!$J$2:$J$5,AD$4)=0,COUNTIFS('Team Calendar'!$A$5:$A$12,$F18,'Team Calendar'!$C$5:$C$12,AD$4)=0),1,"")</x:f>
        <x:v>1</x:v>
      </x:c>
      <x:c r="AE18" s="107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7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0" t="n">
        <x:f>IF(AND(ISNUMBER($D18),ISNUMBER($E18),AG$4&gt;=$D18,AG$4&lt;=$E18,WEEKDAY(AG$4,2)&lt;=5,COUNTIF('Sources &amp; Change Log'!$J$2:$J$5,AG$4)=0,COUNTIFS('Team Calendar'!$A$5:$A$12,$F18,'Team Calendar'!$C$5:$C$12,AG$4)=0),1,"")</x:f>
        <x:v>1</x:v>
      </x:c>
      <x:c r="AH18" s="100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WBS!A18</x:f>
        <x:v>P1-E2E-01</x:v>
      </x:c>
      <x:c r="B19" s="13" t="str">
        <x:f>WBS!B18</x:f>
        <x:v>Initial / Final E2E &amp; Regression</x:v>
      </x:c>
      <x:c r="C19" s="13" t="str">
        <x:f>WBS!G18</x:f>
        <x:v>To Do</x:v>
      </x:c>
      <x:c r="D19" s="86" t="n">
        <x:f>IF(WBS!H18="","",WBS!H18)</x:f>
        <x:v>46276</x:v>
      </x:c>
      <x:c r="E19" s="86" t="n">
        <x:f>IF(WBS!I18="","",WBS!I18)</x:f>
        <x:v>46287</x:v>
      </x:c>
      <x:c r="F19" s="13" t="str">
        <x:f>WBS!L18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7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7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0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1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7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7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0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0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n">
        <x:f>IF(AND(ISNUMBER($D19),ISNUMBER($E19),W$4&gt;=$D19,W$4&lt;=$E19,WEEKDAY(W$4,2)&lt;=5,COUNTIF('Sources &amp; Change Log'!$J$2:$J$5,W$4)=0,COUNTIFS('Team Calendar'!$A$5:$A$12,$F19,'Team Calendar'!$C$5:$C$12,W$4)=0),1,"")</x:f>
        <x:v>1</x:v>
      </x:c>
      <x:c r="X19" s="107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7" t="str">
        <x:f>IF(AND(ISNUMBER($D19),ISNUMBER($E19),Y$4&gt;=$D19,Y$4&lt;=$E19,WEEKDAY(Y$4,2)&lt;=5,COUNTIF('Sources &amp; Change Log'!$J$2:$J$5,Y$4)=0,COUNTIFS('Team Calendar'!$A$5:$A$12,$F19,'Team Calendar'!$C$5:$C$12,Y$4)=0),1,"")</x:f>
      </x:c>
      <x:c r="Z19" s="100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0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str">
        <x:f>IF(AND(ISNUMBER($D19),ISNUMBER($E19),AB$4&gt;=$D19,AB$4&lt;=$E19,WEEKDAY(AB$4,2)&lt;=5,COUNTIF('Sources &amp; Change Log'!$J$2:$J$5,AB$4)=0,COUNTIFS('Team Calendar'!$A$5:$A$12,$F19,'Team Calendar'!$C$5:$C$12,AB$4)=0),1,"")</x:f>
      </x:c>
      <x:c r="AC19" s="100" t="str">
        <x:f>IF(AND(ISNUMBER($D19),ISNUMBER($E19),AC$4&gt;=$D19,AC$4&lt;=$E19,WEEKDAY(AC$4,2)&lt;=5,COUNTIF('Sources &amp; Change Log'!$J$2:$J$5,AC$4)=0,COUNTIFS('Team Calendar'!$A$5:$A$12,$F19,'Team Calendar'!$C$5:$C$12,AC$4)=0),1,"")</x:f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7" t="str">
        <x:f>IF(AND(ISNUMBER($D19),ISNUMBER($E19),AE$4&gt;=$D19,AE$4&lt;=$E19,WEEKDAY(AE$4,2)&lt;=5,COUNTIF('Sources &amp; Change Log'!$J$2:$J$5,AE$4)=0,COUNTIFS('Team Calendar'!$A$5:$A$12,$F19,'Team Calendar'!$C$5:$C$12,AE$4)=0),1,"")</x:f>
      </x:c>
      <x:c r="AF19" s="107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0" t="n">
        <x:f>IF(AND(ISNUMBER($D19),ISNUMBER($E19),AG$4&gt;=$D19,AG$4&lt;=$E19,WEEKDAY(AG$4,2)&lt;=5,COUNTIF('Sources &amp; Change Log'!$J$2:$J$5,AG$4)=0,COUNTIFS('Team Calendar'!$A$5:$A$12,$F19,'Team Calendar'!$C$5:$C$12,AG$4)=0),1,"")</x:f>
        <x:v>1</x:v>
      </x:c>
      <x:c r="AH19" s="100" t="n">
        <x:f>IF(AND(ISNUMBER($D19),ISNUMBER($E19),AH$4&gt;=$D19,AH$4&lt;=$E19,WEEKDAY(AH$4,2)&lt;=5,COUNTIF('Sources &amp; Change Log'!$J$2:$J$5,AH$4)=0,COUNTIFS('Team Calendar'!$A$5:$A$12,$F19,'Team Calendar'!$C$5:$C$12,AH$4)=0),1,"")</x:f>
        <x:v>1</x:v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WBS!A19</x:f>
        <x:v>P1-DR-01</x:v>
      </x:c>
      <x:c r="B20" s="13" t="str">
        <x:f>WBS!B19</x:f>
        <x:v>PostgreSQL Backup / Restore</x:v>
      </x:c>
      <x:c r="C20" s="13" t="str">
        <x:f>WBS!G19</x:f>
        <x:v>To Do</x:v>
      </x:c>
      <x:c r="D20" s="86" t="n">
        <x:f>IF(WBS!H19="","",WBS!H19)</x:f>
        <x:v>46276</x:v>
      </x:c>
      <x:c r="E20" s="86" t="n">
        <x:f>IF(WBS!I19="","",WBS!I19)</x:f>
        <x:v>46286</x:v>
      </x:c>
      <x:c r="F20" s="13" t="str">
        <x:f>WBS!L19</x:f>
        <x:v>이재환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7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7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0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1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7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7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0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0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n">
        <x:f>IF(AND(ISNUMBER($D20),ISNUMBER($E20),W$4&gt;=$D20,W$4&lt;=$E20,WEEKDAY(W$4,2)&lt;=5,COUNTIF('Sources &amp; Change Log'!$J$2:$J$5,W$4)=0,COUNTIFS('Team Calendar'!$A$5:$A$12,$F20,'Team Calendar'!$C$5:$C$12,W$4)=0),1,"")</x:f>
        <x:v>1</x:v>
      </x:c>
      <x:c r="X20" s="107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7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0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0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str">
        <x:f>IF(AND(ISNUMBER($D20),ISNUMBER($E20),AB$4&gt;=$D20,AB$4&lt;=$E20,WEEKDAY(AB$4,2)&lt;=5,COUNTIF('Sources &amp; Change Log'!$J$2:$J$5,AB$4)=0,COUNTIFS('Team Calendar'!$A$5:$A$12,$F20,'Team Calendar'!$C$5:$C$12,AB$4)=0),1,"")</x:f>
      </x:c>
      <x:c r="AC20" s="100" t="str">
        <x:f>IF(AND(ISNUMBER($D20),ISNUMBER($E20),AC$4&gt;=$D20,AC$4&lt;=$E20,WEEKDAY(AC$4,2)&lt;=5,COUNTIF('Sources &amp; Change Log'!$J$2:$J$5,AC$4)=0,COUNTIFS('Team Calendar'!$A$5:$A$12,$F20,'Team Calendar'!$C$5:$C$12,AC$4)=0),1,"")</x:f>
      </x:c>
      <x:c r="AD20" s="100" t="n">
        <x:f>IF(AND(ISNUMBER($D20),ISNUMBER($E20),AD$4&gt;=$D20,AD$4&lt;=$E20,WEEKDAY(AD$4,2)&lt;=5,COUNTIF('Sources &amp; Change Log'!$J$2:$J$5,AD$4)=0,COUNTIFS('Team Calendar'!$A$5:$A$12,$F20,'Team Calendar'!$C$5:$C$12,AD$4)=0),1,"")</x:f>
        <x:v>1</x:v>
      </x:c>
      <x:c r="AE20" s="107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7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0" t="n">
        <x:f>IF(AND(ISNUMBER($D20),ISNUMBER($E20),AG$4&gt;=$D20,AG$4&lt;=$E20,WEEKDAY(AG$4,2)&lt;=5,COUNTIF('Sources &amp; Change Log'!$J$2:$J$5,AG$4)=0,COUNTIFS('Team Calendar'!$A$5:$A$12,$F20,'Team Calendar'!$C$5:$C$12,AG$4)=0),1,"")</x:f>
        <x:v>1</x:v>
      </x:c>
      <x:c r="AH20" s="100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WBS!A20</x:f>
        <x:v>P1-HA-01</x:v>
      </x:c>
      <x:c r="B21" s="13" t="str">
        <x:f>WBS!B20</x:f>
        <x:v>Worker Drain Continuity</x:v>
      </x:c>
      <x:c r="C21" s="13" t="str">
        <x:f>WBS!G20</x:f>
        <x:v>To Do</x:v>
      </x:c>
      <x:c r="D21" s="86" t="n">
        <x:f>IF(WBS!H20="","",WBS!H20)</x:f>
        <x:v>46276</x:v>
      </x:c>
      <x:c r="E21" s="86" t="n">
        <x:f>IF(WBS!I20="","",WBS!I20)</x:f>
        <x:v>46286</x:v>
      </x:c>
      <x:c r="F21" s="13" t="str">
        <x:f>WBS!L20</x:f>
        <x:v>이재환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7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7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0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1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7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7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0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0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n">
        <x:f>IF(AND(ISNUMBER($D21),ISNUMBER($E21),W$4&gt;=$D21,W$4&lt;=$E21,WEEKDAY(W$4,2)&lt;=5,COUNTIF('Sources &amp; Change Log'!$J$2:$J$5,W$4)=0,COUNTIFS('Team Calendar'!$A$5:$A$12,$F21,'Team Calendar'!$C$5:$C$12,W$4)=0),1,"")</x:f>
        <x:v>1</x:v>
      </x:c>
      <x:c r="X21" s="107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7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0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0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str">
        <x:f>IF(AND(ISNUMBER($D21),ISNUMBER($E21),AB$4&gt;=$D21,AB$4&lt;=$E21,WEEKDAY(AB$4,2)&lt;=5,COUNTIF('Sources &amp; Change Log'!$J$2:$J$5,AB$4)=0,COUNTIFS('Team Calendar'!$A$5:$A$12,$F21,'Team Calendar'!$C$5:$C$12,AB$4)=0),1,"")</x:f>
      </x:c>
      <x:c r="AC21" s="100" t="str">
        <x:f>IF(AND(ISNUMBER($D21),ISNUMBER($E21),AC$4&gt;=$D21,AC$4&lt;=$E21,WEEKDAY(AC$4,2)&lt;=5,COUNTIF('Sources &amp; Change Log'!$J$2:$J$5,AC$4)=0,COUNTIFS('Team Calendar'!$A$5:$A$12,$F21,'Team Calendar'!$C$5:$C$12,AC$4)=0),1,"")</x:f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7" t="str">
        <x:f>IF(AND(ISNUMBER($D21),ISNUMBER($E21),AE$4&gt;=$D21,AE$4&lt;=$E21,WEEKDAY(AE$4,2)&lt;=5,COUNTIF('Sources &amp; Change Log'!$J$2:$J$5,AE$4)=0,COUNTIFS('Team Calendar'!$A$5:$A$12,$F21,'Team Calendar'!$C$5:$C$12,AE$4)=0),1,"")</x:f>
      </x:c>
      <x:c r="AF21" s="107" t="str">
        <x:f>IF(AND(ISNUMBER($D21),ISNUMBER($E21),AF$4&gt;=$D21,AF$4&lt;=$E21,WEEKDAY(AF$4,2)&lt;=5,COUNTIF('Sources &amp; Change Log'!$J$2:$J$5,AF$4)=0,COUNTIFS('Team Calendar'!$A$5:$A$12,$F21,'Team Calendar'!$C$5:$C$12,AF$4)=0),1,"")</x:f>
      </x:c>
      <x:c r="AG21" s="100" t="n">
        <x:f>IF(AND(ISNUMBER($D21),ISNUMBER($E21),AG$4&gt;=$D21,AG$4&lt;=$E21,WEEKDAY(AG$4,2)&lt;=5,COUNTIF('Sources &amp; Change Log'!$J$2:$J$5,AG$4)=0,COUNTIFS('Team Calendar'!$A$5:$A$12,$F21,'Team Calendar'!$C$5:$C$12,AG$4)=0),1,"")</x:f>
        <x:v>1</x:v>
      </x:c>
      <x:c r="AH21" s="100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WBS!A21</x:f>
        <x:v>MS-G2-01</x:v>
      </x:c>
      <x:c r="B22" s="13" t="str">
        <x:f>WBS!B21</x:f>
        <x:v>G2 Security / Feature Ready</x:v>
      </x:c>
      <x:c r="C22" s="13" t="str">
        <x:f>WBS!G21</x:f>
        <x:v>To Do</x:v>
      </x:c>
      <x:c r="D22" s="86" t="n">
        <x:f>IF(WBS!H21="","",WBS!H21)</x:f>
        <x:v>46286</x:v>
      </x:c>
      <x:c r="E22" s="86" t="n">
        <x:f>IF(WBS!I21="","",WBS!I21)</x:f>
        <x:v>46286</x:v>
      </x:c>
      <x:c r="F22" s="13" t="str">
        <x:f>WBS!L21</x:f>
        <x:v>이하영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7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7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0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1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7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7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0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0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7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7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0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0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str">
        <x:f>IF(AND(ISNUMBER($D22),ISNUMBER($E22),AB$4&gt;=$D22,AB$4&lt;=$E22,WEEKDAY(AB$4,2)&lt;=5,COUNTIF('Sources &amp; Change Log'!$J$2:$J$5,AB$4)=0,COUNTIFS('Team Calendar'!$A$5:$A$12,$F22,'Team Calendar'!$C$5:$C$12,AB$4)=0),1,"")</x:f>
      </x:c>
      <x:c r="AC22" s="100" t="str">
        <x:f>IF(AND(ISNUMBER($D22),ISNUMBER($E22),AC$4&gt;=$D22,AC$4&lt;=$E22,WEEKDAY(AC$4,2)&lt;=5,COUNTIF('Sources &amp; Change Log'!$J$2:$J$5,AC$4)=0,COUNTIFS('Team Calendar'!$A$5:$A$12,$F22,'Team Calendar'!$C$5:$C$12,AC$4)=0),1,"")</x:f>
      </x:c>
      <x:c r="AD22" s="100" t="str">
        <x:f>IF(AND(ISNUMBER($D22),ISNUMBER($E22),AD$4&gt;=$D22,AD$4&lt;=$E22,WEEKDAY(AD$4,2)&lt;=5,COUNTIF('Sources &amp; Change Log'!$J$2:$J$5,AD$4)=0,COUNTIFS('Team Calendar'!$A$5:$A$12,$F22,'Team Calendar'!$C$5:$C$12,AD$4)=0),1,"")</x:f>
      </x:c>
      <x:c r="AE22" s="107" t="str">
        <x:f>IF(AND(ISNUMBER($D22),ISNUMBER($E22),AE$4&gt;=$D22,AE$4&lt;=$E22,WEEKDAY(AE$4,2)&lt;=5,COUNTIF('Sources &amp; Change Log'!$J$2:$J$5,AE$4)=0,COUNTIFS('Team Calendar'!$A$5:$A$12,$F22,'Team Calendar'!$C$5:$C$12,AE$4)=0),1,"")</x:f>
      </x:c>
      <x:c r="AF22" s="107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0" t="n">
        <x:f>IF(AND(ISNUMBER($D22),ISNUMBER($E22),AG$4&gt;=$D22,AG$4&lt;=$E22,WEEKDAY(AG$4,2)&lt;=5,COUNTIF('Sources &amp; Change Log'!$J$2:$J$5,AG$4)=0,COUNTIFS('Team Calendar'!$A$5:$A$12,$F22,'Team Calendar'!$C$5:$C$12,AG$4)=0),1,"")</x:f>
        <x:v>1</x:v>
      </x:c>
      <x:c r="AH22" s="100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WBS!A22</x:f>
        <x:v>P1-DOC-01</x:v>
      </x:c>
      <x:c r="B23" s="13" t="str">
        <x:f>WBS!B22</x:f>
        <x:v>Architecture / Test / Runbook Freeze</x:v>
      </x:c>
      <x:c r="C23" s="13" t="str">
        <x:f>WBS!G22</x:f>
        <x:v>To Do</x:v>
      </x:c>
      <x:c r="D23" s="86" t="n">
        <x:f>IF(WBS!H22="","",WBS!H22)</x:f>
        <x:v>46276</x:v>
      </x:c>
      <x:c r="E23" s="86" t="n">
        <x:f>IF(WBS!I22="","",WBS!I22)</x:f>
        <x:v>46287</x:v>
      </x:c>
      <x:c r="F23" s="13" t="str">
        <x:f>WBS!L22</x:f>
        <x:v>이권욱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7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7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0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1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7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7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0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0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n">
        <x:f>IF(AND(ISNUMBER($D23),ISNUMBER($E23),W$4&gt;=$D23,W$4&lt;=$E23,WEEKDAY(W$4,2)&lt;=5,COUNTIF('Sources &amp; Change Log'!$J$2:$J$5,W$4)=0,COUNTIFS('Team Calendar'!$A$5:$A$12,$F23,'Team Calendar'!$C$5:$C$12,W$4)=0),1,"")</x:f>
        <x:v>1</x:v>
      </x:c>
      <x:c r="X23" s="107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7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0" t="n">
        <x:f>IF(AND(ISNUMBER($D23),ISNUMBER($E23),Z$4&gt;=$D23,Z$4&lt;=$E23,WEEKDAY(Z$4,2)&lt;=5,COUNTIF('Sources &amp; Change Log'!$J$2:$J$5,Z$4)=0,COUNTIFS('Team Calendar'!$A$5:$A$12,$F23,'Team Calendar'!$C$5:$C$12,Z$4)=0),1,"")</x:f>
        <x:v>1</x:v>
      </x:c>
      <x:c r="AA23" s="100" t="n">
        <x:f>IF(AND(ISNUMBER($D23),ISNUMBER($E23),AA$4&gt;=$D23,AA$4&lt;=$E23,WEEKDAY(AA$4,2)&lt;=5,COUNTIF('Sources &amp; Change Log'!$J$2:$J$5,AA$4)=0,COUNTIFS('Team Calendar'!$A$5:$A$12,$F23,'Team Calendar'!$C$5:$C$12,AA$4)=0),1,"")</x:f>
        <x:v>1</x:v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n">
        <x:f>IF(AND(ISNUMBER($D23),ISNUMBER($E23),AD$4&gt;=$D23,AD$4&lt;=$E23,WEEKDAY(AD$4,2)&lt;=5,COUNTIF('Sources &amp; Change Log'!$J$2:$J$5,AD$4)=0,COUNTIFS('Team Calendar'!$A$5:$A$12,$F23,'Team Calendar'!$C$5:$C$12,AD$4)=0),1,"")</x:f>
        <x:v>1</x:v>
      </x:c>
      <x:c r="AE23" s="107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7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0" t="n">
        <x:f>IF(AND(ISNUMBER($D23),ISNUMBER($E23),AG$4&gt;=$D23,AG$4&lt;=$E23,WEEKDAY(AG$4,2)&lt;=5,COUNTIF('Sources &amp; Change Log'!$J$2:$J$5,AG$4)=0,COUNTIFS('Team Calendar'!$A$5:$A$12,$F23,'Team Calendar'!$C$5:$C$12,AG$4)=0),1,"")</x:f>
        <x:v>1</x:v>
      </x:c>
      <x:c r="AH23" s="100" t="n">
        <x:f>IF(AND(ISNUMBER($D23),ISNUMBER($E23),AH$4&gt;=$D23,AH$4&lt;=$E23,WEEKDAY(AH$4,2)&lt;=5,COUNTIF('Sources &amp; Change Log'!$J$2:$J$5,AH$4)=0,COUNTIFS('Team Calendar'!$A$5:$A$12,$F23,'Team Calendar'!$C$5:$C$12,AH$4)=0),1,"")</x:f>
        <x:v>1</x:v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WBS!A23</x:f>
        <x:v>P1-MON-02</x:v>
      </x:c>
      <x:c r="B24" s="13" t="str">
        <x:f>WBS!B23</x:f>
        <x:v>Dashboard / Alert / HA / Retention Enhancement</x:v>
      </x:c>
      <x:c r="C24" s="13" t="str">
        <x:f>WBS!G23</x:f>
        <x:v>To Do</x:v>
      </x:c>
      <x:c r="D24" s="86" t="str">
        <x:f>IF(WBS!H23="","",WBS!H23)</x:f>
      </x:c>
      <x:c r="E24" s="86" t="str">
        <x:f>IF(WBS!I23="","",WBS!I23)</x:f>
      </x:c>
      <x:c r="F24" s="13" t="str">
        <x:f>WBS!L23</x:f>
        <x:v>이재환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7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7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0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1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7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7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0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0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7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7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0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0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7" t="str">
        <x:f>IF(AND(ISNUMBER($D24),ISNUMBER($E24),AE$4&gt;=$D24,AE$4&lt;=$E24,WEEKDAY(AE$4,2)&lt;=5,COUNTIF('Sources &amp; Change Log'!$J$2:$J$5,AE$4)=0,COUNTIFS('Team Calendar'!$A$5:$A$12,$F24,'Team Calendar'!$C$5:$C$12,AE$4)=0),1,"")</x:f>
      </x:c>
      <x:c r="AF24" s="107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0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0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WBS!A24</x:f>
        <x:v>P1-DR-02</x:v>
      </x:c>
      <x:c r="B25" s="13" t="str">
        <x:f>WBS!B24</x:f>
        <x:v>Harbor / etcd Backup and Restore</x:v>
      </x:c>
      <x:c r="C25" s="13" t="str">
        <x:f>WBS!G24</x:f>
        <x:v>To Do</x:v>
      </x:c>
      <x:c r="D25" s="86" t="str">
        <x:f>IF(WBS!H24="","",WBS!H24)</x:f>
      </x:c>
      <x:c r="E25" s="86" t="str">
        <x:f>IF(WBS!I24="","",WBS!I24)</x:f>
      </x:c>
      <x:c r="F25" s="13" t="str">
        <x:f>WBS!L24</x:f>
        <x:v>이하영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7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7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0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1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7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7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0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0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7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7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0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0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7" t="str">
        <x:f>IF(AND(ISNUMBER($D25),ISNUMBER($E25),AE$4&gt;=$D25,AE$4&lt;=$E25,WEEKDAY(AE$4,2)&lt;=5,COUNTIF('Sources &amp; Change Log'!$J$2:$J$5,AE$4)=0,COUNTIFS('Team Calendar'!$A$5:$A$12,$F25,'Team Calendar'!$C$5:$C$12,AE$4)=0),1,"")</x:f>
      </x:c>
      <x:c r="AF25" s="107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0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0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WBS!A25</x:f>
        <x:v>P1-HA-02</x:v>
      </x:c>
      <x:c r="B26" s="13" t="str">
        <x:f>WBS!B25</x:f>
        <x:v>Platform Resilience P1 Validation</x:v>
      </x:c>
      <x:c r="C26" s="13" t="str">
        <x:f>WBS!G25</x:f>
        <x:v>To Do</x:v>
      </x:c>
      <x:c r="D26" s="86" t="str">
        <x:f>IF(WBS!H25="","",WBS!H25)</x:f>
      </x:c>
      <x:c r="E26" s="86" t="str">
        <x:f>IF(WBS!I25="","",WBS!I25)</x:f>
      </x:c>
      <x:c r="F26" s="13" t="str">
        <x:f>WBS!L25</x:f>
        <x:v>이하영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7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7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0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1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7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7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0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0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7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7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0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0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7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7" t="str">
        <x:f>IF(AND(ISNUMBER($D26),ISNUMBER($E26),AF$4&gt;=$D26,AF$4&lt;=$E26,WEEKDAY(AF$4,2)&lt;=5,COUNTIF('Sources &amp; Change Log'!$J$2:$J$5,AF$4)=0,COUNTIFS('Team Calendar'!$A$5:$A$12,$F26,'Team Calendar'!$C$5:$C$12,AF$4)=0),1,"")</x:f>
      </x:c>
      <x:c r="AG26" s="100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0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WBS!A26</x:f>
        <x:v>DEC-CAL-P1-01</x:v>
      </x:c>
      <x:c r="B27" s="13" t="str">
        <x:f>WBS!B26</x:f>
        <x:v>Phase 1 Weekend Review Decision</x:v>
      </x:c>
      <x:c r="C27" s="13" t="str">
        <x:f>WBS!G26</x:f>
        <x:v>To Do</x:v>
      </x:c>
      <x:c r="D27" s="86" t="n">
        <x:f>IF(WBS!H26="","",WBS!H26)</x:f>
        <x:v>46276</x:v>
      </x:c>
      <x:c r="E27" s="86" t="n">
        <x:f>IF(WBS!I26="","",WBS!I26)</x:f>
        <x:v>46276</x:v>
      </x:c>
      <x:c r="F27" s="13" t="str">
        <x:f>WBS!L26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7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7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0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1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7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7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0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0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n">
        <x:f>IF(AND(ISNUMBER($D27),ISNUMBER($E27),W$4&gt;=$D27,W$4&lt;=$E27,WEEKDAY(W$4,2)&lt;=5,COUNTIF('Sources &amp; Change Log'!$J$2:$J$5,W$4)=0,COUNTIFS('Team Calendar'!$A$5:$A$12,$F27,'Team Calendar'!$C$5:$C$12,W$4)=0),1,"")</x:f>
        <x:v>1</x:v>
      </x:c>
      <x:c r="X27" s="107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7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0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0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7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7" t="str">
        <x:f>IF(AND(ISNUMBER($D27),ISNUMBER($E27),AF$4&gt;=$D27,AF$4&lt;=$E27,WEEKDAY(AF$4,2)&lt;=5,COUNTIF('Sources &amp; Change Log'!$J$2:$J$5,AF$4)=0,COUNTIFS('Team Calendar'!$A$5:$A$12,$F27,'Team Calendar'!$C$5:$C$12,AF$4)=0),1,"")</x:f>
      </x:c>
      <x:c r="AG27" s="100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0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str">
        <x:f>IF(AND(ISNUMBER($D27),ISNUMBER($E27),AI$4&gt;=$D27,AI$4&lt;=$E27,WEEKDAY(AI$4,2)&lt;=5,COUNTIF('Sources &amp; Change Log'!$J$2:$J$5,AI$4)=0,COUNTIFS('Team Calendar'!$A$5:$A$12,$F27,'Team Calendar'!$C$5:$C$12,AI$4)=0),1,"")</x:f>
      </x:c>
    </x:row>
    <x:row r="28" ht="24" customHeight="1">
      <x:c r="A28" s="13" t="str">
        <x:f>WBS!A27</x:f>
        <x:v>MS-G3-01</x:v>
      </x:c>
      <x:c r="B28" s="13" t="str">
        <x:f>WBS!B27</x:f>
        <x:v>G3 Review Ready</x:v>
      </x:c>
      <x:c r="C28" s="13" t="str">
        <x:f>WBS!G27</x:f>
        <x:v>To Do</x:v>
      </x:c>
      <x:c r="D28" s="86" t="n">
        <x:f>IF(WBS!H27="","",WBS!H27)</x:f>
        <x:v>46287</x:v>
      </x:c>
      <x:c r="E28" s="86" t="n">
        <x:f>IF(WBS!I27="","",WBS!I27)</x:f>
        <x:v>46287</x:v>
      </x:c>
      <x:c r="F28" s="13" t="str">
        <x:f>WBS!L27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7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7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0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1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7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7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0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0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7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7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0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0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7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7" t="str">
        <x:f>IF(AND(ISNUMBER($D28),ISNUMBER($E28),AF$4&gt;=$D28,AF$4&lt;=$E28,WEEKDAY(AF$4,2)&lt;=5,COUNTIF('Sources &amp; Change Log'!$J$2:$J$5,AF$4)=0,COUNTIFS('Team Calendar'!$A$5:$A$12,$F28,'Team Calendar'!$C$5:$C$12,AF$4)=0),1,"")</x:f>
      </x:c>
      <x:c r="AG28" s="100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0" t="n">
        <x:f>IF(AND(ISNUMBER($D28),ISNUMBER($E28),AH$4&gt;=$D28,AH$4&lt;=$E28,WEEKDAY(AH$4,2)&lt;=5,COUNTIF('Sources &amp; Change Log'!$J$2:$J$5,AH$4)=0,COUNTIFS('Team Calendar'!$A$5:$A$12,$F28,'Team Calendar'!$C$5:$C$12,AH$4)=0),1,"")</x:f>
        <x:v>1</x:v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WBS!A28</x:f>
        <x:v>P1-REV-01</x:v>
      </x:c>
      <x:c r="B29" s="13" t="str">
        <x:f>WBS!B28</x:f>
        <x:v>Phase 1 Review / Close Execution</x:v>
      </x:c>
      <x:c r="C29" s="13" t="str">
        <x:f>WBS!G28</x:f>
        <x:v>To Do</x:v>
      </x:c>
      <x:c r="D29" s="86" t="n">
        <x:f>IF(WBS!H28="","",WBS!H28)</x:f>
        <x:v>46287</x:v>
      </x:c>
      <x:c r="E29" s="86" t="n">
        <x:f>IF(WBS!I28="","",WBS!I28)</x:f>
        <x:v>46288</x:v>
      </x:c>
      <x:c r="F29" s="13" t="str">
        <x:f>WBS!L28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7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7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0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1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7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7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0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0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7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7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0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0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7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7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0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0" t="n">
        <x:f>IF(AND(ISNUMBER($D29),ISNUMBER($E29),AH$4&gt;=$D29,AH$4&lt;=$E29,WEEKDAY(AH$4,2)&lt;=5,COUNTIF('Sources &amp; Change Log'!$J$2:$J$5,AH$4)=0,COUNTIFS('Team Calendar'!$A$5:$A$12,$F29,'Team Calendar'!$C$5:$C$12,AH$4)=0),1,"")</x:f>
        <x:v>1</x:v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  <x:row r="30" ht="24" customHeight="1">
      <x:c r="A30" s="13" t="str">
        <x:f>WBS!A29</x:f>
        <x:v>MS-P1-REVIEW-01</x:v>
      </x:c>
      <x:c r="B30" s="13" t="str">
        <x:f>WBS!B29</x:f>
        <x:v>Phase 1 Review</x:v>
      </x:c>
      <x:c r="C30" s="13" t="str">
        <x:f>WBS!G29</x:f>
        <x:v>To Do</x:v>
      </x:c>
      <x:c r="D30" s="86" t="n">
        <x:f>IF(WBS!H29="","",WBS!H29)</x:f>
        <x:v>46287</x:v>
      </x:c>
      <x:c r="E30" s="86" t="n">
        <x:f>IF(WBS!I29="","",WBS!I29)</x:f>
        <x:v>46287</x:v>
      </x:c>
      <x:c r="F30" s="13" t="str">
        <x:f>WBS!L29</x:f>
        <x:v>이권욱</x:v>
      </x:c>
      <x:c r="G30" s="100" t="str">
        <x:f>IF(AND(ISNUMBER($D30),ISNUMBER($E30),G$4&gt;=$D30,G$4&lt;=$E30,WEEKDAY(G$4,2)&lt;=5,COUNTIF('Sources &amp; Change Log'!$J$2:$J$5,G$4)=0,COUNTIFS('Team Calendar'!$A$5:$A$12,$F30,'Team Calendar'!$C$5:$C$12,G$4)=0),1,"")</x:f>
      </x:c>
      <x:c r="H30" s="100" t="str">
        <x:f>IF(AND(ISNUMBER($D30),ISNUMBER($E30),H$4&gt;=$D30,H$4&lt;=$E30,WEEKDAY(H$4,2)&lt;=5,COUNTIF('Sources &amp; Change Log'!$J$2:$J$5,H$4)=0,COUNTIFS('Team Calendar'!$A$5:$A$12,$F30,'Team Calendar'!$C$5:$C$12,H$4)=0),1,"")</x:f>
      </x:c>
      <x:c r="I30" s="100" t="str">
        <x:f>IF(AND(ISNUMBER($D30),ISNUMBER($E30),I$4&gt;=$D30,I$4&lt;=$E30,WEEKDAY(I$4,2)&lt;=5,COUNTIF('Sources &amp; Change Log'!$J$2:$J$5,I$4)=0,COUNTIFS('Team Calendar'!$A$5:$A$12,$F30,'Team Calendar'!$C$5:$C$12,I$4)=0),1,"")</x:f>
      </x:c>
      <x:c r="J30" s="107" t="str">
        <x:f>IF(AND(ISNUMBER($D30),ISNUMBER($E30),J$4&gt;=$D30,J$4&lt;=$E30,WEEKDAY(J$4,2)&lt;=5,COUNTIF('Sources &amp; Change Log'!$J$2:$J$5,J$4)=0,COUNTIFS('Team Calendar'!$A$5:$A$12,$F30,'Team Calendar'!$C$5:$C$12,J$4)=0),1,"")</x:f>
      </x:c>
      <x:c r="K30" s="107" t="str">
        <x:f>IF(AND(ISNUMBER($D30),ISNUMBER($E30),K$4&gt;=$D30,K$4&lt;=$E30,WEEKDAY(K$4,2)&lt;=5,COUNTIF('Sources &amp; Change Log'!$J$2:$J$5,K$4)=0,COUNTIFS('Team Calendar'!$A$5:$A$12,$F30,'Team Calendar'!$C$5:$C$12,K$4)=0),1,"")</x:f>
      </x:c>
      <x:c r="L30" s="100" t="str">
        <x:f>IF(AND(ISNUMBER($D30),ISNUMBER($E30),L$4&gt;=$D30,L$4&lt;=$E30,WEEKDAY(L$4,2)&lt;=5,COUNTIF('Sources &amp; Change Log'!$J$2:$J$5,L$4)=0,COUNTIFS('Team Calendar'!$A$5:$A$12,$F30,'Team Calendar'!$C$5:$C$12,L$4)=0),1,"")</x:f>
      </x:c>
      <x:c r="M30" s="101" t="str">
        <x:f>IF(AND(ISNUMBER($D30),ISNUMBER($E30),M$4&gt;=$D30,M$4&lt;=$E30,WEEKDAY(M$4,2)&lt;=5,COUNTIF('Sources &amp; Change Log'!$J$2:$J$5,M$4)=0,COUNTIFS('Team Calendar'!$A$5:$A$12,$F30,'Team Calendar'!$C$5:$C$12,M$4)=0),1,"")</x:f>
      </x:c>
      <x:c r="N30" s="100" t="str">
        <x:f>IF(AND(ISNUMBER($D30),ISNUMBER($E30),N$4&gt;=$D30,N$4&lt;=$E30,WEEKDAY(N$4,2)&lt;=5,COUNTIF('Sources &amp; Change Log'!$J$2:$J$5,N$4)=0,COUNTIFS('Team Calendar'!$A$5:$A$12,$F30,'Team Calendar'!$C$5:$C$12,N$4)=0),1,"")</x:f>
      </x:c>
      <x:c r="O30" s="100" t="str">
        <x:f>IF(AND(ISNUMBER($D30),ISNUMBER($E30),O$4&gt;=$D30,O$4&lt;=$E30,WEEKDAY(O$4,2)&lt;=5,COUNTIF('Sources &amp; Change Log'!$J$2:$J$5,O$4)=0,COUNTIFS('Team Calendar'!$A$5:$A$12,$F30,'Team Calendar'!$C$5:$C$12,O$4)=0),1,"")</x:f>
      </x:c>
      <x:c r="P30" s="100" t="str">
        <x:f>IF(AND(ISNUMBER($D30),ISNUMBER($E30),P$4&gt;=$D30,P$4&lt;=$E30,WEEKDAY(P$4,2)&lt;=5,COUNTIF('Sources &amp; Change Log'!$J$2:$J$5,P$4)=0,COUNTIFS('Team Calendar'!$A$5:$A$12,$F30,'Team Calendar'!$C$5:$C$12,P$4)=0),1,"")</x:f>
      </x:c>
      <x:c r="Q30" s="107" t="str">
        <x:f>IF(AND(ISNUMBER($D30),ISNUMBER($E30),Q$4&gt;=$D30,Q$4&lt;=$E30,WEEKDAY(Q$4,2)&lt;=5,COUNTIF('Sources &amp; Change Log'!$J$2:$J$5,Q$4)=0,COUNTIFS('Team Calendar'!$A$5:$A$12,$F30,'Team Calendar'!$C$5:$C$12,Q$4)=0),1,"")</x:f>
      </x:c>
      <x:c r="R30" s="107" t="str">
        <x:f>IF(AND(ISNUMBER($D30),ISNUMBER($E30),R$4&gt;=$D30,R$4&lt;=$E30,WEEKDAY(R$4,2)&lt;=5,COUNTIF('Sources &amp; Change Log'!$J$2:$J$5,R$4)=0,COUNTIFS('Team Calendar'!$A$5:$A$12,$F30,'Team Calendar'!$C$5:$C$12,R$4)=0),1,"")</x:f>
      </x:c>
      <x:c r="S30" s="100" t="str">
        <x:f>IF(AND(ISNUMBER($D30),ISNUMBER($E30),S$4&gt;=$D30,S$4&lt;=$E30,WEEKDAY(S$4,2)&lt;=5,COUNTIF('Sources &amp; Change Log'!$J$2:$J$5,S$4)=0,COUNTIFS('Team Calendar'!$A$5:$A$12,$F30,'Team Calendar'!$C$5:$C$12,S$4)=0),1,"")</x:f>
      </x:c>
      <x:c r="T30" s="100" t="str">
        <x:f>IF(AND(ISNUMBER($D30),ISNUMBER($E30),T$4&gt;=$D30,T$4&lt;=$E30,WEEKDAY(T$4,2)&lt;=5,COUNTIF('Sources &amp; Change Log'!$J$2:$J$5,T$4)=0,COUNTIFS('Team Calendar'!$A$5:$A$12,$F30,'Team Calendar'!$C$5:$C$12,T$4)=0),1,"")</x:f>
      </x:c>
      <x:c r="U30" s="100" t="str">
        <x:f>IF(AND(ISNUMBER($D30),ISNUMBER($E30),U$4&gt;=$D30,U$4&lt;=$E30,WEEKDAY(U$4,2)&lt;=5,COUNTIF('Sources &amp; Change Log'!$J$2:$J$5,U$4)=0,COUNTIFS('Team Calendar'!$A$5:$A$12,$F30,'Team Calendar'!$C$5:$C$12,U$4)=0),1,"")</x:f>
      </x:c>
      <x:c r="V30" s="100" t="str">
        <x:f>IF(AND(ISNUMBER($D30),ISNUMBER($E30),V$4&gt;=$D30,V$4&lt;=$E30,WEEKDAY(V$4,2)&lt;=5,COUNTIF('Sources &amp; Change Log'!$J$2:$J$5,V$4)=0,COUNTIFS('Team Calendar'!$A$5:$A$12,$F30,'Team Calendar'!$C$5:$C$12,V$4)=0),1,"")</x:f>
      </x:c>
      <x:c r="W30" s="100" t="str">
        <x:f>IF(AND(ISNUMBER($D30),ISNUMBER($E30),W$4&gt;=$D30,W$4&lt;=$E30,WEEKDAY(W$4,2)&lt;=5,COUNTIF('Sources &amp; Change Log'!$J$2:$J$5,W$4)=0,COUNTIFS('Team Calendar'!$A$5:$A$12,$F30,'Team Calendar'!$C$5:$C$12,W$4)=0),1,"")</x:f>
      </x:c>
      <x:c r="X30" s="107" t="str">
        <x:f>IF(AND(ISNUMBER($D30),ISNUMBER($E30),X$4&gt;=$D30,X$4&lt;=$E30,WEEKDAY(X$4,2)&lt;=5,COUNTIF('Sources &amp; Change Log'!$J$2:$J$5,X$4)=0,COUNTIFS('Team Calendar'!$A$5:$A$12,$F30,'Team Calendar'!$C$5:$C$12,X$4)=0),1,"")</x:f>
      </x:c>
      <x:c r="Y30" s="107" t="str">
        <x:f>IF(AND(ISNUMBER($D30),ISNUMBER($E30),Y$4&gt;=$D30,Y$4&lt;=$E30,WEEKDAY(Y$4,2)&lt;=5,COUNTIF('Sources &amp; Change Log'!$J$2:$J$5,Y$4)=0,COUNTIFS('Team Calendar'!$A$5:$A$12,$F30,'Team Calendar'!$C$5:$C$12,Y$4)=0),1,"")</x:f>
      </x:c>
      <x:c r="Z30" s="100" t="str">
        <x:f>IF(AND(ISNUMBER($D30),ISNUMBER($E30),Z$4&gt;=$D30,Z$4&lt;=$E30,WEEKDAY(Z$4,2)&lt;=5,COUNTIF('Sources &amp; Change Log'!$J$2:$J$5,Z$4)=0,COUNTIFS('Team Calendar'!$A$5:$A$12,$F30,'Team Calendar'!$C$5:$C$12,Z$4)=0),1,"")</x:f>
      </x:c>
      <x:c r="AA30" s="100" t="str">
        <x:f>IF(AND(ISNUMBER($D30),ISNUMBER($E30),AA$4&gt;=$D30,AA$4&lt;=$E30,WEEKDAY(AA$4,2)&lt;=5,COUNTIF('Sources &amp; Change Log'!$J$2:$J$5,AA$4)=0,COUNTIFS('Team Calendar'!$A$5:$A$12,$F30,'Team Calendar'!$C$5:$C$12,AA$4)=0),1,"")</x:f>
      </x:c>
      <x:c r="AB30" s="100" t="str">
        <x:f>IF(AND(ISNUMBER($D30),ISNUMBER($E30),AB$4&gt;=$D30,AB$4&lt;=$E30,WEEKDAY(AB$4,2)&lt;=5,COUNTIF('Sources &amp; Change Log'!$J$2:$J$5,AB$4)=0,COUNTIFS('Team Calendar'!$A$5:$A$12,$F30,'Team Calendar'!$C$5:$C$12,AB$4)=0),1,"")</x:f>
      </x:c>
      <x:c r="AC30" s="100" t="str">
        <x:f>IF(AND(ISNUMBER($D30),ISNUMBER($E30),AC$4&gt;=$D30,AC$4&lt;=$E30,WEEKDAY(AC$4,2)&lt;=5,COUNTIF('Sources &amp; Change Log'!$J$2:$J$5,AC$4)=0,COUNTIFS('Team Calendar'!$A$5:$A$12,$F30,'Team Calendar'!$C$5:$C$12,AC$4)=0),1,"")</x:f>
      </x:c>
      <x:c r="AD30" s="100" t="str">
        <x:f>IF(AND(ISNUMBER($D30),ISNUMBER($E30),AD$4&gt;=$D30,AD$4&lt;=$E30,WEEKDAY(AD$4,2)&lt;=5,COUNTIF('Sources &amp; Change Log'!$J$2:$J$5,AD$4)=0,COUNTIFS('Team Calendar'!$A$5:$A$12,$F30,'Team Calendar'!$C$5:$C$12,AD$4)=0),1,"")</x:f>
      </x:c>
      <x:c r="AE30" s="107" t="str">
        <x:f>IF(AND(ISNUMBER($D30),ISNUMBER($E30),AE$4&gt;=$D30,AE$4&lt;=$E30,WEEKDAY(AE$4,2)&lt;=5,COUNTIF('Sources &amp; Change Log'!$J$2:$J$5,AE$4)=0,COUNTIFS('Team Calendar'!$A$5:$A$12,$F30,'Team Calendar'!$C$5:$C$12,AE$4)=0),1,"")</x:f>
      </x:c>
      <x:c r="AF30" s="107" t="str">
        <x:f>IF(AND(ISNUMBER($D30),ISNUMBER($E30),AF$4&gt;=$D30,AF$4&lt;=$E30,WEEKDAY(AF$4,2)&lt;=5,COUNTIF('Sources &amp; Change Log'!$J$2:$J$5,AF$4)=0,COUNTIFS('Team Calendar'!$A$5:$A$12,$F30,'Team Calendar'!$C$5:$C$12,AF$4)=0),1,"")</x:f>
      </x:c>
      <x:c r="AG30" s="100" t="str">
        <x:f>IF(AND(ISNUMBER($D30),ISNUMBER($E30),AG$4&gt;=$D30,AG$4&lt;=$E30,WEEKDAY(AG$4,2)&lt;=5,COUNTIF('Sources &amp; Change Log'!$J$2:$J$5,AG$4)=0,COUNTIFS('Team Calendar'!$A$5:$A$12,$F30,'Team Calendar'!$C$5:$C$12,AG$4)=0),1,"")</x:f>
      </x:c>
      <x:c r="AH30" s="100" t="n">
        <x:f>IF(AND(ISNUMBER($D30),ISNUMBER($E30),AH$4&gt;=$D30,AH$4&lt;=$E30,WEEKDAY(AH$4,2)&lt;=5,COUNTIF('Sources &amp; Change Log'!$J$2:$J$5,AH$4)=0,COUNTIFS('Team Calendar'!$A$5:$A$12,$F30,'Team Calendar'!$C$5:$C$12,AH$4)=0),1,"")</x:f>
        <x:v>1</x:v>
      </x:c>
      <x:c r="AI30" s="100" t="str">
        <x:f>IF(AND(ISNUMBER($D30),ISNUMBER($E30),AI$4&gt;=$D30,AI$4&lt;=$E30,WEEKDAY(AI$4,2)&lt;=5,COUNTIF('Sources &amp; Change Log'!$J$2:$J$5,AI$4)=0,COUNTIFS('Team Calendar'!$A$5:$A$12,$F30,'Team Calendar'!$C$5:$C$12,AI$4)=0),1,"")</x:f>
      </x:c>
    </x:row>
    <x:row r="31" ht="28" customHeight="1">
      <x:c r="A31" t="str">
        <x:f>WBS!A30</x:f>
        <x:v>MS-P1-CLOSE-01</x:v>
      </x:c>
      <x:c r="B31" t="str">
        <x:f>WBS!B30</x:f>
        <x:v>Phase 1 Close</x:v>
      </x:c>
      <x:c r="C31" t="str">
        <x:f>WBS!G30</x:f>
        <x:v>To Do</x:v>
      </x:c>
      <x:c r="D31" s="87" t="n">
        <x:f>IF(WBS!H30="","",WBS!H30)</x:f>
        <x:v>46288</x:v>
      </x:c>
      <x:c r="E31" s="87" t="n">
        <x:f>IF(WBS!I30="","",WBS!I30)</x:f>
        <x:v>46288</x:v>
      </x:c>
      <x:c r="F31" t="str">
        <x:f>WBS!L30</x:f>
        <x:v>이권욱</x:v>
      </x:c>
      <x:c r="G31" s="104" t="str">
        <x:f>IF(AND(ISNUMBER($D31),ISNUMBER($E31),G$4&gt;=$D31,G$4&lt;=$E31,WEEKDAY(G$4,2)&lt;=5,COUNTIF('Sources &amp; Change Log'!$J$2:$J$5,G$4)=0,COUNTIFS('Team Calendar'!$A$5:$A$12,$F31,'Team Calendar'!$C$5:$C$12,G$4)=0),1,"")</x:f>
      </x:c>
      <x:c r="H31" s="104" t="str">
        <x:f>IF(AND(ISNUMBER($D31),ISNUMBER($E31),H$4&gt;=$D31,H$4&lt;=$E31,WEEKDAY(H$4,2)&lt;=5,COUNTIF('Sources &amp; Change Log'!$J$2:$J$5,H$4)=0,COUNTIFS('Team Calendar'!$A$5:$A$12,$F31,'Team Calendar'!$C$5:$C$12,H$4)=0),1,"")</x:f>
      </x:c>
      <x:c r="I31" s="104" t="str">
        <x:f>IF(AND(ISNUMBER($D31),ISNUMBER($E31),I$4&gt;=$D31,I$4&lt;=$E31,WEEKDAY(I$4,2)&lt;=5,COUNTIF('Sources &amp; Change Log'!$J$2:$J$5,I$4)=0,COUNTIFS('Team Calendar'!$A$5:$A$12,$F31,'Team Calendar'!$C$5:$C$12,I$4)=0),1,"")</x:f>
      </x:c>
      <x:c r="J31" s="108" t="str">
        <x:f>IF(AND(ISNUMBER($D31),ISNUMBER($E31),J$4&gt;=$D31,J$4&lt;=$E31,WEEKDAY(J$4,2)&lt;=5,COUNTIF('Sources &amp; Change Log'!$J$2:$J$5,J$4)=0,COUNTIFS('Team Calendar'!$A$5:$A$12,$F31,'Team Calendar'!$C$5:$C$12,J$4)=0),1,"")</x:f>
      </x:c>
      <x:c r="K31" s="108" t="str">
        <x:f>IF(AND(ISNUMBER($D31),ISNUMBER($E31),K$4&gt;=$D31,K$4&lt;=$E31,WEEKDAY(K$4,2)&lt;=5,COUNTIF('Sources &amp; Change Log'!$J$2:$J$5,K$4)=0,COUNTIFS('Team Calendar'!$A$5:$A$12,$F31,'Team Calendar'!$C$5:$C$12,K$4)=0),1,"")</x:f>
      </x:c>
      <x:c r="L31" s="104" t="str">
        <x:f>IF(AND(ISNUMBER($D31),ISNUMBER($E31),L$4&gt;=$D31,L$4&lt;=$E31,WEEKDAY(L$4,2)&lt;=5,COUNTIF('Sources &amp; Change Log'!$J$2:$J$5,L$4)=0,COUNTIFS('Team Calendar'!$A$5:$A$12,$F31,'Team Calendar'!$C$5:$C$12,L$4)=0),1,"")</x:f>
      </x:c>
      <x:c r="M31" s="104" t="str">
        <x:f>IF(AND(ISNUMBER($D31),ISNUMBER($E31),M$4&gt;=$D31,M$4&lt;=$E31,WEEKDAY(M$4,2)&lt;=5,COUNTIF('Sources &amp; Change Log'!$J$2:$J$5,M$4)=0,COUNTIFS('Team Calendar'!$A$5:$A$12,$F31,'Team Calendar'!$C$5:$C$12,M$4)=0),1,"")</x:f>
      </x:c>
      <x:c r="N31" s="104" t="str">
        <x:f>IF(AND(ISNUMBER($D31),ISNUMBER($E31),N$4&gt;=$D31,N$4&lt;=$E31,WEEKDAY(N$4,2)&lt;=5,COUNTIF('Sources &amp; Change Log'!$J$2:$J$5,N$4)=0,COUNTIFS('Team Calendar'!$A$5:$A$12,$F31,'Team Calendar'!$C$5:$C$12,N$4)=0),1,"")</x:f>
      </x:c>
      <x:c r="O31" s="104" t="str">
        <x:f>IF(AND(ISNUMBER($D31),ISNUMBER($E31),O$4&gt;=$D31,O$4&lt;=$E31,WEEKDAY(O$4,2)&lt;=5,COUNTIF('Sources &amp; Change Log'!$J$2:$J$5,O$4)=0,COUNTIFS('Team Calendar'!$A$5:$A$12,$F31,'Team Calendar'!$C$5:$C$12,O$4)=0),1,"")</x:f>
      </x:c>
      <x:c r="P31" s="104" t="str">
        <x:f>IF(AND(ISNUMBER($D31),ISNUMBER($E31),P$4&gt;=$D31,P$4&lt;=$E31,WEEKDAY(P$4,2)&lt;=5,COUNTIF('Sources &amp; Change Log'!$J$2:$J$5,P$4)=0,COUNTIFS('Team Calendar'!$A$5:$A$12,$F31,'Team Calendar'!$C$5:$C$12,P$4)=0),1,"")</x:f>
      </x:c>
      <x:c r="Q31" s="108" t="str">
        <x:f>IF(AND(ISNUMBER($D31),ISNUMBER($E31),Q$4&gt;=$D31,Q$4&lt;=$E31,WEEKDAY(Q$4,2)&lt;=5,COUNTIF('Sources &amp; Change Log'!$J$2:$J$5,Q$4)=0,COUNTIFS('Team Calendar'!$A$5:$A$12,$F31,'Team Calendar'!$C$5:$C$12,Q$4)=0),1,"")</x:f>
      </x:c>
      <x:c r="R31" s="108" t="str">
        <x:f>IF(AND(ISNUMBER($D31),ISNUMBER($E31),R$4&gt;=$D31,R$4&lt;=$E31,WEEKDAY(R$4,2)&lt;=5,COUNTIF('Sources &amp; Change Log'!$J$2:$J$5,R$4)=0,COUNTIFS('Team Calendar'!$A$5:$A$12,$F31,'Team Calendar'!$C$5:$C$12,R$4)=0),1,"")</x:f>
      </x:c>
      <x:c r="S31" s="104" t="str">
        <x:f>IF(AND(ISNUMBER($D31),ISNUMBER($E31),S$4&gt;=$D31,S$4&lt;=$E31,WEEKDAY(S$4,2)&lt;=5,COUNTIF('Sources &amp; Change Log'!$J$2:$J$5,S$4)=0,COUNTIFS('Team Calendar'!$A$5:$A$12,$F31,'Team Calendar'!$C$5:$C$12,S$4)=0),1,"")</x:f>
      </x:c>
      <x:c r="T31" s="104" t="str">
        <x:f>IF(AND(ISNUMBER($D31),ISNUMBER($E31),T$4&gt;=$D31,T$4&lt;=$E31,WEEKDAY(T$4,2)&lt;=5,COUNTIF('Sources &amp; Change Log'!$J$2:$J$5,T$4)=0,COUNTIFS('Team Calendar'!$A$5:$A$12,$F31,'Team Calendar'!$C$5:$C$12,T$4)=0),1,"")</x:f>
      </x:c>
      <x:c r="U31" s="104" t="str">
        <x:f>IF(AND(ISNUMBER($D31),ISNUMBER($E31),U$4&gt;=$D31,U$4&lt;=$E31,WEEKDAY(U$4,2)&lt;=5,COUNTIF('Sources &amp; Change Log'!$J$2:$J$5,U$4)=0,COUNTIFS('Team Calendar'!$A$5:$A$12,$F31,'Team Calendar'!$C$5:$C$12,U$4)=0),1,"")</x:f>
      </x:c>
      <x:c r="V31" s="104" t="str">
        <x:f>IF(AND(ISNUMBER($D31),ISNUMBER($E31),V$4&gt;=$D31,V$4&lt;=$E31,WEEKDAY(V$4,2)&lt;=5,COUNTIF('Sources &amp; Change Log'!$J$2:$J$5,V$4)=0,COUNTIFS('Team Calendar'!$A$5:$A$12,$F31,'Team Calendar'!$C$5:$C$12,V$4)=0),1,"")</x:f>
      </x:c>
      <x:c r="W31" s="104" t="str">
        <x:f>IF(AND(ISNUMBER($D31),ISNUMBER($E31),W$4&gt;=$D31,W$4&lt;=$E31,WEEKDAY(W$4,2)&lt;=5,COUNTIF('Sources &amp; Change Log'!$J$2:$J$5,W$4)=0,COUNTIFS('Team Calendar'!$A$5:$A$12,$F31,'Team Calendar'!$C$5:$C$12,W$4)=0),1,"")</x:f>
      </x:c>
      <x:c r="X31" s="108" t="str">
        <x:f>IF(AND(ISNUMBER($D31),ISNUMBER($E31),X$4&gt;=$D31,X$4&lt;=$E31,WEEKDAY(X$4,2)&lt;=5,COUNTIF('Sources &amp; Change Log'!$J$2:$J$5,X$4)=0,COUNTIFS('Team Calendar'!$A$5:$A$12,$F31,'Team Calendar'!$C$5:$C$12,X$4)=0),1,"")</x:f>
      </x:c>
      <x:c r="Y31" s="108" t="str">
        <x:f>IF(AND(ISNUMBER($D31),ISNUMBER($E31),Y$4&gt;=$D31,Y$4&lt;=$E31,WEEKDAY(Y$4,2)&lt;=5,COUNTIF('Sources &amp; Change Log'!$J$2:$J$5,Y$4)=0,COUNTIFS('Team Calendar'!$A$5:$A$12,$F31,'Team Calendar'!$C$5:$C$12,Y$4)=0),1,"")</x:f>
      </x:c>
      <x:c r="Z31" s="104" t="str">
        <x:f>IF(AND(ISNUMBER($D31),ISNUMBER($E31),Z$4&gt;=$D31,Z$4&lt;=$E31,WEEKDAY(Z$4,2)&lt;=5,COUNTIF('Sources &amp; Change Log'!$J$2:$J$5,Z$4)=0,COUNTIFS('Team Calendar'!$A$5:$A$12,$F31,'Team Calendar'!$C$5:$C$12,Z$4)=0),1,"")</x:f>
      </x:c>
      <x:c r="AA31" s="104" t="str">
        <x:f>IF(AND(ISNUMBER($D31),ISNUMBER($E31),AA$4&gt;=$D31,AA$4&lt;=$E31,WEEKDAY(AA$4,2)&lt;=5,COUNTIF('Sources &amp; Change Log'!$J$2:$J$5,AA$4)=0,COUNTIFS('Team Calendar'!$A$5:$A$12,$F31,'Team Calendar'!$C$5:$C$12,AA$4)=0),1,"")</x:f>
      </x:c>
      <x:c r="AB31" s="104" t="str">
        <x:f>IF(AND(ISNUMBER($D31),ISNUMBER($E31),AB$4&gt;=$D31,AB$4&lt;=$E31,WEEKDAY(AB$4,2)&lt;=5,COUNTIF('Sources &amp; Change Log'!$J$2:$J$5,AB$4)=0,COUNTIFS('Team Calendar'!$A$5:$A$12,$F31,'Team Calendar'!$C$5:$C$12,AB$4)=0),1,"")</x:f>
      </x:c>
      <x:c r="AC31" s="104" t="str">
        <x:f>IF(AND(ISNUMBER($D31),ISNUMBER($E31),AC$4&gt;=$D31,AC$4&lt;=$E31,WEEKDAY(AC$4,2)&lt;=5,COUNTIF('Sources &amp; Change Log'!$J$2:$J$5,AC$4)=0,COUNTIFS('Team Calendar'!$A$5:$A$12,$F31,'Team Calendar'!$C$5:$C$12,AC$4)=0),1,"")</x:f>
      </x:c>
      <x:c r="AD31" s="104" t="str">
        <x:f>IF(AND(ISNUMBER($D31),ISNUMBER($E31),AD$4&gt;=$D31,AD$4&lt;=$E31,WEEKDAY(AD$4,2)&lt;=5,COUNTIF('Sources &amp; Change Log'!$J$2:$J$5,AD$4)=0,COUNTIFS('Team Calendar'!$A$5:$A$12,$F31,'Team Calendar'!$C$5:$C$12,AD$4)=0),1,"")</x:f>
      </x:c>
      <x:c r="AE31" s="108" t="str">
        <x:f>IF(AND(ISNUMBER($D31),ISNUMBER($E31),AE$4&gt;=$D31,AE$4&lt;=$E31,WEEKDAY(AE$4,2)&lt;=5,COUNTIF('Sources &amp; Change Log'!$J$2:$J$5,AE$4)=0,COUNTIFS('Team Calendar'!$A$5:$A$12,$F31,'Team Calendar'!$C$5:$C$12,AE$4)=0),1,"")</x:f>
      </x:c>
      <x:c r="AF31" s="108" t="str">
        <x:f>IF(AND(ISNUMBER($D31),ISNUMBER($E31),AF$4&gt;=$D31,AF$4&lt;=$E31,WEEKDAY(AF$4,2)&lt;=5,COUNTIF('Sources &amp; Change Log'!$J$2:$J$5,AF$4)=0,COUNTIFS('Team Calendar'!$A$5:$A$12,$F31,'Team Calendar'!$C$5:$C$12,AF$4)=0),1,"")</x:f>
      </x:c>
      <x:c r="AG31" s="104" t="str">
        <x:f>IF(AND(ISNUMBER($D31),ISNUMBER($E31),AG$4&gt;=$D31,AG$4&lt;=$E31,WEEKDAY(AG$4,2)&lt;=5,COUNTIF('Sources &amp; Change Log'!$J$2:$J$5,AG$4)=0,COUNTIFS('Team Calendar'!$A$5:$A$12,$F31,'Team Calendar'!$C$5:$C$12,AG$4)=0),1,"")</x:f>
      </x:c>
      <x:c r="AH31" s="104" t="str">
        <x:f>IF(AND(ISNUMBER($D31),ISNUMBER($E31),AH$4&gt;=$D31,AH$4&lt;=$E31,WEEKDAY(AH$4,2)&lt;=5,COUNTIF('Sources &amp; Change Log'!$J$2:$J$5,AH$4)=0,COUNTIFS('Team Calendar'!$A$5:$A$12,$F31,'Team Calendar'!$C$5:$C$12,AH$4)=0),1,"")</x:f>
      </x:c>
      <x:c r="AI31" s="105" t="n">
        <x:f>IF(AND(ISNUMBER($D31),ISNUMBER($E31),AI$4&gt;=$D31,AI$4&lt;=$E31,WEEKDAY(AI$4,2)&lt;=5,COUNTIF('Sources &amp; Change Log'!$J$2:$J$5,AI$4)=0,COUNTIFS('Team Calendar'!$A$5:$A$12,$F31,'Team Calendar'!$C$5:$C$12,AI$4)=0),1,"")</x:f>
        <x:v>1</x:v>
      </x:c>
    </x:row>
    <x:row r="32" ht="28" customHeight="1">
      <x:c r="A32" t="str">
        <x:f>WBS!A56</x:f>
        <x:v>DEC-P1-FDS-01</x:v>
      </x:c>
      <x:c r="B32" t="str">
        <x:f>WBS!B56</x:f>
        <x:v>거래 보류 도입 범위·판정·평가 실패·Gate 편입 결정</x:v>
      </x:c>
      <x:c r="C32" t="str">
        <x:f>WBS!G56</x:f>
        <x:v>Done</x:v>
      </x:c>
      <x:c r="D32" s="87" t="n">
        <x:f>IF(WBS!H56="","",WBS!H56)</x:f>
        <x:v>46273</x:v>
      </x:c>
      <x:c r="E32" s="87" t="n">
        <x:f>IF(WBS!I56="","",WBS!I56)</x:f>
        <x:v>46274</x:v>
      </x:c>
      <x:c r="F32" t="str">
        <x:f>WBS!L56</x:f>
        <x:v>이재환</x:v>
      </x:c>
      <x:c r="G32" s="104" t="str">
        <x:f>IF(AND(ISNUMBER($D32),ISNUMBER($E32),G$4&gt;=$D32,G$4&lt;=$E32,WEEKDAY(G$4,2)&lt;=5,COUNTIF('Sources &amp; Change Log'!$J$2:$J$5,G$4)=0,COUNTIFS('Team Calendar'!$A$5:$A$12,$F32,'Team Calendar'!$C$5:$C$12,G$4)=0),1,"")</x:f>
      </x:c>
      <x:c r="H32" s="104" t="str">
        <x:f>IF(AND(ISNUMBER($D32),ISNUMBER($E32),H$4&gt;=$D32,H$4&lt;=$E32,WEEKDAY(H$4,2)&lt;=5,COUNTIF('Sources &amp; Change Log'!$J$2:$J$5,H$4)=0,COUNTIFS('Team Calendar'!$A$5:$A$12,$F32,'Team Calendar'!$C$5:$C$12,H$4)=0),1,"")</x:f>
      </x:c>
      <x:c r="I32" s="104" t="str">
        <x:f>IF(AND(ISNUMBER($D32),ISNUMBER($E32),I$4&gt;=$D32,I$4&lt;=$E32,WEEKDAY(I$4,2)&lt;=5,COUNTIF('Sources &amp; Change Log'!$J$2:$J$5,I$4)=0,COUNTIFS('Team Calendar'!$A$5:$A$12,$F32,'Team Calendar'!$C$5:$C$12,I$4)=0),1,"")</x:f>
      </x:c>
      <x:c r="J32" s="108" t="str">
        <x:f>IF(AND(ISNUMBER($D32),ISNUMBER($E32),J$4&gt;=$D32,J$4&lt;=$E32,WEEKDAY(J$4,2)&lt;=5,COUNTIF('Sources &amp; Change Log'!$J$2:$J$5,J$4)=0,COUNTIFS('Team Calendar'!$A$5:$A$12,$F32,'Team Calendar'!$C$5:$C$12,J$4)=0),1,"")</x:f>
      </x:c>
      <x:c r="K32" s="108" t="str">
        <x:f>IF(AND(ISNUMBER($D32),ISNUMBER($E32),K$4&gt;=$D32,K$4&lt;=$E32,WEEKDAY(K$4,2)&lt;=5,COUNTIF('Sources &amp; Change Log'!$J$2:$J$5,K$4)=0,COUNTIFS('Team Calendar'!$A$5:$A$12,$F32,'Team Calendar'!$C$5:$C$12,K$4)=0),1,"")</x:f>
      </x:c>
      <x:c r="L32" s="104" t="str">
        <x:f>IF(AND(ISNUMBER($D32),ISNUMBER($E32),L$4&gt;=$D32,L$4&lt;=$E32,WEEKDAY(L$4,2)&lt;=5,COUNTIF('Sources &amp; Change Log'!$J$2:$J$5,L$4)=0,COUNTIFS('Team Calendar'!$A$5:$A$12,$F32,'Team Calendar'!$C$5:$C$12,L$4)=0),1,"")</x:f>
      </x:c>
      <x:c r="M32" s="104" t="str">
        <x:f>IF(AND(ISNUMBER($D32),ISNUMBER($E32),M$4&gt;=$D32,M$4&lt;=$E32,WEEKDAY(M$4,2)&lt;=5,COUNTIF('Sources &amp; Change Log'!$J$2:$J$5,M$4)=0,COUNTIFS('Team Calendar'!$A$5:$A$12,$F32,'Team Calendar'!$C$5:$C$12,M$4)=0),1,"")</x:f>
      </x:c>
      <x:c r="N32" s="104" t="str">
        <x:f>IF(AND(ISNUMBER($D32),ISNUMBER($E32),N$4&gt;=$D32,N$4&lt;=$E32,WEEKDAY(N$4,2)&lt;=5,COUNTIF('Sources &amp; Change Log'!$J$2:$J$5,N$4)=0,COUNTIFS('Team Calendar'!$A$5:$A$12,$F32,'Team Calendar'!$C$5:$C$12,N$4)=0),1,"")</x:f>
      </x:c>
      <x:c r="O32" s="104" t="str">
        <x:f>IF(AND(ISNUMBER($D32),ISNUMBER($E32),O$4&gt;=$D32,O$4&lt;=$E32,WEEKDAY(O$4,2)&lt;=5,COUNTIF('Sources &amp; Change Log'!$J$2:$J$5,O$4)=0,COUNTIFS('Team Calendar'!$A$5:$A$12,$F32,'Team Calendar'!$C$5:$C$12,O$4)=0),1,"")</x:f>
      </x:c>
      <x:c r="P32" s="104" t="str">
        <x:f>IF(AND(ISNUMBER($D32),ISNUMBER($E32),P$4&gt;=$D32,P$4&lt;=$E32,WEEKDAY(P$4,2)&lt;=5,COUNTIF('Sources &amp; Change Log'!$J$2:$J$5,P$4)=0,COUNTIFS('Team Calendar'!$A$5:$A$12,$F32,'Team Calendar'!$C$5:$C$12,P$4)=0),1,"")</x:f>
      </x:c>
      <x:c r="Q32" s="108" t="str">
        <x:f>IF(AND(ISNUMBER($D32),ISNUMBER($E32),Q$4&gt;=$D32,Q$4&lt;=$E32,WEEKDAY(Q$4,2)&lt;=5,COUNTIF('Sources &amp; Change Log'!$J$2:$J$5,Q$4)=0,COUNTIFS('Team Calendar'!$A$5:$A$12,$F32,'Team Calendar'!$C$5:$C$12,Q$4)=0),1,"")</x:f>
      </x:c>
      <x:c r="R32" s="108" t="str">
        <x:f>IF(AND(ISNUMBER($D32),ISNUMBER($E32),R$4&gt;=$D32,R$4&lt;=$E32,WEEKDAY(R$4,2)&lt;=5,COUNTIF('Sources &amp; Change Log'!$J$2:$J$5,R$4)=0,COUNTIFS('Team Calendar'!$A$5:$A$12,$F32,'Team Calendar'!$C$5:$C$12,R$4)=0),1,"")</x:f>
      </x:c>
      <x:c r="S32" s="104" t="str">
        <x:f>IF(AND(ISNUMBER($D32),ISNUMBER($E32),S$4&gt;=$D32,S$4&lt;=$E32,WEEKDAY(S$4,2)&lt;=5,COUNTIF('Sources &amp; Change Log'!$J$2:$J$5,S$4)=0,COUNTIFS('Team Calendar'!$A$5:$A$12,$F32,'Team Calendar'!$C$5:$C$12,S$4)=0),1,"")</x:f>
      </x:c>
      <x:c r="T32" s="104" t="n">
        <x:f>IF(AND(ISNUMBER($D32),ISNUMBER($E32),T$4&gt;=$D32,T$4&lt;=$E32,WEEKDAY(T$4,2)&lt;=5,COUNTIF('Sources &amp; Change Log'!$J$2:$J$5,T$4)=0,COUNTIFS('Team Calendar'!$A$5:$A$12,$F32,'Team Calendar'!$C$5:$C$12,T$4)=0),1,"")</x:f>
        <x:v>1</x:v>
      </x:c>
      <x:c r="U32" s="104" t="n">
        <x:f>IF(AND(ISNUMBER($D32),ISNUMBER($E32),U$4&gt;=$D32,U$4&lt;=$E32,WEEKDAY(U$4,2)&lt;=5,COUNTIF('Sources &amp; Change Log'!$J$2:$J$5,U$4)=0,COUNTIFS('Team Calendar'!$A$5:$A$12,$F32,'Team Calendar'!$C$5:$C$12,U$4)=0),1,"")</x:f>
        <x:v>1</x:v>
      </x:c>
      <x:c r="V32" s="104" t="str">
        <x:f>IF(AND(ISNUMBER($D32),ISNUMBER($E32),V$4&gt;=$D32,V$4&lt;=$E32,WEEKDAY(V$4,2)&lt;=5,COUNTIF('Sources &amp; Change Log'!$J$2:$J$5,V$4)=0,COUNTIFS('Team Calendar'!$A$5:$A$12,$F32,'Team Calendar'!$C$5:$C$12,V$4)=0),1,"")</x:f>
      </x:c>
      <x:c r="W32" s="104" t="str">
        <x:f>IF(AND(ISNUMBER($D32),ISNUMBER($E32),W$4&gt;=$D32,W$4&lt;=$E32,WEEKDAY(W$4,2)&lt;=5,COUNTIF('Sources &amp; Change Log'!$J$2:$J$5,W$4)=0,COUNTIFS('Team Calendar'!$A$5:$A$12,$F32,'Team Calendar'!$C$5:$C$12,W$4)=0),1,"")</x:f>
      </x:c>
      <x:c r="X32" s="108" t="str">
        <x:f>IF(AND(ISNUMBER($D32),ISNUMBER($E32),X$4&gt;=$D32,X$4&lt;=$E32,WEEKDAY(X$4,2)&lt;=5,COUNTIF('Sources &amp; Change Log'!$J$2:$J$5,X$4)=0,COUNTIFS('Team Calendar'!$A$5:$A$12,$F32,'Team Calendar'!$C$5:$C$12,X$4)=0),1,"")</x:f>
      </x:c>
      <x:c r="Y32" s="108" t="str">
        <x:f>IF(AND(ISNUMBER($D32),ISNUMBER($E32),Y$4&gt;=$D32,Y$4&lt;=$E32,WEEKDAY(Y$4,2)&lt;=5,COUNTIF('Sources &amp; Change Log'!$J$2:$J$5,Y$4)=0,COUNTIFS('Team Calendar'!$A$5:$A$12,$F32,'Team Calendar'!$C$5:$C$12,Y$4)=0),1,"")</x:f>
      </x:c>
      <x:c r="Z32" s="104" t="str">
        <x:f>IF(AND(ISNUMBER($D32),ISNUMBER($E32),Z$4&gt;=$D32,Z$4&lt;=$E32,WEEKDAY(Z$4,2)&lt;=5,COUNTIF('Sources &amp; Change Log'!$J$2:$J$5,Z$4)=0,COUNTIFS('Team Calendar'!$A$5:$A$12,$F32,'Team Calendar'!$C$5:$C$12,Z$4)=0),1,"")</x:f>
      </x:c>
      <x:c r="AA32" s="104" t="str">
        <x:f>IF(AND(ISNUMBER($D32),ISNUMBER($E32),AA$4&gt;=$D32,AA$4&lt;=$E32,WEEKDAY(AA$4,2)&lt;=5,COUNTIF('Sources &amp; Change Log'!$J$2:$J$5,AA$4)=0,COUNTIFS('Team Calendar'!$A$5:$A$12,$F32,'Team Calendar'!$C$5:$C$12,AA$4)=0),1,"")</x:f>
      </x:c>
      <x:c r="AB32" s="104" t="str">
        <x:f>IF(AND(ISNUMBER($D32),ISNUMBER($E32),AB$4&gt;=$D32,AB$4&lt;=$E32,WEEKDAY(AB$4,2)&lt;=5,COUNTIF('Sources &amp; Change Log'!$J$2:$J$5,AB$4)=0,COUNTIFS('Team Calendar'!$A$5:$A$12,$F32,'Team Calendar'!$C$5:$C$12,AB$4)=0),1,"")</x:f>
      </x:c>
      <x:c r="AC32" s="104" t="str">
        <x:f>IF(AND(ISNUMBER($D32),ISNUMBER($E32),AC$4&gt;=$D32,AC$4&lt;=$E32,WEEKDAY(AC$4,2)&lt;=5,COUNTIF('Sources &amp; Change Log'!$J$2:$J$5,AC$4)=0,COUNTIFS('Team Calendar'!$A$5:$A$12,$F32,'Team Calendar'!$C$5:$C$12,AC$4)=0),1,"")</x:f>
      </x:c>
      <x:c r="AD32" s="104" t="str">
        <x:f>IF(AND(ISNUMBER($D32),ISNUMBER($E32),AD$4&gt;=$D32,AD$4&lt;=$E32,WEEKDAY(AD$4,2)&lt;=5,COUNTIF('Sources &amp; Change Log'!$J$2:$J$5,AD$4)=0,COUNTIFS('Team Calendar'!$A$5:$A$12,$F32,'Team Calendar'!$C$5:$C$12,AD$4)=0),1,"")</x:f>
      </x:c>
      <x:c r="AE32" s="108" t="str">
        <x:f>IF(AND(ISNUMBER($D32),ISNUMBER($E32),AE$4&gt;=$D32,AE$4&lt;=$E32,WEEKDAY(AE$4,2)&lt;=5,COUNTIF('Sources &amp; Change Log'!$J$2:$J$5,AE$4)=0,COUNTIFS('Team Calendar'!$A$5:$A$12,$F32,'Team Calendar'!$C$5:$C$12,AE$4)=0),1,"")</x:f>
      </x:c>
      <x:c r="AF32" s="108" t="str">
        <x:f>IF(AND(ISNUMBER($D32),ISNUMBER($E32),AF$4&gt;=$D32,AF$4&lt;=$E32,WEEKDAY(AF$4,2)&lt;=5,COUNTIF('Sources &amp; Change Log'!$J$2:$J$5,AF$4)=0,COUNTIFS('Team Calendar'!$A$5:$A$12,$F32,'Team Calendar'!$C$5:$C$12,AF$4)=0),1,"")</x:f>
      </x:c>
      <x:c r="AG32" s="104" t="str">
        <x:f>IF(AND(ISNUMBER($D32),ISNUMBER($E32),AG$4&gt;=$D32,AG$4&lt;=$E32,WEEKDAY(AG$4,2)&lt;=5,COUNTIF('Sources &amp; Change Log'!$J$2:$J$5,AG$4)=0,COUNTIFS('Team Calendar'!$A$5:$A$12,$F32,'Team Calendar'!$C$5:$C$12,AG$4)=0),1,"")</x:f>
      </x:c>
      <x:c r="AH32" s="104" t="str">
        <x:f>IF(AND(ISNUMBER($D32),ISNUMBER($E32),AH$4&gt;=$D32,AH$4&lt;=$E32,WEEKDAY(AH$4,2)&lt;=5,COUNTIF('Sources &amp; Change Log'!$J$2:$J$5,AH$4)=0,COUNTIFS('Team Calendar'!$A$5:$A$12,$F32,'Team Calendar'!$C$5:$C$12,AH$4)=0),1,"")</x:f>
      </x:c>
      <x:c r="AI32" s="104" t="str">
        <x:f>IF(AND(ISNUMBER($D32),ISNUMBER($E32),AI$4&gt;=$D32,AI$4&lt;=$E32,WEEKDAY(AI$4,2)&lt;=5,COUNTIF('Sources &amp; Change Log'!$J$2:$J$5,AI$4)=0,COUNTIFS('Team Calendar'!$A$5:$A$12,$F32,'Team Calendar'!$C$5:$C$12,AI$4)=0),1,"")</x:f>
      </x:c>
    </x:row>
    <x:row r="33" ht="28" customHeight="1">
      <x:c r="A33" t="str">
        <x:f>WBS!A57</x:f>
        <x:v>DEC-P1-TXN-01</x:v>
      </x:c>
      <x:c r="B33" t="str">
        <x:f>WBS!B57</x:f>
        <x:v>거래 상태·API 응답·재시도·데이터 정합성 계약 결정</x:v>
      </x:c>
      <x:c r="C33" t="str">
        <x:f>WBS!G57</x:f>
        <x:v>Done</x:v>
      </x:c>
      <x:c r="D33" s="87" t="n">
        <x:f>IF(WBS!H57="","",WBS!H57)</x:f>
        <x:v>46273</x:v>
      </x:c>
      <x:c r="E33" s="87" t="n">
        <x:f>IF(WBS!I57="","",WBS!I57)</x:f>
        <x:v>46274</x:v>
      </x:c>
      <x:c r="F33" t="str">
        <x:f>WBS!L57</x:f>
        <x:v>이재환</x:v>
      </x:c>
      <x:c r="G33" s="104" t="str">
        <x:f>IF(AND(ISNUMBER($D33),ISNUMBER($E33),G$4&gt;=$D33,G$4&lt;=$E33,WEEKDAY(G$4,2)&lt;=5,COUNTIF('Sources &amp; Change Log'!$J$2:$J$5,G$4)=0,COUNTIFS('Team Calendar'!$A$5:$A$12,$F33,'Team Calendar'!$C$5:$C$12,G$4)=0),1,"")</x:f>
      </x:c>
      <x:c r="H33" s="104" t="str">
        <x:f>IF(AND(ISNUMBER($D33),ISNUMBER($E33),H$4&gt;=$D33,H$4&lt;=$E33,WEEKDAY(H$4,2)&lt;=5,COUNTIF('Sources &amp; Change Log'!$J$2:$J$5,H$4)=0,COUNTIFS('Team Calendar'!$A$5:$A$12,$F33,'Team Calendar'!$C$5:$C$12,H$4)=0),1,"")</x:f>
      </x:c>
      <x:c r="I33" s="104" t="str">
        <x:f>IF(AND(ISNUMBER($D33),ISNUMBER($E33),I$4&gt;=$D33,I$4&lt;=$E33,WEEKDAY(I$4,2)&lt;=5,COUNTIF('Sources &amp; Change Log'!$J$2:$J$5,I$4)=0,COUNTIFS('Team Calendar'!$A$5:$A$12,$F33,'Team Calendar'!$C$5:$C$12,I$4)=0),1,"")</x:f>
      </x:c>
      <x:c r="J33" s="108" t="str">
        <x:f>IF(AND(ISNUMBER($D33),ISNUMBER($E33),J$4&gt;=$D33,J$4&lt;=$E33,WEEKDAY(J$4,2)&lt;=5,COUNTIF('Sources &amp; Change Log'!$J$2:$J$5,J$4)=0,COUNTIFS('Team Calendar'!$A$5:$A$12,$F33,'Team Calendar'!$C$5:$C$12,J$4)=0),1,"")</x:f>
      </x:c>
      <x:c r="K33" s="108" t="str">
        <x:f>IF(AND(ISNUMBER($D33),ISNUMBER($E33),K$4&gt;=$D33,K$4&lt;=$E33,WEEKDAY(K$4,2)&lt;=5,COUNTIF('Sources &amp; Change Log'!$J$2:$J$5,K$4)=0,COUNTIFS('Team Calendar'!$A$5:$A$12,$F33,'Team Calendar'!$C$5:$C$12,K$4)=0),1,"")</x:f>
      </x:c>
      <x:c r="L33" s="104" t="str">
        <x:f>IF(AND(ISNUMBER($D33),ISNUMBER($E33),L$4&gt;=$D33,L$4&lt;=$E33,WEEKDAY(L$4,2)&lt;=5,COUNTIF('Sources &amp; Change Log'!$J$2:$J$5,L$4)=0,COUNTIFS('Team Calendar'!$A$5:$A$12,$F33,'Team Calendar'!$C$5:$C$12,L$4)=0),1,"")</x:f>
      </x:c>
      <x:c r="M33" s="104" t="str">
        <x:f>IF(AND(ISNUMBER($D33),ISNUMBER($E33),M$4&gt;=$D33,M$4&lt;=$E33,WEEKDAY(M$4,2)&lt;=5,COUNTIF('Sources &amp; Change Log'!$J$2:$J$5,M$4)=0,COUNTIFS('Team Calendar'!$A$5:$A$12,$F33,'Team Calendar'!$C$5:$C$12,M$4)=0),1,"")</x:f>
      </x:c>
      <x:c r="N33" s="104" t="str">
        <x:f>IF(AND(ISNUMBER($D33),ISNUMBER($E33),N$4&gt;=$D33,N$4&lt;=$E33,WEEKDAY(N$4,2)&lt;=5,COUNTIF('Sources &amp; Change Log'!$J$2:$J$5,N$4)=0,COUNTIFS('Team Calendar'!$A$5:$A$12,$F33,'Team Calendar'!$C$5:$C$12,N$4)=0),1,"")</x:f>
      </x:c>
      <x:c r="O33" s="104" t="str">
        <x:f>IF(AND(ISNUMBER($D33),ISNUMBER($E33),O$4&gt;=$D33,O$4&lt;=$E33,WEEKDAY(O$4,2)&lt;=5,COUNTIF('Sources &amp; Change Log'!$J$2:$J$5,O$4)=0,COUNTIFS('Team Calendar'!$A$5:$A$12,$F33,'Team Calendar'!$C$5:$C$12,O$4)=0),1,"")</x:f>
      </x:c>
      <x:c r="P33" s="104" t="str">
        <x:f>IF(AND(ISNUMBER($D33),ISNUMBER($E33),P$4&gt;=$D33,P$4&lt;=$E33,WEEKDAY(P$4,2)&lt;=5,COUNTIF('Sources &amp; Change Log'!$J$2:$J$5,P$4)=0,COUNTIFS('Team Calendar'!$A$5:$A$12,$F33,'Team Calendar'!$C$5:$C$12,P$4)=0),1,"")</x:f>
      </x:c>
      <x:c r="Q33" s="108" t="str">
        <x:f>IF(AND(ISNUMBER($D33),ISNUMBER($E33),Q$4&gt;=$D33,Q$4&lt;=$E33,WEEKDAY(Q$4,2)&lt;=5,COUNTIF('Sources &amp; Change Log'!$J$2:$J$5,Q$4)=0,COUNTIFS('Team Calendar'!$A$5:$A$12,$F33,'Team Calendar'!$C$5:$C$12,Q$4)=0),1,"")</x:f>
      </x:c>
      <x:c r="R33" s="108" t="str">
        <x:f>IF(AND(ISNUMBER($D33),ISNUMBER($E33),R$4&gt;=$D33,R$4&lt;=$E33,WEEKDAY(R$4,2)&lt;=5,COUNTIF('Sources &amp; Change Log'!$J$2:$J$5,R$4)=0,COUNTIFS('Team Calendar'!$A$5:$A$12,$F33,'Team Calendar'!$C$5:$C$12,R$4)=0),1,"")</x:f>
      </x:c>
      <x:c r="S33" s="104" t="str">
        <x:f>IF(AND(ISNUMBER($D33),ISNUMBER($E33),S$4&gt;=$D33,S$4&lt;=$E33,WEEKDAY(S$4,2)&lt;=5,COUNTIF('Sources &amp; Change Log'!$J$2:$J$5,S$4)=0,COUNTIFS('Team Calendar'!$A$5:$A$12,$F33,'Team Calendar'!$C$5:$C$12,S$4)=0),1,"")</x:f>
      </x:c>
      <x:c r="T33" s="104" t="n">
        <x:f>IF(AND(ISNUMBER($D33),ISNUMBER($E33),T$4&gt;=$D33,T$4&lt;=$E33,WEEKDAY(T$4,2)&lt;=5,COUNTIF('Sources &amp; Change Log'!$J$2:$J$5,T$4)=0,COUNTIFS('Team Calendar'!$A$5:$A$12,$F33,'Team Calendar'!$C$5:$C$12,T$4)=0),1,"")</x:f>
        <x:v>1</x:v>
      </x:c>
      <x:c r="U33" s="104" t="n">
        <x:f>IF(AND(ISNUMBER($D33),ISNUMBER($E33),U$4&gt;=$D33,U$4&lt;=$E33,WEEKDAY(U$4,2)&lt;=5,COUNTIF('Sources &amp; Change Log'!$J$2:$J$5,U$4)=0,COUNTIFS('Team Calendar'!$A$5:$A$12,$F33,'Team Calendar'!$C$5:$C$12,U$4)=0),1,"")</x:f>
        <x:v>1</x:v>
      </x:c>
      <x:c r="V33" s="104" t="str">
        <x:f>IF(AND(ISNUMBER($D33),ISNUMBER($E33),V$4&gt;=$D33,V$4&lt;=$E33,WEEKDAY(V$4,2)&lt;=5,COUNTIF('Sources &amp; Change Log'!$J$2:$J$5,V$4)=0,COUNTIFS('Team Calendar'!$A$5:$A$12,$F33,'Team Calendar'!$C$5:$C$12,V$4)=0),1,"")</x:f>
      </x:c>
      <x:c r="W33" s="104" t="str">
        <x:f>IF(AND(ISNUMBER($D33),ISNUMBER($E33),W$4&gt;=$D33,W$4&lt;=$E33,WEEKDAY(W$4,2)&lt;=5,COUNTIF('Sources &amp; Change Log'!$J$2:$J$5,W$4)=0,COUNTIFS('Team Calendar'!$A$5:$A$12,$F33,'Team Calendar'!$C$5:$C$12,W$4)=0),1,"")</x:f>
      </x:c>
      <x:c r="X33" s="108" t="str">
        <x:f>IF(AND(ISNUMBER($D33),ISNUMBER($E33),X$4&gt;=$D33,X$4&lt;=$E33,WEEKDAY(X$4,2)&lt;=5,COUNTIF('Sources &amp; Change Log'!$J$2:$J$5,X$4)=0,COUNTIFS('Team Calendar'!$A$5:$A$12,$F33,'Team Calendar'!$C$5:$C$12,X$4)=0),1,"")</x:f>
      </x:c>
      <x:c r="Y33" s="108" t="str">
        <x:f>IF(AND(ISNUMBER($D33),ISNUMBER($E33),Y$4&gt;=$D33,Y$4&lt;=$E33,WEEKDAY(Y$4,2)&lt;=5,COUNTIF('Sources &amp; Change Log'!$J$2:$J$5,Y$4)=0,COUNTIFS('Team Calendar'!$A$5:$A$12,$F33,'Team Calendar'!$C$5:$C$12,Y$4)=0),1,"")</x:f>
      </x:c>
      <x:c r="Z33" s="104" t="str">
        <x:f>IF(AND(ISNUMBER($D33),ISNUMBER($E33),Z$4&gt;=$D33,Z$4&lt;=$E33,WEEKDAY(Z$4,2)&lt;=5,COUNTIF('Sources &amp; Change Log'!$J$2:$J$5,Z$4)=0,COUNTIFS('Team Calendar'!$A$5:$A$12,$F33,'Team Calendar'!$C$5:$C$12,Z$4)=0),1,"")</x:f>
      </x:c>
      <x:c r="AA33" s="104" t="str">
        <x:f>IF(AND(ISNUMBER($D33),ISNUMBER($E33),AA$4&gt;=$D33,AA$4&lt;=$E33,WEEKDAY(AA$4,2)&lt;=5,COUNTIF('Sources &amp; Change Log'!$J$2:$J$5,AA$4)=0,COUNTIFS('Team Calendar'!$A$5:$A$12,$F33,'Team Calendar'!$C$5:$C$12,AA$4)=0),1,"")</x:f>
      </x:c>
      <x:c r="AB33" s="104" t="str">
        <x:f>IF(AND(ISNUMBER($D33),ISNUMBER($E33),AB$4&gt;=$D33,AB$4&lt;=$E33,WEEKDAY(AB$4,2)&lt;=5,COUNTIF('Sources &amp; Change Log'!$J$2:$J$5,AB$4)=0,COUNTIFS('Team Calendar'!$A$5:$A$12,$F33,'Team Calendar'!$C$5:$C$12,AB$4)=0),1,"")</x:f>
      </x:c>
      <x:c r="AC33" s="104" t="str">
        <x:f>IF(AND(ISNUMBER($D33),ISNUMBER($E33),AC$4&gt;=$D33,AC$4&lt;=$E33,WEEKDAY(AC$4,2)&lt;=5,COUNTIF('Sources &amp; Change Log'!$J$2:$J$5,AC$4)=0,COUNTIFS('Team Calendar'!$A$5:$A$12,$F33,'Team Calendar'!$C$5:$C$12,AC$4)=0),1,"")</x:f>
      </x:c>
      <x:c r="AD33" s="104" t="str">
        <x:f>IF(AND(ISNUMBER($D33),ISNUMBER($E33),AD$4&gt;=$D33,AD$4&lt;=$E33,WEEKDAY(AD$4,2)&lt;=5,COUNTIF('Sources &amp; Change Log'!$J$2:$J$5,AD$4)=0,COUNTIFS('Team Calendar'!$A$5:$A$12,$F33,'Team Calendar'!$C$5:$C$12,AD$4)=0),1,"")</x:f>
      </x:c>
      <x:c r="AE33" s="108" t="str">
        <x:f>IF(AND(ISNUMBER($D33),ISNUMBER($E33),AE$4&gt;=$D33,AE$4&lt;=$E33,WEEKDAY(AE$4,2)&lt;=5,COUNTIF('Sources &amp; Change Log'!$J$2:$J$5,AE$4)=0,COUNTIFS('Team Calendar'!$A$5:$A$12,$F33,'Team Calendar'!$C$5:$C$12,AE$4)=0),1,"")</x:f>
      </x:c>
      <x:c r="AF33" s="108" t="str">
        <x:f>IF(AND(ISNUMBER($D33),ISNUMBER($E33),AF$4&gt;=$D33,AF$4&lt;=$E33,WEEKDAY(AF$4,2)&lt;=5,COUNTIF('Sources &amp; Change Log'!$J$2:$J$5,AF$4)=0,COUNTIFS('Team Calendar'!$A$5:$A$12,$F33,'Team Calendar'!$C$5:$C$12,AF$4)=0),1,"")</x:f>
      </x:c>
      <x:c r="AG33" s="104" t="str">
        <x:f>IF(AND(ISNUMBER($D33),ISNUMBER($E33),AG$4&gt;=$D33,AG$4&lt;=$E33,WEEKDAY(AG$4,2)&lt;=5,COUNTIF('Sources &amp; Change Log'!$J$2:$J$5,AG$4)=0,COUNTIFS('Team Calendar'!$A$5:$A$12,$F33,'Team Calendar'!$C$5:$C$12,AG$4)=0),1,"")</x:f>
      </x:c>
      <x:c r="AH33" s="104" t="str">
        <x:f>IF(AND(ISNUMBER($D33),ISNUMBER($E33),AH$4&gt;=$D33,AH$4&lt;=$E33,WEEKDAY(AH$4,2)&lt;=5,COUNTIF('Sources &amp; Change Log'!$J$2:$J$5,AH$4)=0,COUNTIFS('Team Calendar'!$A$5:$A$12,$F33,'Team Calendar'!$C$5:$C$12,AH$4)=0),1,"")</x:f>
      </x:c>
      <x:c r="AI33" s="104" t="str">
        <x:f>IF(AND(ISNUMBER($D33),ISNUMBER($E33),AI$4&gt;=$D33,AI$4&lt;=$E33,WEEKDAY(AI$4,2)&lt;=5,COUNTIF('Sources &amp; Change Log'!$J$2:$J$5,AI$4)=0,COUNTIFS('Team Calendar'!$A$5:$A$12,$F33,'Team Calendar'!$C$5:$C$12,AI$4)=0),1,"")</x:f>
      </x:c>
    </x:row>
    <x:row r="34" ht="28" customHeight="1">
      <x:c r="A34" t="str">
        <x:f>WBS!A58</x:f>
        <x:v>DEC-P1-ADMIN-01</x:v>
      </x:c>
      <x:c r="B34" t="str">
        <x:f>WBS!B58</x:f>
        <x:v>보안 시연 범위·테스트 전제·조건부 운영 통제 결정</x:v>
      </x:c>
      <x:c r="C34" t="str">
        <x:f>WBS!G58</x:f>
        <x:v>Done</x:v>
      </x:c>
      <x:c r="D34" s="87" t="n">
        <x:f>IF(WBS!H58="","",WBS!H58)</x:f>
        <x:v>46273</x:v>
      </x:c>
      <x:c r="E34" s="87" t="n">
        <x:f>IF(WBS!I58="","",WBS!I58)</x:f>
        <x:v>46274</x:v>
      </x:c>
      <x:c r="F34" t="str">
        <x:f>WBS!L58</x:f>
        <x:v>이하영</x:v>
      </x:c>
      <x:c r="G34" s="104" t="str">
        <x:f>IF(AND(ISNUMBER($D34),ISNUMBER($E34),G$4&gt;=$D34,G$4&lt;=$E34,WEEKDAY(G$4,2)&lt;=5,COUNTIF('Sources &amp; Change Log'!$J$2:$J$5,G$4)=0,COUNTIFS('Team Calendar'!$A$5:$A$12,$F34,'Team Calendar'!$C$5:$C$12,G$4)=0),1,"")</x:f>
      </x:c>
      <x:c r="H34" s="104" t="str">
        <x:f>IF(AND(ISNUMBER($D34),ISNUMBER($E34),H$4&gt;=$D34,H$4&lt;=$E34,WEEKDAY(H$4,2)&lt;=5,COUNTIF('Sources &amp; Change Log'!$J$2:$J$5,H$4)=0,COUNTIFS('Team Calendar'!$A$5:$A$12,$F34,'Team Calendar'!$C$5:$C$12,H$4)=0),1,"")</x:f>
      </x:c>
      <x:c r="I34" s="104" t="str">
        <x:f>IF(AND(ISNUMBER($D34),ISNUMBER($E34),I$4&gt;=$D34,I$4&lt;=$E34,WEEKDAY(I$4,2)&lt;=5,COUNTIF('Sources &amp; Change Log'!$J$2:$J$5,I$4)=0,COUNTIFS('Team Calendar'!$A$5:$A$12,$F34,'Team Calendar'!$C$5:$C$12,I$4)=0),1,"")</x:f>
      </x:c>
      <x:c r="J34" s="108" t="str">
        <x:f>IF(AND(ISNUMBER($D34),ISNUMBER($E34),J$4&gt;=$D34,J$4&lt;=$E34,WEEKDAY(J$4,2)&lt;=5,COUNTIF('Sources &amp; Change Log'!$J$2:$J$5,J$4)=0,COUNTIFS('Team Calendar'!$A$5:$A$12,$F34,'Team Calendar'!$C$5:$C$12,J$4)=0),1,"")</x:f>
      </x:c>
      <x:c r="K34" s="108" t="str">
        <x:f>IF(AND(ISNUMBER($D34),ISNUMBER($E34),K$4&gt;=$D34,K$4&lt;=$E34,WEEKDAY(K$4,2)&lt;=5,COUNTIF('Sources &amp; Change Log'!$J$2:$J$5,K$4)=0,COUNTIFS('Team Calendar'!$A$5:$A$12,$F34,'Team Calendar'!$C$5:$C$12,K$4)=0),1,"")</x:f>
      </x:c>
      <x:c r="L34" s="104" t="str">
        <x:f>IF(AND(ISNUMBER($D34),ISNUMBER($E34),L$4&gt;=$D34,L$4&lt;=$E34,WEEKDAY(L$4,2)&lt;=5,COUNTIF('Sources &amp; Change Log'!$J$2:$J$5,L$4)=0,COUNTIFS('Team Calendar'!$A$5:$A$12,$F34,'Team Calendar'!$C$5:$C$12,L$4)=0),1,"")</x:f>
      </x:c>
      <x:c r="M34" s="104" t="str">
        <x:f>IF(AND(ISNUMBER($D34),ISNUMBER($E34),M$4&gt;=$D34,M$4&lt;=$E34,WEEKDAY(M$4,2)&lt;=5,COUNTIF('Sources &amp; Change Log'!$J$2:$J$5,M$4)=0,COUNTIFS('Team Calendar'!$A$5:$A$12,$F34,'Team Calendar'!$C$5:$C$12,M$4)=0),1,"")</x:f>
      </x:c>
      <x:c r="N34" s="104" t="str">
        <x:f>IF(AND(ISNUMBER($D34),ISNUMBER($E34),N$4&gt;=$D34,N$4&lt;=$E34,WEEKDAY(N$4,2)&lt;=5,COUNTIF('Sources &amp; Change Log'!$J$2:$J$5,N$4)=0,COUNTIFS('Team Calendar'!$A$5:$A$12,$F34,'Team Calendar'!$C$5:$C$12,N$4)=0),1,"")</x:f>
      </x:c>
      <x:c r="O34" s="104" t="str">
        <x:f>IF(AND(ISNUMBER($D34),ISNUMBER($E34),O$4&gt;=$D34,O$4&lt;=$E34,WEEKDAY(O$4,2)&lt;=5,COUNTIF('Sources &amp; Change Log'!$J$2:$J$5,O$4)=0,COUNTIFS('Team Calendar'!$A$5:$A$12,$F34,'Team Calendar'!$C$5:$C$12,O$4)=0),1,"")</x:f>
      </x:c>
      <x:c r="P34" s="104" t="str">
        <x:f>IF(AND(ISNUMBER($D34),ISNUMBER($E34),P$4&gt;=$D34,P$4&lt;=$E34,WEEKDAY(P$4,2)&lt;=5,COUNTIF('Sources &amp; Change Log'!$J$2:$J$5,P$4)=0,COUNTIFS('Team Calendar'!$A$5:$A$12,$F34,'Team Calendar'!$C$5:$C$12,P$4)=0),1,"")</x:f>
      </x:c>
      <x:c r="Q34" s="108" t="str">
        <x:f>IF(AND(ISNUMBER($D34),ISNUMBER($E34),Q$4&gt;=$D34,Q$4&lt;=$E34,WEEKDAY(Q$4,2)&lt;=5,COUNTIF('Sources &amp; Change Log'!$J$2:$J$5,Q$4)=0,COUNTIFS('Team Calendar'!$A$5:$A$12,$F34,'Team Calendar'!$C$5:$C$12,Q$4)=0),1,"")</x:f>
      </x:c>
      <x:c r="R34" s="108" t="str">
        <x:f>IF(AND(ISNUMBER($D34),ISNUMBER($E34),R$4&gt;=$D34,R$4&lt;=$E34,WEEKDAY(R$4,2)&lt;=5,COUNTIF('Sources &amp; Change Log'!$J$2:$J$5,R$4)=0,COUNTIFS('Team Calendar'!$A$5:$A$12,$F34,'Team Calendar'!$C$5:$C$12,R$4)=0),1,"")</x:f>
      </x:c>
      <x:c r="S34" s="104" t="str">
        <x:f>IF(AND(ISNUMBER($D34),ISNUMBER($E34),S$4&gt;=$D34,S$4&lt;=$E34,WEEKDAY(S$4,2)&lt;=5,COUNTIF('Sources &amp; Change Log'!$J$2:$J$5,S$4)=0,COUNTIFS('Team Calendar'!$A$5:$A$12,$F34,'Team Calendar'!$C$5:$C$12,S$4)=0),1,"")</x:f>
      </x:c>
      <x:c r="T34" s="104" t="str">
        <x:f>IF(AND(ISNUMBER($D34),ISNUMBER($E34),T$4&gt;=$D34,T$4&lt;=$E34,WEEKDAY(T$4,2)&lt;=5,COUNTIF('Sources &amp; Change Log'!$J$2:$J$5,T$4)=0,COUNTIFS('Team Calendar'!$A$5:$A$12,$F34,'Team Calendar'!$C$5:$C$12,T$4)=0),1,"")</x:f>
      </x:c>
      <x:c r="U34" s="104" t="n">
        <x:f>IF(AND(ISNUMBER($D34),ISNUMBER($E34),U$4&gt;=$D34,U$4&lt;=$E34,WEEKDAY(U$4,2)&lt;=5,COUNTIF('Sources &amp; Change Log'!$J$2:$J$5,U$4)=0,COUNTIFS('Team Calendar'!$A$5:$A$12,$F34,'Team Calendar'!$C$5:$C$12,U$4)=0),1,"")</x:f>
        <x:v>1</x:v>
      </x:c>
      <x:c r="V34" s="104" t="str">
        <x:f>IF(AND(ISNUMBER($D34),ISNUMBER($E34),V$4&gt;=$D34,V$4&lt;=$E34,WEEKDAY(V$4,2)&lt;=5,COUNTIF('Sources &amp; Change Log'!$J$2:$J$5,V$4)=0,COUNTIFS('Team Calendar'!$A$5:$A$12,$F34,'Team Calendar'!$C$5:$C$12,V$4)=0),1,"")</x:f>
      </x:c>
      <x:c r="W34" s="104" t="str">
        <x:f>IF(AND(ISNUMBER($D34),ISNUMBER($E34),W$4&gt;=$D34,W$4&lt;=$E34,WEEKDAY(W$4,2)&lt;=5,COUNTIF('Sources &amp; Change Log'!$J$2:$J$5,W$4)=0,COUNTIFS('Team Calendar'!$A$5:$A$12,$F34,'Team Calendar'!$C$5:$C$12,W$4)=0),1,"")</x:f>
      </x:c>
      <x:c r="X34" s="108" t="str">
        <x:f>IF(AND(ISNUMBER($D34),ISNUMBER($E34),X$4&gt;=$D34,X$4&lt;=$E34,WEEKDAY(X$4,2)&lt;=5,COUNTIF('Sources &amp; Change Log'!$J$2:$J$5,X$4)=0,COUNTIFS('Team Calendar'!$A$5:$A$12,$F34,'Team Calendar'!$C$5:$C$12,X$4)=0),1,"")</x:f>
      </x:c>
      <x:c r="Y34" s="108" t="str">
        <x:f>IF(AND(ISNUMBER($D34),ISNUMBER($E34),Y$4&gt;=$D34,Y$4&lt;=$E34,WEEKDAY(Y$4,2)&lt;=5,COUNTIF('Sources &amp; Change Log'!$J$2:$J$5,Y$4)=0,COUNTIFS('Team Calendar'!$A$5:$A$12,$F34,'Team Calendar'!$C$5:$C$12,Y$4)=0),1,"")</x:f>
      </x:c>
      <x:c r="Z34" s="104" t="str">
        <x:f>IF(AND(ISNUMBER($D34),ISNUMBER($E34),Z$4&gt;=$D34,Z$4&lt;=$E34,WEEKDAY(Z$4,2)&lt;=5,COUNTIF('Sources &amp; Change Log'!$J$2:$J$5,Z$4)=0,COUNTIFS('Team Calendar'!$A$5:$A$12,$F34,'Team Calendar'!$C$5:$C$12,Z$4)=0),1,"")</x:f>
      </x:c>
      <x:c r="AA34" s="104" t="str">
        <x:f>IF(AND(ISNUMBER($D34),ISNUMBER($E34),AA$4&gt;=$D34,AA$4&lt;=$E34,WEEKDAY(AA$4,2)&lt;=5,COUNTIF('Sources &amp; Change Log'!$J$2:$J$5,AA$4)=0,COUNTIFS('Team Calendar'!$A$5:$A$12,$F34,'Team Calendar'!$C$5:$C$12,AA$4)=0),1,"")</x:f>
      </x:c>
      <x:c r="AB34" s="104" t="str">
        <x:f>IF(AND(ISNUMBER($D34),ISNUMBER($E34),AB$4&gt;=$D34,AB$4&lt;=$E34,WEEKDAY(AB$4,2)&lt;=5,COUNTIF('Sources &amp; Change Log'!$J$2:$J$5,AB$4)=0,COUNTIFS('Team Calendar'!$A$5:$A$12,$F34,'Team Calendar'!$C$5:$C$12,AB$4)=0),1,"")</x:f>
      </x:c>
      <x:c r="AC34" s="104" t="str">
        <x:f>IF(AND(ISNUMBER($D34),ISNUMBER($E34),AC$4&gt;=$D34,AC$4&lt;=$E34,WEEKDAY(AC$4,2)&lt;=5,COUNTIF('Sources &amp; Change Log'!$J$2:$J$5,AC$4)=0,COUNTIFS('Team Calendar'!$A$5:$A$12,$F34,'Team Calendar'!$C$5:$C$12,AC$4)=0),1,"")</x:f>
      </x:c>
      <x:c r="AD34" s="104" t="str">
        <x:f>IF(AND(ISNUMBER($D34),ISNUMBER($E34),AD$4&gt;=$D34,AD$4&lt;=$E34,WEEKDAY(AD$4,2)&lt;=5,COUNTIF('Sources &amp; Change Log'!$J$2:$J$5,AD$4)=0,COUNTIFS('Team Calendar'!$A$5:$A$12,$F34,'Team Calendar'!$C$5:$C$12,AD$4)=0),1,"")</x:f>
      </x:c>
      <x:c r="AE34" s="108" t="str">
        <x:f>IF(AND(ISNUMBER($D34),ISNUMBER($E34),AE$4&gt;=$D34,AE$4&lt;=$E34,WEEKDAY(AE$4,2)&lt;=5,COUNTIF('Sources &amp; Change Log'!$J$2:$J$5,AE$4)=0,COUNTIFS('Team Calendar'!$A$5:$A$12,$F34,'Team Calendar'!$C$5:$C$12,AE$4)=0),1,"")</x:f>
      </x:c>
      <x:c r="AF34" s="108" t="str">
        <x:f>IF(AND(ISNUMBER($D34),ISNUMBER($E34),AF$4&gt;=$D34,AF$4&lt;=$E34,WEEKDAY(AF$4,2)&lt;=5,COUNTIF('Sources &amp; Change Log'!$J$2:$J$5,AF$4)=0,COUNTIFS('Team Calendar'!$A$5:$A$12,$F34,'Team Calendar'!$C$5:$C$12,AF$4)=0),1,"")</x:f>
      </x:c>
      <x:c r="AG34" s="104" t="str">
        <x:f>IF(AND(ISNUMBER($D34),ISNUMBER($E34),AG$4&gt;=$D34,AG$4&lt;=$E34,WEEKDAY(AG$4,2)&lt;=5,COUNTIF('Sources &amp; Change Log'!$J$2:$J$5,AG$4)=0,COUNTIFS('Team Calendar'!$A$5:$A$12,$F34,'Team Calendar'!$C$5:$C$12,AG$4)=0),1,"")</x:f>
      </x:c>
      <x:c r="AH34" s="104" t="str">
        <x:f>IF(AND(ISNUMBER($D34),ISNUMBER($E34),AH$4&gt;=$D34,AH$4&lt;=$E34,WEEKDAY(AH$4,2)&lt;=5,COUNTIF('Sources &amp; Change Log'!$J$2:$J$5,AH$4)=0,COUNTIFS('Team Calendar'!$A$5:$A$12,$F34,'Team Calendar'!$C$5:$C$12,AH$4)=0),1,"")</x:f>
      </x:c>
      <x:c r="AI34" s="104" t="str">
        <x:f>IF(AND(ISNUMBER($D34),ISNUMBER($E34),AI$4&gt;=$D34,AI$4&lt;=$E34,WEEKDAY(AI$4,2)&lt;=5,COUNTIF('Sources &amp; Change Log'!$J$2:$J$5,AI$4)=0,COUNTIFS('Team Calendar'!$A$5:$A$12,$F34,'Team Calendar'!$C$5:$C$12,AI$4)=0),1,"")</x:f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conditionalFormatting sqref="G31:AI34">
    <x:cfRule type="expression" dxfId="29" priority="9">
      <x:formula>AND(G31=1,$C31="Done")</x:formula>
    </x:cfRule>
    <x:cfRule type="expression" dxfId="31" priority="11">
      <x:formula>AND(G31=1,$C31="In Progress")</x:formula>
    </x:cfRule>
    <x:cfRule type="expression" dxfId="33" priority="13">
      <x:formula>AND(G31=1,$C31="In Review")</x:formula>
    </x:cfRule>
    <x:cfRule type="expression" dxfId="35" priority="15">
      <x:formula>AND(G31=1,$C31="Blocked")</x:formula>
    </x:cfRule>
    <x:cfRule type="expression" dxfId="36" priority="16">
      <x:formula>AND(G31=1,$C31="To Do")</x:formula>
    </x:cfRule>
  </x:conditionalFormatting>
  <x:conditionalFormatting sqref="C31:C34">
    <x:cfRule type="containsText" dxfId="30" priority="10" operator="containsText" text="Done"/>
    <x:cfRule type="containsText" dxfId="32" priority="12" operator="containsText" text="In Progress"/>
    <x:cfRule type="containsText" dxfId="34" priority="14" operator="containsText" text="In 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v3.1.18 · Phase 2 Gantt (CANDIDATE)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Phase 2 dates retained; Review proposed 10-23 PM after Freeze | no weekend classroom work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109" t="n">
        <x:v>46298</x:v>
      </x:c>
      <x:c r="M4" s="109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109" t="n">
        <x:v>46305</x:v>
      </x:c>
      <x:c r="T4" s="109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109" t="n">
        <x:v>46312</x:v>
      </x:c>
      <x:c r="AA4" s="109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109" t="n">
        <x:v>46319</x:v>
      </x:c>
      <x:c r="AH4" s="109" t="n">
        <x:v>46320</x:v>
      </x:c>
      <x:c r="AI4" s="22" t="n">
        <x:v>46321</x:v>
      </x:c>
    </x:row>
    <x:row r="5" ht="24" customHeight="1">
      <x:c r="A5" s="13" t="str">
        <x:f>WBS!A31</x:f>
        <x:v>MS-P2-START-01</x:v>
      </x:c>
      <x:c r="B5" s="13" t="str">
        <x:f>WBS!B31</x:f>
        <x:v>Phase 2 Start</x:v>
      </x:c>
      <x:c r="C5" s="13" t="str">
        <x:f>WBS!G31</x:f>
        <x:v>To Do</x:v>
      </x:c>
      <x:c r="D5" s="86" t="n">
        <x:f>IF(WBS!H31="","",WBS!H31)</x:f>
        <x:v>46293</x:v>
      </x:c>
      <x:c r="E5" s="86" t="n">
        <x:f>IF(WBS!I31="","",WBS!I31)</x:f>
        <x:v>46293</x:v>
      </x:c>
      <x:c r="F5" s="13" t="str">
        <x:f>WBS!L31</x:f>
        <x:v>이권욱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str">
        <x:f>IF(AND(ISNUMBER($D5),ISNUMBER($E5),H$4&gt;=$D5,H$4&lt;=$E5,WEEKDAY(H$4,2)&lt;=5,COUNTIF('Sources &amp; Change Log'!$J$2:$J$5,H$4)=0,COUNTIFS('Team Calendar'!$A$5:$A$12,$F5,'Team Calendar'!$C$5:$C$12,H$4)=0),1,"")</x:f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0" t="str">
        <x:f>IF(AND(ISNUMBER($D5),ISNUMBER($E5),J$4&gt;=$D5,J$4&lt;=$E5,WEEKDAY(J$4,2)&lt;=5,COUNTIF('Sources &amp; Change Log'!$J$2:$J$5,J$4)=0,COUNTIFS('Team Calendar'!$A$5:$A$12,$F5,'Team Calendar'!$C$5:$C$12,J$4)=0),1,"")</x:f>
      </x:c>
      <x:c r="K5" s="100" t="str">
        <x:f>IF(AND(ISNUMBER($D5),ISNUMBER($E5),K$4&gt;=$D5,K$4&lt;=$E5,WEEKDAY(K$4,2)&lt;=5,COUNTIF('Sources &amp; Change Log'!$J$2:$J$5,K$4)=0,COUNTIFS('Team Calendar'!$A$5:$A$12,$F5,'Team Calendar'!$C$5:$C$12,K$4)=0),1,"")</x:f>
      </x:c>
      <x:c r="L5" s="107" t="str">
        <x:f>IF(AND(ISNUMBER($D5),ISNUMBER($E5),L$4&gt;=$D5,L$4&lt;=$E5,WEEKDAY(L$4,2)&lt;=5,COUNTIF('Sources &amp; Change Log'!$J$2:$J$5,L$4)=0,COUNTIFS('Team Calendar'!$A$5:$A$12,$F5,'Team Calendar'!$C$5:$C$12,L$4)=0),1,"")</x:f>
      </x:c>
      <x:c r="M5" s="107" t="str">
        <x:f>IF(AND(ISNUMBER($D5),ISNUMBER($E5),M$4&gt;=$D5,M$4&lt;=$E5,WEEKDAY(M$4,2)&lt;=5,COUNTIF('Sources &amp; Change Log'!$J$2:$J$5,M$4)=0,COUNTIFS('Team Calendar'!$A$5:$A$12,$F5,'Team Calendar'!$C$5:$C$12,M$4)=0),1,"")</x:f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0" t="str">
        <x:f>IF(AND(ISNUMBER($D5),ISNUMBER($E5),Q$4&gt;=$D5,Q$4&lt;=$E5,WEEKDAY(Q$4,2)&lt;=5,COUNTIF('Sources &amp; Change Log'!$J$2:$J$5,Q$4)=0,COUNTIFS('Team Calendar'!$A$5:$A$12,$F5,'Team Calendar'!$C$5:$C$12,Q$4)=0),1,"")</x:f>
      </x:c>
      <x:c r="R5" s="100" t="str">
        <x:f>IF(AND(ISNUMBER($D5),ISNUMBER($E5),R$4&gt;=$D5,R$4&lt;=$E5,WEEKDAY(R$4,2)&lt;=5,COUNTIF('Sources &amp; Change Log'!$J$2:$J$5,R$4)=0,COUNTIFS('Team Calendar'!$A$5:$A$12,$F5,'Team Calendar'!$C$5:$C$12,R$4)=0),1,"")</x:f>
      </x:c>
      <x:c r="S5" s="107" t="str">
        <x:f>IF(AND(ISNUMBER($D5),ISNUMBER($E5),S$4&gt;=$D5,S$4&lt;=$E5,WEEKDAY(S$4,2)&lt;=5,COUNTIF('Sources &amp; Change Log'!$J$2:$J$5,S$4)=0,COUNTIFS('Team Calendar'!$A$5:$A$12,$F5,'Team Calendar'!$C$5:$C$12,S$4)=0),1,"")</x:f>
      </x:c>
      <x:c r="T5" s="107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0" t="str">
        <x:f>IF(AND(ISNUMBER($D5),ISNUMBER($E5),X$4&gt;=$D5,X$4&lt;=$E5,WEEKDAY(X$4,2)&lt;=5,COUNTIF('Sources &amp; Change Log'!$J$2:$J$5,X$4)=0,COUNTIFS('Team Calendar'!$A$5:$A$12,$F5,'Team Calendar'!$C$5:$C$12,X$4)=0),1,"")</x:f>
      </x:c>
      <x:c r="Y5" s="100" t="str">
        <x:f>IF(AND(ISNUMBER($D5),ISNUMBER($E5),Y$4&gt;=$D5,Y$4&lt;=$E5,WEEKDAY(Y$4,2)&lt;=5,COUNTIF('Sources &amp; Change Log'!$J$2:$J$5,Y$4)=0,COUNTIFS('Team Calendar'!$A$5:$A$12,$F5,'Team Calendar'!$C$5:$C$12,Y$4)=0),1,"")</x:f>
      </x:c>
      <x:c r="Z5" s="107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7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0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0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7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7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WBS!A32</x:f>
        <x:v>P2-ARC-01</x:v>
      </x:c>
      <x:c r="B6" s="13" t="str">
        <x:f>WBS!B32</x:f>
        <x:v>Hybrid / OCI / AWS / ROSA Architecture Freeze</x:v>
      </x:c>
      <x:c r="C6" s="13" t="str">
        <x:f>WBS!G32</x:f>
        <x:v>To Do</x:v>
      </x:c>
      <x:c r="D6" s="86" t="n">
        <x:f>IF(WBS!H32="","",WBS!H32)</x:f>
        <x:v>46293</x:v>
      </x:c>
      <x:c r="E6" s="86" t="n">
        <x:f>IF(WBS!I32="","",WBS!I32)</x:f>
        <x:v>46293</x:v>
      </x:c>
      <x:c r="F6" s="13" t="str">
        <x:f>WBS!L32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str">
        <x:f>IF(AND(ISNUMBER($D6),ISNUMBER($E6),H$4&gt;=$D6,H$4&lt;=$E6,WEEKDAY(H$4,2)&lt;=5,COUNTIF('Sources &amp; Change Log'!$J$2:$J$5,H$4)=0,COUNTIFS('Team Calendar'!$A$5:$A$12,$F6,'Team Calendar'!$C$5:$C$12,H$4)=0),1,"")</x:f>
      </x:c>
      <x:c r="I6" s="100" t="str">
        <x:f>IF(AND(ISNUMBER($D6),ISNUMBER($E6),I$4&gt;=$D6,I$4&lt;=$E6,WEEKDAY(I$4,2)&lt;=5,COUNTIF('Sources &amp; Change Log'!$J$2:$J$5,I$4)=0,COUNTIFS('Team Calendar'!$A$5:$A$12,$F6,'Team Calendar'!$C$5:$C$12,I$4)=0),1,"")</x:f>
      </x:c>
      <x:c r="J6" s="100" t="str">
        <x:f>IF(AND(ISNUMBER($D6),ISNUMBER($E6),J$4&gt;=$D6,J$4&lt;=$E6,WEEKDAY(J$4,2)&lt;=5,COUNTIF('Sources &amp; Change Log'!$J$2:$J$5,J$4)=0,COUNTIFS('Team Calendar'!$A$5:$A$12,$F6,'Team Calendar'!$C$5:$C$12,J$4)=0),1,"")</x:f>
      </x:c>
      <x:c r="K6" s="100" t="str">
        <x:f>IF(AND(ISNUMBER($D6),ISNUMBER($E6),K$4&gt;=$D6,K$4&lt;=$E6,WEEKDAY(K$4,2)&lt;=5,COUNTIF('Sources &amp; Change Log'!$J$2:$J$5,K$4)=0,COUNTIFS('Team Calendar'!$A$5:$A$12,$F6,'Team Calendar'!$C$5:$C$12,K$4)=0),1,"")</x:f>
      </x:c>
      <x:c r="L6" s="107" t="str">
        <x:f>IF(AND(ISNUMBER($D6),ISNUMBER($E6),L$4&gt;=$D6,L$4&lt;=$E6,WEEKDAY(L$4,2)&lt;=5,COUNTIF('Sources &amp; Change Log'!$J$2:$J$5,L$4)=0,COUNTIFS('Team Calendar'!$A$5:$A$12,$F6,'Team Calendar'!$C$5:$C$12,L$4)=0),1,"")</x:f>
      </x:c>
      <x:c r="M6" s="107" t="str">
        <x:f>IF(AND(ISNUMBER($D6),ISNUMBER($E6),M$4&gt;=$D6,M$4&lt;=$E6,WEEKDAY(M$4,2)&lt;=5,COUNTIF('Sources &amp; Change Log'!$J$2:$J$5,M$4)=0,COUNTIFS('Team Calendar'!$A$5:$A$12,$F6,'Team Calendar'!$C$5:$C$12,M$4)=0),1,"")</x:f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0" t="str">
        <x:f>IF(AND(ISNUMBER($D6),ISNUMBER($E6),Q$4&gt;=$D6,Q$4&lt;=$E6,WEEKDAY(Q$4,2)&lt;=5,COUNTIF('Sources &amp; Change Log'!$J$2:$J$5,Q$4)=0,COUNTIFS('Team Calendar'!$A$5:$A$12,$F6,'Team Calendar'!$C$5:$C$12,Q$4)=0),1,"")</x:f>
      </x:c>
      <x:c r="R6" s="100" t="str">
        <x:f>IF(AND(ISNUMBER($D6),ISNUMBER($E6),R$4&gt;=$D6,R$4&lt;=$E6,WEEKDAY(R$4,2)&lt;=5,COUNTIF('Sources &amp; Change Log'!$J$2:$J$5,R$4)=0,COUNTIFS('Team Calendar'!$A$5:$A$12,$F6,'Team Calendar'!$C$5:$C$12,R$4)=0),1,"")</x:f>
      </x:c>
      <x:c r="S6" s="107" t="str">
        <x:f>IF(AND(ISNUMBER($D6),ISNUMBER($E6),S$4&gt;=$D6,S$4&lt;=$E6,WEEKDAY(S$4,2)&lt;=5,COUNTIF('Sources &amp; Change Log'!$J$2:$J$5,S$4)=0,COUNTIFS('Team Calendar'!$A$5:$A$12,$F6,'Team Calendar'!$C$5:$C$12,S$4)=0),1,"")</x:f>
      </x:c>
      <x:c r="T6" s="107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0" t="str">
        <x:f>IF(AND(ISNUMBER($D6),ISNUMBER($E6),X$4&gt;=$D6,X$4&lt;=$E6,WEEKDAY(X$4,2)&lt;=5,COUNTIF('Sources &amp; Change Log'!$J$2:$J$5,X$4)=0,COUNTIFS('Team Calendar'!$A$5:$A$12,$F6,'Team Calendar'!$C$5:$C$12,X$4)=0),1,"")</x:f>
      </x:c>
      <x:c r="Y6" s="100" t="str">
        <x:f>IF(AND(ISNUMBER($D6),ISNUMBER($E6),Y$4&gt;=$D6,Y$4&lt;=$E6,WEEKDAY(Y$4,2)&lt;=5,COUNTIF('Sources &amp; Change Log'!$J$2:$J$5,Y$4)=0,COUNTIFS('Team Calendar'!$A$5:$A$12,$F6,'Team Calendar'!$C$5:$C$12,Y$4)=0),1,"")</x:f>
      </x:c>
      <x:c r="Z6" s="107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7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0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0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7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7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WBS!A33</x:f>
        <x:v>P2-IAC-01</x:v>
      </x:c>
      <x:c r="B7" s="13" t="str">
        <x:f>WBS!B33</x:f>
        <x:v>AWS / ROSA Terraform IaC</x:v>
      </x:c>
      <x:c r="C7" s="13" t="str">
        <x:f>WBS!G33</x:f>
        <x:v>To Do</x:v>
      </x:c>
      <x:c r="D7" s="86" t="n">
        <x:f>IF(WBS!H33="","",WBS!H33)</x:f>
        <x:v>46293</x:v>
      </x:c>
      <x:c r="E7" s="86" t="n">
        <x:f>IF(WBS!I33="","",WBS!I33)</x:f>
        <x:v>46303</x:v>
      </x:c>
      <x:c r="F7" s="13" t="str">
        <x:f>WBS!L33</x:f>
        <x:v>이권욱</x:v>
      </x:c>
      <x:c r="G7" s="100" t="n">
        <x:f>IF(AND(ISNUMBER($D7),ISNUMBER($E7),G$4&gt;=$D7,G$4&lt;=$E7,WEEKDAY(G$4,2)&lt;=5,COUNTIF('Sources &amp; Change Log'!$J$2:$J$5,G$4)=0,COUNTIFS('Team Calendar'!$A$5:$A$12,$F7,'Team Calendar'!$C$5:$C$12,G$4)=0),1,"")</x:f>
        <x:v>1</x:v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n">
        <x:f>IF(AND(ISNUMBER($D7),ISNUMBER($E7),I$4&gt;=$D7,I$4&lt;=$E7,WEEKDAY(I$4,2)&lt;=5,COUNTIF('Sources &amp; Change Log'!$J$2:$J$5,I$4)=0,COUNTIFS('Team Calendar'!$A$5:$A$12,$F7,'Team Calendar'!$C$5:$C$12,I$4)=0),1,"")</x:f>
        <x:v>1</x:v>
      </x:c>
      <x:c r="J7" s="100" t="n">
        <x:f>IF(AND(ISNUMBER($D7),ISNUMBER($E7),J$4&gt;=$D7,J$4&lt;=$E7,WEEKDAY(J$4,2)&lt;=5,COUNTIF('Sources &amp; Change Log'!$J$2:$J$5,J$4)=0,COUNTIFS('Team Calendar'!$A$5:$A$12,$F7,'Team Calendar'!$C$5:$C$12,J$4)=0),1,"")</x:f>
        <x:v>1</x:v>
      </x:c>
      <x:c r="K7" s="100" t="n">
        <x:f>IF(AND(ISNUMBER($D7),ISNUMBER($E7),K$4&gt;=$D7,K$4&lt;=$E7,WEEKDAY(K$4,2)&lt;=5,COUNTIF('Sources &amp; Change Log'!$J$2:$J$5,K$4)=0,COUNTIFS('Team Calendar'!$A$5:$A$12,$F7,'Team Calendar'!$C$5:$C$12,K$4)=0),1,"")</x:f>
        <x:v>1</x:v>
      </x:c>
      <x:c r="L7" s="107" t="str">
        <x:f>IF(AND(ISNUMBER($D7),ISNUMBER($E7),L$4&gt;=$D7,L$4&lt;=$E7,WEEKDAY(L$4,2)&lt;=5,COUNTIF('Sources &amp; Change Log'!$J$2:$J$5,L$4)=0,COUNTIFS('Team Calendar'!$A$5:$A$12,$F7,'Team Calendar'!$C$5:$C$12,L$4)=0),1,"")</x:f>
      </x:c>
      <x:c r="M7" s="107" t="str">
        <x:f>IF(AND(ISNUMBER($D7),ISNUMBER($E7),M$4&gt;=$D7,M$4&lt;=$E7,WEEKDAY(M$4,2)&lt;=5,COUNTIF('Sources &amp; Change Log'!$J$2:$J$5,M$4)=0,COUNTIFS('Team Calendar'!$A$5:$A$12,$F7,'Team Calendar'!$C$5:$C$12,M$4)=0),1,"")</x:f>
      </x:c>
      <x:c r="N7" s="100" t="str">
        <x:f>IF(AND(ISNUMBER($D7),ISNUMBER($E7),N$4&gt;=$D7,N$4&lt;=$E7,WEEKDAY(N$4,2)&lt;=5,COUNTIF('Sources &amp; Change Log'!$J$2:$J$5,N$4)=0,COUNTIFS('Team Calendar'!$A$5:$A$12,$F7,'Team Calendar'!$C$5:$C$12,N$4)=0),1,"")</x:f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0" t="n">
        <x:f>IF(AND(ISNUMBER($D7),ISNUMBER($E7),Q$4&gt;=$D7,Q$4&lt;=$E7,WEEKDAY(Q$4,2)&lt;=5,COUNTIF('Sources &amp; Change Log'!$J$2:$J$5,Q$4)=0,COUNTIFS('Team Calendar'!$A$5:$A$12,$F7,'Team Calendar'!$C$5:$C$12,Q$4)=0),1,"")</x:f>
        <x:v>1</x:v>
      </x:c>
      <x:c r="R7" s="100" t="str">
        <x:f>IF(AND(ISNUMBER($D7),ISNUMBER($E7),R$4&gt;=$D7,R$4&lt;=$E7,WEEKDAY(R$4,2)&lt;=5,COUNTIF('Sources &amp; Change Log'!$J$2:$J$5,R$4)=0,COUNTIFS('Team Calendar'!$A$5:$A$12,$F7,'Team Calendar'!$C$5:$C$12,R$4)=0),1,"")</x:f>
      </x:c>
      <x:c r="S7" s="107" t="str">
        <x:f>IF(AND(ISNUMBER($D7),ISNUMBER($E7),S$4&gt;=$D7,S$4&lt;=$E7,WEEKDAY(S$4,2)&lt;=5,COUNTIF('Sources &amp; Change Log'!$J$2:$J$5,S$4)=0,COUNTIFS('Team Calendar'!$A$5:$A$12,$F7,'Team Calendar'!$C$5:$C$12,S$4)=0),1,"")</x:f>
      </x:c>
      <x:c r="T7" s="107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str">
        <x:f>IF(AND(ISNUMBER($D7),ISNUMBER($E7),U$4&gt;=$D7,U$4&lt;=$E7,WEEKDAY(U$4,2)&lt;=5,COUNTIF('Sources &amp; Change Log'!$J$2:$J$5,U$4)=0,COUNTIFS('Team Calendar'!$A$5:$A$12,$F7,'Team Calendar'!$C$5:$C$12,U$4)=0),1,"")</x:f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str">
        <x:f>IF(AND(ISNUMBER($D7),ISNUMBER($E7),W$4&gt;=$D7,W$4&lt;=$E7,WEEKDAY(W$4,2)&lt;=5,COUNTIF('Sources &amp; Change Log'!$J$2:$J$5,W$4)=0,COUNTIFS('Team Calendar'!$A$5:$A$12,$F7,'Team Calendar'!$C$5:$C$12,W$4)=0),1,"")</x:f>
      </x:c>
      <x:c r="X7" s="100" t="str">
        <x:f>IF(AND(ISNUMBER($D7),ISNUMBER($E7),X$4&gt;=$D7,X$4&lt;=$E7,WEEKDAY(X$4,2)&lt;=5,COUNTIF('Sources &amp; Change Log'!$J$2:$J$5,X$4)=0,COUNTIFS('Team Calendar'!$A$5:$A$12,$F7,'Team Calendar'!$C$5:$C$12,X$4)=0),1,"")</x:f>
      </x:c>
      <x:c r="Y7" s="100" t="str">
        <x:f>IF(AND(ISNUMBER($D7),ISNUMBER($E7),Y$4&gt;=$D7,Y$4&lt;=$E7,WEEKDAY(Y$4,2)&lt;=5,COUNTIF('Sources &amp; Change Log'!$J$2:$J$5,Y$4)=0,COUNTIFS('Team Calendar'!$A$5:$A$12,$F7,'Team Calendar'!$C$5:$C$12,Y$4)=0),1,"")</x:f>
      </x:c>
      <x:c r="Z7" s="107" t="str">
        <x:f>IF(AND(ISNUMBER($D7),ISNUMBER($E7),Z$4&gt;=$D7,Z$4&lt;=$E7,WEEKDAY(Z$4,2)&lt;=5,COUNTIF('Sources &amp; Change Log'!$J$2:$J$5,Z$4)=0,COUNTIFS('Team Calendar'!$A$5:$A$12,$F7,'Team Calendar'!$C$5:$C$12,Z$4)=0),1,"")</x:f>
      </x:c>
      <x:c r="AA7" s="107" t="str">
        <x:f>IF(AND(ISNUMBER($D7),ISNUMBER($E7),AA$4&gt;=$D7,AA$4&lt;=$E7,WEEKDAY(AA$4,2)&lt;=5,COUNTIF('Sources &amp; Change Log'!$J$2:$J$5,AA$4)=0,COUNTIFS('Team Calendar'!$A$5:$A$12,$F7,'Team Calendar'!$C$5:$C$12,AA$4)=0),1,"")</x:f>
      </x:c>
      <x:c r="AB7" s="100" t="str">
        <x:f>IF(AND(ISNUMBER($D7),ISNUMBER($E7),AB$4&gt;=$D7,AB$4&lt;=$E7,WEEKDAY(AB$4,2)&lt;=5,COUNTIF('Sources &amp; Change Log'!$J$2:$J$5,AB$4)=0,COUNTIFS('Team Calendar'!$A$5:$A$12,$F7,'Team Calendar'!$C$5:$C$12,AB$4)=0),1,"")</x:f>
      </x:c>
      <x:c r="AC7" s="100" t="str">
        <x:f>IF(AND(ISNUMBER($D7),ISNUMBER($E7),AC$4&gt;=$D7,AC$4&lt;=$E7,WEEKDAY(AC$4,2)&lt;=5,COUNTIF('Sources &amp; Change Log'!$J$2:$J$5,AC$4)=0,COUNTIFS('Team Calendar'!$A$5:$A$12,$F7,'Team Calendar'!$C$5:$C$12,AC$4)=0),1,"")</x:f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0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0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7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7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WBS!A34</x:f>
        <x:v>P2-OCI-01</x:v>
      </x:c>
      <x:c r="B8" s="13" t="str">
        <x:f>WBS!B34</x:f>
        <x:v>OCI Relay Go / No-Go</x:v>
      </x:c>
      <x:c r="C8" s="13" t="str">
        <x:f>WBS!G34</x:f>
        <x:v>To Do</x:v>
      </x:c>
      <x:c r="D8" s="86" t="n">
        <x:f>IF(WBS!H34="","",WBS!H34)</x:f>
        <x:v>46293</x:v>
      </x:c>
      <x:c r="E8" s="86" t="n">
        <x:f>IF(WBS!I34="","",WBS!I34)</x:f>
        <x:v>46297</x:v>
      </x:c>
      <x:c r="F8" s="13" t="str">
        <x:f>WBS!L34</x:f>
        <x:v>이권욱</x:v>
      </x:c>
      <x:c r="G8" s="100" t="n">
        <x:f>IF(AND(ISNUMBER($D8),ISNUMBER($E8),G$4&gt;=$D8,G$4&lt;=$E8,WEEKDAY(G$4,2)&lt;=5,COUNTIF('Sources &amp; Change Log'!$J$2:$J$5,G$4)=0,COUNTIFS('Team Calendar'!$A$5:$A$12,$F8,'Team Calendar'!$C$5:$C$12,G$4)=0),1,"")</x:f>
        <x:v>1</x:v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0" t="n">
        <x:f>IF(AND(ISNUMBER($D8),ISNUMBER($E8),J$4&gt;=$D8,J$4&lt;=$E8,WEEKDAY(J$4,2)&lt;=5,COUNTIF('Sources &amp; Change Log'!$J$2:$J$5,J$4)=0,COUNTIFS('Team Calendar'!$A$5:$A$12,$F8,'Team Calendar'!$C$5:$C$12,J$4)=0),1,"")</x:f>
        <x:v>1</x:v>
      </x:c>
      <x:c r="K8" s="100" t="n">
        <x:f>IF(AND(ISNUMBER($D8),ISNUMBER($E8),K$4&gt;=$D8,K$4&lt;=$E8,WEEKDAY(K$4,2)&lt;=5,COUNTIF('Sources &amp; Change Log'!$J$2:$J$5,K$4)=0,COUNTIFS('Team Calendar'!$A$5:$A$12,$F8,'Team Calendar'!$C$5:$C$12,K$4)=0),1,"")</x:f>
        <x:v>1</x:v>
      </x:c>
      <x:c r="L8" s="107" t="str">
        <x:f>IF(AND(ISNUMBER($D8),ISNUMBER($E8),L$4&gt;=$D8,L$4&lt;=$E8,WEEKDAY(L$4,2)&lt;=5,COUNTIF('Sources &amp; Change Log'!$J$2:$J$5,L$4)=0,COUNTIFS('Team Calendar'!$A$5:$A$12,$F8,'Team Calendar'!$C$5:$C$12,L$4)=0),1,"")</x:f>
      </x:c>
      <x:c r="M8" s="107" t="str">
        <x:f>IF(AND(ISNUMBER($D8),ISNUMBER($E8),M$4&gt;=$D8,M$4&lt;=$E8,WEEKDAY(M$4,2)&lt;=5,COUNTIF('Sources &amp; Change Log'!$J$2:$J$5,M$4)=0,COUNTIFS('Team Calendar'!$A$5:$A$12,$F8,'Team Calendar'!$C$5:$C$12,M$4)=0),1,"")</x:f>
      </x:c>
      <x:c r="N8" s="100" t="str">
        <x:f>IF(AND(ISNUMBER($D8),ISNUMBER($E8),N$4&gt;=$D8,N$4&lt;=$E8,WEEKDAY(N$4,2)&lt;=5,COUNTIF('Sources &amp; Change Log'!$J$2:$J$5,N$4)=0,COUNTIFS('Team Calendar'!$A$5:$A$12,$F8,'Team Calendar'!$C$5:$C$12,N$4)=0),1,"")</x:f>
      </x:c>
      <x:c r="O8" s="100" t="str">
        <x:f>IF(AND(ISNUMBER($D8),ISNUMBER($E8),O$4&gt;=$D8,O$4&lt;=$E8,WEEKDAY(O$4,2)&lt;=5,COUNTIF('Sources &amp; Change Log'!$J$2:$J$5,O$4)=0,COUNTIFS('Team Calendar'!$A$5:$A$12,$F8,'Team Calendar'!$C$5:$C$12,O$4)=0),1,"")</x:f>
      </x:c>
      <x:c r="P8" s="100" t="str">
        <x:f>IF(AND(ISNUMBER($D8),ISNUMBER($E8),P$4&gt;=$D8,P$4&lt;=$E8,WEEKDAY(P$4,2)&lt;=5,COUNTIF('Sources &amp; Change Log'!$J$2:$J$5,P$4)=0,COUNTIFS('Team Calendar'!$A$5:$A$12,$F8,'Team Calendar'!$C$5:$C$12,P$4)=0),1,"")</x:f>
      </x:c>
      <x:c r="Q8" s="100" t="str">
        <x:f>IF(AND(ISNUMBER($D8),ISNUMBER($E8),Q$4&gt;=$D8,Q$4&lt;=$E8,WEEKDAY(Q$4,2)&lt;=5,COUNTIF('Sources &amp; Change Log'!$J$2:$J$5,Q$4)=0,COUNTIFS('Team Calendar'!$A$5:$A$12,$F8,'Team Calendar'!$C$5:$C$12,Q$4)=0),1,"")</x:f>
      </x:c>
      <x:c r="R8" s="100" t="str">
        <x:f>IF(AND(ISNUMBER($D8),ISNUMBER($E8),R$4&gt;=$D8,R$4&lt;=$E8,WEEKDAY(R$4,2)&lt;=5,COUNTIF('Sources &amp; Change Log'!$J$2:$J$5,R$4)=0,COUNTIFS('Team Calendar'!$A$5:$A$12,$F8,'Team Calendar'!$C$5:$C$12,R$4)=0),1,"")</x:f>
      </x:c>
      <x:c r="S8" s="107" t="str">
        <x:f>IF(AND(ISNUMBER($D8),ISNUMBER($E8),S$4&gt;=$D8,S$4&lt;=$E8,WEEKDAY(S$4,2)&lt;=5,COUNTIF('Sources &amp; Change Log'!$J$2:$J$5,S$4)=0,COUNTIFS('Team Calendar'!$A$5:$A$12,$F8,'Team Calendar'!$C$5:$C$12,S$4)=0),1,"")</x:f>
      </x:c>
      <x:c r="T8" s="107" t="str">
        <x:f>IF(AND(ISNUMBER($D8),ISNUMBER($E8),T$4&gt;=$D8,T$4&lt;=$E8,WEEKDAY(T$4,2)&lt;=5,COUNTIF('Sources &amp; Change Log'!$J$2:$J$5,T$4)=0,COUNTIFS('Team Calendar'!$A$5:$A$12,$F8,'Team Calendar'!$C$5:$C$12,T$4)=0),1,"")</x:f>
      </x:c>
      <x:c r="U8" s="100" t="str">
        <x:f>IF(AND(ISNUMBER($D8),ISNUMBER($E8),U$4&gt;=$D8,U$4&lt;=$E8,WEEKDAY(U$4,2)&lt;=5,COUNTIF('Sources &amp; Change Log'!$J$2:$J$5,U$4)=0,COUNTIFS('Team Calendar'!$A$5:$A$12,$F8,'Team Calendar'!$C$5:$C$12,U$4)=0),1,"")</x:f>
      </x:c>
      <x:c r="V8" s="100" t="str">
        <x:f>IF(AND(ISNUMBER($D8),ISNUMBER($E8),V$4&gt;=$D8,V$4&lt;=$E8,WEEKDAY(V$4,2)&lt;=5,COUNTIF('Sources &amp; Change Log'!$J$2:$J$5,V$4)=0,COUNTIFS('Team Calendar'!$A$5:$A$12,$F8,'Team Calendar'!$C$5:$C$12,V$4)=0),1,"")</x:f>
      </x:c>
      <x:c r="W8" s="100" t="str">
        <x:f>IF(AND(ISNUMBER($D8),ISNUMBER($E8),W$4&gt;=$D8,W$4&lt;=$E8,WEEKDAY(W$4,2)&lt;=5,COUNTIF('Sources &amp; Change Log'!$J$2:$J$5,W$4)=0,COUNTIFS('Team Calendar'!$A$5:$A$12,$F8,'Team Calendar'!$C$5:$C$12,W$4)=0),1,"")</x:f>
      </x:c>
      <x:c r="X8" s="100" t="str">
        <x:f>IF(AND(ISNUMBER($D8),ISNUMBER($E8),X$4&gt;=$D8,X$4&lt;=$E8,WEEKDAY(X$4,2)&lt;=5,COUNTIF('Sources &amp; Change Log'!$J$2:$J$5,X$4)=0,COUNTIFS('Team Calendar'!$A$5:$A$12,$F8,'Team Calendar'!$C$5:$C$12,X$4)=0),1,"")</x:f>
      </x:c>
      <x:c r="Y8" s="100" t="str">
        <x:f>IF(AND(ISNUMBER($D8),ISNUMBER($E8),Y$4&gt;=$D8,Y$4&lt;=$E8,WEEKDAY(Y$4,2)&lt;=5,COUNTIF('Sources &amp; Change Log'!$J$2:$J$5,Y$4)=0,COUNTIFS('Team Calendar'!$A$5:$A$12,$F8,'Team Calendar'!$C$5:$C$12,Y$4)=0),1,"")</x:f>
      </x:c>
      <x:c r="Z8" s="107" t="str">
        <x:f>IF(AND(ISNUMBER($D8),ISNUMBER($E8),Z$4&gt;=$D8,Z$4&lt;=$E8,WEEKDAY(Z$4,2)&lt;=5,COUNTIF('Sources &amp; Change Log'!$J$2:$J$5,Z$4)=0,COUNTIFS('Team Calendar'!$A$5:$A$12,$F8,'Team Calendar'!$C$5:$C$12,Z$4)=0),1,"")</x:f>
      </x:c>
      <x:c r="AA8" s="107" t="str">
        <x:f>IF(AND(ISNUMBER($D8),ISNUMBER($E8),AA$4&gt;=$D8,AA$4&lt;=$E8,WEEKDAY(AA$4,2)&lt;=5,COUNTIF('Sources &amp; Change Log'!$J$2:$J$5,AA$4)=0,COUNTIFS('Team Calendar'!$A$5:$A$12,$F8,'Team Calendar'!$C$5:$C$12,AA$4)=0),1,"")</x:f>
      </x:c>
      <x:c r="AB8" s="100" t="str">
        <x:f>IF(AND(ISNUMBER($D8),ISNUMBER($E8),AB$4&gt;=$D8,AB$4&lt;=$E8,WEEKDAY(AB$4,2)&lt;=5,COUNTIF('Sources &amp; Change Log'!$J$2:$J$5,AB$4)=0,COUNTIFS('Team Calendar'!$A$5:$A$12,$F8,'Team Calendar'!$C$5:$C$12,AB$4)=0),1,"")</x:f>
      </x:c>
      <x:c r="AC8" s="100" t="str">
        <x:f>IF(AND(ISNUMBER($D8),ISNUMBER($E8),AC$4&gt;=$D8,AC$4&lt;=$E8,WEEKDAY(AC$4,2)&lt;=5,COUNTIF('Sources &amp; Change Log'!$J$2:$J$5,AC$4)=0,COUNTIFS('Team Calendar'!$A$5:$A$12,$F8,'Team Calendar'!$C$5:$C$12,AC$4)=0),1,"")</x:f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0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0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7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7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WBS!A35</x:f>
        <x:v>P2-VPN-01</x:v>
      </x:c>
      <x:c r="B9" s="13" t="str">
        <x:f>WBS!B35</x:f>
        <x:v>OCI Relay / AWS Site-to-Site VPN</x:v>
      </x:c>
      <x:c r="C9" s="13" t="str">
        <x:f>WBS!G35</x:f>
        <x:v>To Do</x:v>
      </x:c>
      <x:c r="D9" s="86" t="n">
        <x:f>IF(WBS!H35="","",WBS!H35)</x:f>
        <x:v>46296</x:v>
      </x:c>
      <x:c r="E9" s="86" t="n">
        <x:f>IF(WBS!I35="","",WBS!I35)</x:f>
        <x:v>46303</x:v>
      </x:c>
      <x:c r="F9" s="13" t="str">
        <x:f>WBS!L35</x:f>
        <x:v>이권욱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str">
        <x:f>IF(AND(ISNUMBER($D9),ISNUMBER($E9),I$4&gt;=$D9,I$4&lt;=$E9,WEEKDAY(I$4,2)&lt;=5,COUNTIF('Sources &amp; Change Log'!$J$2:$J$5,I$4)=0,COUNTIFS('Team Calendar'!$A$5:$A$12,$F9,'Team Calendar'!$C$5:$C$12,I$4)=0),1,"")</x:f>
      </x:c>
      <x:c r="J9" s="100" t="n">
        <x:f>IF(AND(ISNUMBER($D9),ISNUMBER($E9),J$4&gt;=$D9,J$4&lt;=$E9,WEEKDAY(J$4,2)&lt;=5,COUNTIF('Sources &amp; Change Log'!$J$2:$J$5,J$4)=0,COUNTIFS('Team Calendar'!$A$5:$A$12,$F9,'Team Calendar'!$C$5:$C$12,J$4)=0),1,"")</x:f>
        <x:v>1</x:v>
      </x:c>
      <x:c r="K9" s="100" t="n">
        <x:f>IF(AND(ISNUMBER($D9),ISNUMBER($E9),K$4&gt;=$D9,K$4&lt;=$E9,WEEKDAY(K$4,2)&lt;=5,COUNTIF('Sources &amp; Change Log'!$J$2:$J$5,K$4)=0,COUNTIFS('Team Calendar'!$A$5:$A$12,$F9,'Team Calendar'!$C$5:$C$12,K$4)=0),1,"")</x:f>
        <x:v>1</x:v>
      </x:c>
      <x:c r="L9" s="107" t="str">
        <x:f>IF(AND(ISNUMBER($D9),ISNUMBER($E9),L$4&gt;=$D9,L$4&lt;=$E9,WEEKDAY(L$4,2)&lt;=5,COUNTIF('Sources &amp; Change Log'!$J$2:$J$5,L$4)=0,COUNTIFS('Team Calendar'!$A$5:$A$12,$F9,'Team Calendar'!$C$5:$C$12,L$4)=0),1,"")</x:f>
      </x:c>
      <x:c r="M9" s="107" t="str">
        <x:f>IF(AND(ISNUMBER($D9),ISNUMBER($E9),M$4&gt;=$D9,M$4&lt;=$E9,WEEKDAY(M$4,2)&lt;=5,COUNTIF('Sources &amp; Change Log'!$J$2:$J$5,M$4)=0,COUNTIFS('Team Calendar'!$A$5:$A$12,$F9,'Team Calendar'!$C$5:$C$12,M$4)=0),1,"")</x:f>
      </x:c>
      <x:c r="N9" s="100" t="str">
        <x:f>IF(AND(ISNUMBER($D9),ISNUMBER($E9),N$4&gt;=$D9,N$4&lt;=$E9,WEEKDAY(N$4,2)&lt;=5,COUNTIF('Sources &amp; Change Log'!$J$2:$J$5,N$4)=0,COUNTIFS('Team Calendar'!$A$5:$A$12,$F9,'Team Calendar'!$C$5:$C$12,N$4)=0),1,"")</x:f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0" t="n">
        <x:f>IF(AND(ISNUMBER($D9),ISNUMBER($E9),P$4&gt;=$D9,P$4&lt;=$E9,WEEKDAY(P$4,2)&lt;=5,COUNTIF('Sources &amp; Change Log'!$J$2:$J$5,P$4)=0,COUNTIFS('Team Calendar'!$A$5:$A$12,$F9,'Team Calendar'!$C$5:$C$12,P$4)=0),1,"")</x:f>
        <x:v>1</x:v>
      </x:c>
      <x:c r="Q9" s="100" t="n">
        <x:f>IF(AND(ISNUMBER($D9),ISNUMBER($E9),Q$4&gt;=$D9,Q$4&lt;=$E9,WEEKDAY(Q$4,2)&lt;=5,COUNTIF('Sources &amp; Change Log'!$J$2:$J$5,Q$4)=0,COUNTIFS('Team Calendar'!$A$5:$A$12,$F9,'Team Calendar'!$C$5:$C$12,Q$4)=0),1,"")</x:f>
        <x:v>1</x:v>
      </x:c>
      <x:c r="R9" s="100" t="str">
        <x:f>IF(AND(ISNUMBER($D9),ISNUMBER($E9),R$4&gt;=$D9,R$4&lt;=$E9,WEEKDAY(R$4,2)&lt;=5,COUNTIF('Sources &amp; Change Log'!$J$2:$J$5,R$4)=0,COUNTIFS('Team Calendar'!$A$5:$A$12,$F9,'Team Calendar'!$C$5:$C$12,R$4)=0),1,"")</x:f>
      </x:c>
      <x:c r="S9" s="107" t="str">
        <x:f>IF(AND(ISNUMBER($D9),ISNUMBER($E9),S$4&gt;=$D9,S$4&lt;=$E9,WEEKDAY(S$4,2)&lt;=5,COUNTIF('Sources &amp; Change Log'!$J$2:$J$5,S$4)=0,COUNTIFS('Team Calendar'!$A$5:$A$12,$F9,'Team Calendar'!$C$5:$C$12,S$4)=0),1,"")</x:f>
      </x:c>
      <x:c r="T9" s="107" t="str">
        <x:f>IF(AND(ISNUMBER($D9),ISNUMBER($E9),T$4&gt;=$D9,T$4&lt;=$E9,WEEKDAY(T$4,2)&lt;=5,COUNTIF('Sources &amp; Change Log'!$J$2:$J$5,T$4)=0,COUNTIFS('Team Calendar'!$A$5:$A$12,$F9,'Team Calendar'!$C$5:$C$12,T$4)=0),1,"")</x:f>
      </x:c>
      <x:c r="U9" s="100" t="str">
        <x:f>IF(AND(ISNUMBER($D9),ISNUMBER($E9),U$4&gt;=$D9,U$4&lt;=$E9,WEEKDAY(U$4,2)&lt;=5,COUNTIF('Sources &amp; Change Log'!$J$2:$J$5,U$4)=0,COUNTIFS('Team Calendar'!$A$5:$A$12,$F9,'Team Calendar'!$C$5:$C$12,U$4)=0),1,"")</x:f>
      </x:c>
      <x:c r="V9" s="100" t="str">
        <x:f>IF(AND(ISNUMBER($D9),ISNUMBER($E9),V$4&gt;=$D9,V$4&lt;=$E9,WEEKDAY(V$4,2)&lt;=5,COUNTIF('Sources &amp; Change Log'!$J$2:$J$5,V$4)=0,COUNTIFS('Team Calendar'!$A$5:$A$12,$F9,'Team Calendar'!$C$5:$C$12,V$4)=0),1,"")</x:f>
      </x:c>
      <x:c r="W9" s="100" t="str">
        <x:f>IF(AND(ISNUMBER($D9),ISNUMBER($E9),W$4&gt;=$D9,W$4&lt;=$E9,WEEKDAY(W$4,2)&lt;=5,COUNTIF('Sources &amp; Change Log'!$J$2:$J$5,W$4)=0,COUNTIFS('Team Calendar'!$A$5:$A$12,$F9,'Team Calendar'!$C$5:$C$12,W$4)=0),1,"")</x:f>
      </x:c>
      <x:c r="X9" s="100" t="str">
        <x:f>IF(AND(ISNUMBER($D9),ISNUMBER($E9),X$4&gt;=$D9,X$4&lt;=$E9,WEEKDAY(X$4,2)&lt;=5,COUNTIF('Sources &amp; Change Log'!$J$2:$J$5,X$4)=0,COUNTIFS('Team Calendar'!$A$5:$A$12,$F9,'Team Calendar'!$C$5:$C$12,X$4)=0),1,"")</x:f>
      </x:c>
      <x:c r="Y9" s="100" t="str">
        <x:f>IF(AND(ISNUMBER($D9),ISNUMBER($E9),Y$4&gt;=$D9,Y$4&lt;=$E9,WEEKDAY(Y$4,2)&lt;=5,COUNTIF('Sources &amp; Change Log'!$J$2:$J$5,Y$4)=0,COUNTIFS('Team Calendar'!$A$5:$A$12,$F9,'Team Calendar'!$C$5:$C$12,Y$4)=0),1,"")</x:f>
      </x:c>
      <x:c r="Z9" s="107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7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0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0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7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7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WBS!A36</x:f>
        <x:v>P2-ROSA-01</x:v>
      </x:c>
      <x:c r="B10" s="13" t="str">
        <x:f>WBS!B36</x:f>
        <x:v>ROSA Platform / Security</x:v>
      </x:c>
      <x:c r="C10" s="13" t="str">
        <x:f>WBS!G36</x:f>
        <x:v>To Do</x:v>
      </x:c>
      <x:c r="D10" s="86" t="n">
        <x:f>IF(WBS!H36="","",WBS!H36)</x:f>
        <x:v>46301</x:v>
      </x:c>
      <x:c r="E10" s="86" t="n">
        <x:f>IF(WBS!I36="","",WBS!I36)</x:f>
        <x:v>46311</x:v>
      </x:c>
      <x:c r="F10" s="13" t="str">
        <x:f>WBS!L36</x:f>
        <x:v>이하영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str">
        <x:f>IF(AND(ISNUMBER($D10),ISNUMBER($E10),I$4&gt;=$D10,I$4&lt;=$E10,WEEKDAY(I$4,2)&lt;=5,COUNTIF('Sources &amp; Change Log'!$J$2:$J$5,I$4)=0,COUNTIFS('Team Calendar'!$A$5:$A$12,$F10,'Team Calendar'!$C$5:$C$12,I$4)=0),1,"")</x:f>
      </x:c>
      <x:c r="J10" s="100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0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7" t="str">
        <x:f>IF(AND(ISNUMBER($D10),ISNUMBER($E10),L$4&gt;=$D10,L$4&lt;=$E10,WEEKDAY(L$4,2)&lt;=5,COUNTIF('Sources &amp; Change Log'!$J$2:$J$5,L$4)=0,COUNTIFS('Team Calendar'!$A$5:$A$12,$F10,'Team Calendar'!$C$5:$C$12,L$4)=0),1,"")</x:f>
      </x:c>
      <x:c r="M10" s="107" t="str">
        <x:f>IF(AND(ISNUMBER($D10),ISNUMBER($E10),M$4&gt;=$D10,M$4&lt;=$E10,WEEKDAY(M$4,2)&lt;=5,COUNTIF('Sources &amp; Change Log'!$J$2:$J$5,M$4)=0,COUNTIFS('Team Calendar'!$A$5:$A$12,$F10,'Team Calendar'!$C$5:$C$12,M$4)=0),1,"")</x:f>
      </x:c>
      <x:c r="N10" s="100" t="str">
        <x:f>IF(AND(ISNUMBER($D10),ISNUMBER($E10),N$4&gt;=$D10,N$4&lt;=$E10,WEEKDAY(N$4,2)&lt;=5,COUNTIF('Sources &amp; Change Log'!$J$2:$J$5,N$4)=0,COUNTIFS('Team Calendar'!$A$5:$A$12,$F10,'Team Calendar'!$C$5:$C$12,N$4)=0),1,"")</x:f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n">
        <x:f>IF(AND(ISNUMBER($D10),ISNUMBER($E10),P$4&gt;=$D10,P$4&lt;=$E10,WEEKDAY(P$4,2)&lt;=5,COUNTIF('Sources &amp; Change Log'!$J$2:$J$5,P$4)=0,COUNTIFS('Team Calendar'!$A$5:$A$12,$F10,'Team Calendar'!$C$5:$C$12,P$4)=0),1,"")</x:f>
        <x:v>1</x:v>
      </x:c>
      <x:c r="Q10" s="100" t="n">
        <x:f>IF(AND(ISNUMBER($D10),ISNUMBER($E10),Q$4&gt;=$D10,Q$4&lt;=$E10,WEEKDAY(Q$4,2)&lt;=5,COUNTIF('Sources &amp; Change Log'!$J$2:$J$5,Q$4)=0,COUNTIFS('Team Calendar'!$A$5:$A$12,$F10,'Team Calendar'!$C$5:$C$12,Q$4)=0),1,"")</x:f>
        <x:v>1</x:v>
      </x:c>
      <x:c r="R10" s="100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7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7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n">
        <x:f>IF(AND(ISNUMBER($D10),ISNUMBER($E10),U$4&gt;=$D10,U$4&lt;=$E10,WEEKDAY(U$4,2)&lt;=5,COUNTIF('Sources &amp; Change Log'!$J$2:$J$5,U$4)=0,COUNTIFS('Team Calendar'!$A$5:$A$12,$F10,'Team Calendar'!$C$5:$C$12,U$4)=0),1,"")</x:f>
        <x:v>1</x:v>
      </x:c>
      <x:c r="V10" s="100" t="n">
        <x:f>IF(AND(ISNUMBER($D10),ISNUMBER($E10),V$4&gt;=$D10,V$4&lt;=$E10,WEEKDAY(V$4,2)&lt;=5,COUNTIF('Sources &amp; Change Log'!$J$2:$J$5,V$4)=0,COUNTIFS('Team Calendar'!$A$5:$A$12,$F10,'Team Calendar'!$C$5:$C$12,V$4)=0),1,"")</x:f>
        <x:v>1</x:v>
      </x:c>
      <x:c r="W10" s="100" t="n">
        <x:f>IF(AND(ISNUMBER($D10),ISNUMBER($E10),W$4&gt;=$D10,W$4&lt;=$E10,WEEKDAY(W$4,2)&lt;=5,COUNTIF('Sources &amp; Change Log'!$J$2:$J$5,W$4)=0,COUNTIFS('Team Calendar'!$A$5:$A$12,$F10,'Team Calendar'!$C$5:$C$12,W$4)=0),1,"")</x:f>
        <x:v>1</x:v>
      </x:c>
      <x:c r="X10" s="100" t="n">
        <x:f>IF(AND(ISNUMBER($D10),ISNUMBER($E10),X$4&gt;=$D10,X$4&lt;=$E10,WEEKDAY(X$4,2)&lt;=5,COUNTIF('Sources &amp; Change Log'!$J$2:$J$5,X$4)=0,COUNTIFS('Team Calendar'!$A$5:$A$12,$F10,'Team Calendar'!$C$5:$C$12,X$4)=0),1,"")</x:f>
        <x:v>1</x:v>
      </x:c>
      <x:c r="Y10" s="100" t="n">
        <x:f>IF(AND(ISNUMBER($D10),ISNUMBER($E10),Y$4&gt;=$D10,Y$4&lt;=$E10,WEEKDAY(Y$4,2)&lt;=5,COUNTIF('Sources &amp; Change Log'!$J$2:$J$5,Y$4)=0,COUNTIFS('Team Calendar'!$A$5:$A$12,$F10,'Team Calendar'!$C$5:$C$12,Y$4)=0),1,"")</x:f>
        <x:v>1</x:v>
      </x:c>
      <x:c r="Z10" s="107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7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0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0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7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7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WBS!A37</x:f>
        <x:v>MS-G4-01</x:v>
      </x:c>
      <x:c r="B11" s="13" t="str">
        <x:f>WBS!B37</x:f>
        <x:v>G4 Cloud / VPN Ready</x:v>
      </x:c>
      <x:c r="C11" s="13" t="str">
        <x:f>WBS!G37</x:f>
        <x:v>To Do</x:v>
      </x:c>
      <x:c r="D11" s="86" t="n">
        <x:f>IF(WBS!H37="","",WBS!H37)</x:f>
        <x:v>46303</x:v>
      </x:c>
      <x:c r="E11" s="86" t="n">
        <x:f>IF(WBS!I37="","",WBS!I37)</x:f>
        <x:v>46303</x:v>
      </x:c>
      <x:c r="F11" s="13" t="str">
        <x:f>WBS!L37</x:f>
        <x:v>이권욱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0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0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7" t="str">
        <x:f>IF(AND(ISNUMBER($D11),ISNUMBER($E11),L$4&gt;=$D11,L$4&lt;=$E11,WEEKDAY(L$4,2)&lt;=5,COUNTIF('Sources &amp; Change Log'!$J$2:$J$5,L$4)=0,COUNTIFS('Team Calendar'!$A$5:$A$12,$F11,'Team Calendar'!$C$5:$C$12,L$4)=0),1,"")</x:f>
      </x:c>
      <x:c r="M11" s="107" t="str">
        <x:f>IF(AND(ISNUMBER($D11),ISNUMBER($E11),M$4&gt;=$D11,M$4&lt;=$E11,WEEKDAY(M$4,2)&lt;=5,COUNTIF('Sources &amp; Change Log'!$J$2:$J$5,M$4)=0,COUNTIFS('Team Calendar'!$A$5:$A$12,$F11,'Team Calendar'!$C$5:$C$12,M$4)=0),1,"")</x:f>
      </x:c>
      <x:c r="N11" s="100" t="str">
        <x:f>IF(AND(ISNUMBER($D11),ISNUMBER($E11),N$4&gt;=$D11,N$4&lt;=$E11,WEEKDAY(N$4,2)&lt;=5,COUNTIF('Sources &amp; Change Log'!$J$2:$J$5,N$4)=0,COUNTIFS('Team Calendar'!$A$5:$A$12,$F11,'Team Calendar'!$C$5:$C$12,N$4)=0),1,"")</x:f>
      </x:c>
      <x:c r="O11" s="100" t="str">
        <x:f>IF(AND(ISNUMBER($D11),ISNUMBER($E11),O$4&gt;=$D11,O$4&lt;=$E11,WEEKDAY(O$4,2)&lt;=5,COUNTIF('Sources &amp; Change Log'!$J$2:$J$5,O$4)=0,COUNTIFS('Team Calendar'!$A$5:$A$12,$F11,'Team Calendar'!$C$5:$C$12,O$4)=0),1,"")</x:f>
      </x:c>
      <x:c r="P11" s="100" t="str">
        <x:f>IF(AND(ISNUMBER($D11),ISNUMBER($E11),P$4&gt;=$D11,P$4&lt;=$E11,WEEKDAY(P$4,2)&lt;=5,COUNTIF('Sources &amp; Change Log'!$J$2:$J$5,P$4)=0,COUNTIFS('Team Calendar'!$A$5:$A$12,$F11,'Team Calendar'!$C$5:$C$12,P$4)=0),1,"")</x:f>
      </x:c>
      <x:c r="Q11" s="100" t="n">
        <x:f>IF(AND(ISNUMBER($D11),ISNUMBER($E11),Q$4&gt;=$D11,Q$4&lt;=$E11,WEEKDAY(Q$4,2)&lt;=5,COUNTIF('Sources &amp; Change Log'!$J$2:$J$5,Q$4)=0,COUNTIFS('Team Calendar'!$A$5:$A$12,$F11,'Team Calendar'!$C$5:$C$12,Q$4)=0),1,"")</x:f>
        <x:v>1</x:v>
      </x:c>
      <x:c r="R11" s="100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7" t="str">
        <x:f>IF(AND(ISNUMBER($D11),ISNUMBER($E11),S$4&gt;=$D11,S$4&lt;=$E11,WEEKDAY(S$4,2)&lt;=5,COUNTIF('Sources &amp; Change Log'!$J$2:$J$5,S$4)=0,COUNTIFS('Team Calendar'!$A$5:$A$12,$F11,'Team Calendar'!$C$5:$C$12,S$4)=0),1,"")</x:f>
      </x:c>
      <x:c r="T11" s="107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str">
        <x:f>IF(AND(ISNUMBER($D11),ISNUMBER($E11),U$4&gt;=$D11,U$4&lt;=$E11,WEEKDAY(U$4,2)&lt;=5,COUNTIF('Sources &amp; Change Log'!$J$2:$J$5,U$4)=0,COUNTIFS('Team Calendar'!$A$5:$A$12,$F11,'Team Calendar'!$C$5:$C$12,U$4)=0),1,"")</x:f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str">
        <x:f>IF(AND(ISNUMBER($D11),ISNUMBER($E11),W$4&gt;=$D11,W$4&lt;=$E11,WEEKDAY(W$4,2)&lt;=5,COUNTIF('Sources &amp; Change Log'!$J$2:$J$5,W$4)=0,COUNTIFS('Team Calendar'!$A$5:$A$12,$F11,'Team Calendar'!$C$5:$C$12,W$4)=0),1,"")</x:f>
      </x:c>
      <x:c r="X11" s="100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0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7" t="str">
        <x:f>IF(AND(ISNUMBER($D11),ISNUMBER($E11),Z$4&gt;=$D11,Z$4&lt;=$E11,WEEKDAY(Z$4,2)&lt;=5,COUNTIF('Sources &amp; Change Log'!$J$2:$J$5,Z$4)=0,COUNTIFS('Team Calendar'!$A$5:$A$12,$F11,'Team Calendar'!$C$5:$C$12,Z$4)=0),1,"")</x:f>
      </x:c>
      <x:c r="AA11" s="107" t="str">
        <x:f>IF(AND(ISNUMBER($D11),ISNUMBER($E11),AA$4&gt;=$D11,AA$4&lt;=$E11,WEEKDAY(AA$4,2)&lt;=5,COUNTIF('Sources &amp; Change Log'!$J$2:$J$5,AA$4)=0,COUNTIFS('Team Calendar'!$A$5:$A$12,$F11,'Team Calendar'!$C$5:$C$12,AA$4)=0),1,"")</x:f>
      </x:c>
      <x:c r="AB11" s="100" t="str">
        <x:f>IF(AND(ISNUMBER($D11),ISNUMBER($E11),AB$4&gt;=$D11,AB$4&lt;=$E11,WEEKDAY(AB$4,2)&lt;=5,COUNTIF('Sources &amp; Change Log'!$J$2:$J$5,AB$4)=0,COUNTIFS('Team Calendar'!$A$5:$A$12,$F11,'Team Calendar'!$C$5:$C$12,AB$4)=0),1,"")</x:f>
      </x:c>
      <x:c r="AC11" s="100" t="str">
        <x:f>IF(AND(ISNUMBER($D11),ISNUMBER($E11),AC$4&gt;=$D11,AC$4&lt;=$E11,WEEKDAY(AC$4,2)&lt;=5,COUNTIF('Sources &amp; Change Log'!$J$2:$J$5,AC$4)=0,COUNTIFS('Team Calendar'!$A$5:$A$12,$F11,'Team Calendar'!$C$5:$C$12,AC$4)=0),1,"")</x:f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0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0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7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7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WBS!A38</x:f>
        <x:v>DEC-P2-DNS-01</x:v>
      </x:c>
      <x:c r="B12" s="13" t="str">
        <x:f>WBS!B38</x:f>
        <x:v>Hybrid DNS Scope Decision</x:v>
      </x:c>
      <x:c r="C12" s="13" t="str">
        <x:f>WBS!G38</x:f>
        <x:v>To Do</x:v>
      </x:c>
      <x:c r="D12" s="86" t="n">
        <x:f>IF(WBS!H38="","",WBS!H38)</x:f>
        <x:v>46307</x:v>
      </x:c>
      <x:c r="E12" s="86" t="n">
        <x:f>IF(WBS!I38="","",WBS!I38)</x:f>
        <x:v>46311</x:v>
      </x:c>
      <x:c r="F12" s="13" t="str">
        <x:f>WBS!L38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0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0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7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7" t="str">
        <x:f>IF(AND(ISNUMBER($D12),ISNUMBER($E12),M$4&gt;=$D12,M$4&lt;=$E12,WEEKDAY(M$4,2)&lt;=5,COUNTIF('Sources &amp; Change Log'!$J$2:$J$5,M$4)=0,COUNTIFS('Team Calendar'!$A$5:$A$12,$F12,'Team Calendar'!$C$5:$C$12,M$4)=0),1,"")</x:f>
      </x:c>
      <x:c r="N12" s="100" t="str">
        <x:f>IF(AND(ISNUMBER($D12),ISNUMBER($E12),N$4&gt;=$D12,N$4&lt;=$E12,WEEKDAY(N$4,2)&lt;=5,COUNTIF('Sources &amp; Change Log'!$J$2:$J$5,N$4)=0,COUNTIFS('Team Calendar'!$A$5:$A$12,$F12,'Team Calendar'!$C$5:$C$12,N$4)=0),1,"")</x:f>
      </x:c>
      <x:c r="O12" s="100" t="str">
        <x:f>IF(AND(ISNUMBER($D12),ISNUMBER($E12),O$4&gt;=$D12,O$4&lt;=$E12,WEEKDAY(O$4,2)&lt;=5,COUNTIF('Sources &amp; Change Log'!$J$2:$J$5,O$4)=0,COUNTIFS('Team Calendar'!$A$5:$A$12,$F12,'Team Calendar'!$C$5:$C$12,O$4)=0),1,"")</x:f>
      </x:c>
      <x:c r="P12" s="100" t="str">
        <x:f>IF(AND(ISNUMBER($D12),ISNUMBER($E12),P$4&gt;=$D12,P$4&lt;=$E12,WEEKDAY(P$4,2)&lt;=5,COUNTIF('Sources &amp; Change Log'!$J$2:$J$5,P$4)=0,COUNTIFS('Team Calendar'!$A$5:$A$12,$F12,'Team Calendar'!$C$5:$C$12,P$4)=0),1,"")</x:f>
      </x:c>
      <x:c r="Q12" s="100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0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7" t="str">
        <x:f>IF(AND(ISNUMBER($D12),ISNUMBER($E12),S$4&gt;=$D12,S$4&lt;=$E12,WEEKDAY(S$4,2)&lt;=5,COUNTIF('Sources &amp; Change Log'!$J$2:$J$5,S$4)=0,COUNTIFS('Team Calendar'!$A$5:$A$12,$F12,'Team Calendar'!$C$5:$C$12,S$4)=0),1,"")</x:f>
      </x:c>
      <x:c r="T12" s="107" t="str">
        <x:f>IF(AND(ISNUMBER($D12),ISNUMBER($E12),T$4&gt;=$D12,T$4&lt;=$E12,WEEKDAY(T$4,2)&lt;=5,COUNTIF('Sources &amp; Change Log'!$J$2:$J$5,T$4)=0,COUNTIFS('Team Calendar'!$A$5:$A$12,$F12,'Team Calendar'!$C$5:$C$12,T$4)=0),1,"")</x:f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0" t="n">
        <x:f>IF(AND(ISNUMBER($D12),ISNUMBER($E12),X$4&gt;=$D12,X$4&lt;=$E12,WEEKDAY(X$4,2)&lt;=5,COUNTIF('Sources &amp; Change Log'!$J$2:$J$5,X$4)=0,COUNTIFS('Team Calendar'!$A$5:$A$12,$F12,'Team Calendar'!$C$5:$C$12,X$4)=0),1,"")</x:f>
        <x:v>1</x:v>
      </x:c>
      <x:c r="Y12" s="100" t="n">
        <x:f>IF(AND(ISNUMBER($D12),ISNUMBER($E12),Y$4&gt;=$D12,Y$4&lt;=$E12,WEEKDAY(Y$4,2)&lt;=5,COUNTIF('Sources &amp; Change Log'!$J$2:$J$5,Y$4)=0,COUNTIFS('Team Calendar'!$A$5:$A$12,$F12,'Team Calendar'!$C$5:$C$12,Y$4)=0),1,"")</x:f>
        <x:v>1</x:v>
      </x:c>
      <x:c r="Z12" s="107" t="str">
        <x:f>IF(AND(ISNUMBER($D12),ISNUMBER($E12),Z$4&gt;=$D12,Z$4&lt;=$E12,WEEKDAY(Z$4,2)&lt;=5,COUNTIF('Sources &amp; Change Log'!$J$2:$J$5,Z$4)=0,COUNTIFS('Team Calendar'!$A$5:$A$12,$F12,'Team Calendar'!$C$5:$C$12,Z$4)=0),1,"")</x:f>
      </x:c>
      <x:c r="AA12" s="107" t="str">
        <x:f>IF(AND(ISNUMBER($D12),ISNUMBER($E12),AA$4&gt;=$D12,AA$4&lt;=$E12,WEEKDAY(AA$4,2)&lt;=5,COUNTIF('Sources &amp; Change Log'!$J$2:$J$5,AA$4)=0,COUNTIFS('Team Calendar'!$A$5:$A$12,$F12,'Team Calendar'!$C$5:$C$12,AA$4)=0),1,"")</x:f>
      </x:c>
      <x:c r="AB12" s="100" t="str">
        <x:f>IF(AND(ISNUMBER($D12),ISNUMBER($E12),AB$4&gt;=$D12,AB$4&lt;=$E12,WEEKDAY(AB$4,2)&lt;=5,COUNTIF('Sources &amp; Change Log'!$J$2:$J$5,AB$4)=0,COUNTIFS('Team Calendar'!$A$5:$A$12,$F12,'Team Calendar'!$C$5:$C$12,AB$4)=0),1,"")</x:f>
      </x:c>
      <x:c r="AC12" s="100" t="str">
        <x:f>IF(AND(ISNUMBER($D12),ISNUMBER($E12),AC$4&gt;=$D12,AC$4&lt;=$E12,WEEKDAY(AC$4,2)&lt;=5,COUNTIF('Sources &amp; Change Log'!$J$2:$J$5,AC$4)=0,COUNTIFS('Team Calendar'!$A$5:$A$12,$F12,'Team Calendar'!$C$5:$C$12,AC$4)=0),1,"")</x:f>
      </x:c>
      <x:c r="AD12" s="100" t="str">
        <x:f>IF(AND(ISNUMBER($D12),ISNUMBER($E12),AD$4&gt;=$D12,AD$4&lt;=$E12,WEEKDAY(AD$4,2)&lt;=5,COUNTIF('Sources &amp; Change Log'!$J$2:$J$5,AD$4)=0,COUNTIFS('Team Calendar'!$A$5:$A$12,$F12,'Team Calendar'!$C$5:$C$12,AD$4)=0),1,"")</x:f>
      </x:c>
      <x:c r="AE12" s="100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0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7" t="str">
        <x:f>IF(AND(ISNUMBER($D12),ISNUMBER($E12),AG$4&gt;=$D12,AG$4&lt;=$E12,WEEKDAY(AG$4,2)&lt;=5,COUNTIF('Sources &amp; Change Log'!$J$2:$J$5,AG$4)=0,COUNTIFS('Team Calendar'!$A$5:$A$12,$F12,'Team Calendar'!$C$5:$C$12,AG$4)=0),1,"")</x:f>
      </x:c>
      <x:c r="AH12" s="107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WBS!A39</x:f>
        <x:v>DEC-P2-OP-01</x:v>
      </x:c>
      <x:c r="B13" s="13" t="str">
        <x:f>WBS!B39</x:f>
        <x:v>Operator Supply Chain Scope Decision</x:v>
      </x:c>
      <x:c r="C13" s="13" t="str">
        <x:f>WBS!G39</x:f>
        <x:v>To Do</x:v>
      </x:c>
      <x:c r="D13" s="86" t="n">
        <x:f>IF(WBS!H39="","",WBS!H39)</x:f>
        <x:v>46307</x:v>
      </x:c>
      <x:c r="E13" s="86" t="n">
        <x:f>IF(WBS!I39="","",WBS!I39)</x:f>
        <x:v>46311</x:v>
      </x:c>
      <x:c r="F13" s="13" t="str">
        <x:f>WBS!L39</x:f>
        <x:v>이하영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0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0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7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7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0" t="str">
        <x:f>IF(AND(ISNUMBER($D13),ISNUMBER($E13),P$4&gt;=$D13,P$4&lt;=$E13,WEEKDAY(P$4,2)&lt;=5,COUNTIF('Sources &amp; Change Log'!$J$2:$J$5,P$4)=0,COUNTIFS('Team Calendar'!$A$5:$A$12,$F13,'Team Calendar'!$C$5:$C$12,P$4)=0),1,"")</x:f>
      </x:c>
      <x:c r="Q13" s="100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0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7" t="str">
        <x:f>IF(AND(ISNUMBER($D13),ISNUMBER($E13),S$4&gt;=$D13,S$4&lt;=$E13,WEEKDAY(S$4,2)&lt;=5,COUNTIF('Sources &amp; Change Log'!$J$2:$J$5,S$4)=0,COUNTIFS('Team Calendar'!$A$5:$A$12,$F13,'Team Calendar'!$C$5:$C$12,S$4)=0),1,"")</x:f>
      </x:c>
      <x:c r="T13" s="107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n">
        <x:f>IF(AND(ISNUMBER($D13),ISNUMBER($E13),U$4&gt;=$D13,U$4&lt;=$E13,WEEKDAY(U$4,2)&lt;=5,COUNTIF('Sources &amp; Change Log'!$J$2:$J$5,U$4)=0,COUNTIFS('Team Calendar'!$A$5:$A$12,$F13,'Team Calendar'!$C$5:$C$12,U$4)=0),1,"")</x:f>
        <x:v>1</x:v>
      </x:c>
      <x:c r="V13" s="100" t="n">
        <x:f>IF(AND(ISNUMBER($D13),ISNUMBER($E13),V$4&gt;=$D13,V$4&lt;=$E13,WEEKDAY(V$4,2)&lt;=5,COUNTIF('Sources &amp; Change Log'!$J$2:$J$5,V$4)=0,COUNTIFS('Team Calendar'!$A$5:$A$12,$F13,'Team Calendar'!$C$5:$C$12,V$4)=0),1,"")</x:f>
        <x:v>1</x:v>
      </x:c>
      <x:c r="W13" s="100" t="n">
        <x:f>IF(AND(ISNUMBER($D13),ISNUMBER($E13),W$4&gt;=$D13,W$4&lt;=$E13,WEEKDAY(W$4,2)&lt;=5,COUNTIF('Sources &amp; Change Log'!$J$2:$J$5,W$4)=0,COUNTIFS('Team Calendar'!$A$5:$A$12,$F13,'Team Calendar'!$C$5:$C$12,W$4)=0),1,"")</x:f>
        <x:v>1</x:v>
      </x:c>
      <x:c r="X13" s="100" t="n">
        <x:f>IF(AND(ISNUMBER($D13),ISNUMBER($E13),X$4&gt;=$D13,X$4&lt;=$E13,WEEKDAY(X$4,2)&lt;=5,COUNTIF('Sources &amp; Change Log'!$J$2:$J$5,X$4)=0,COUNTIFS('Team Calendar'!$A$5:$A$12,$F13,'Team Calendar'!$C$5:$C$12,X$4)=0),1,"")</x:f>
        <x:v>1</x:v>
      </x:c>
      <x:c r="Y13" s="100" t="n">
        <x:f>IF(AND(ISNUMBER($D13),ISNUMBER($E13),Y$4&gt;=$D13,Y$4&lt;=$E13,WEEKDAY(Y$4,2)&lt;=5,COUNTIF('Sources &amp; Change Log'!$J$2:$J$5,Y$4)=0,COUNTIFS('Team Calendar'!$A$5:$A$12,$F13,'Team Calendar'!$C$5:$C$12,Y$4)=0),1,"")</x:f>
        <x:v>1</x:v>
      </x:c>
      <x:c r="Z13" s="107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7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0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0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7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7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WBS!A40</x:f>
        <x:v>DEC-P2-REG-01</x:v>
      </x:c>
      <x:c r="B14" s="13" t="str">
        <x:f>WBS!B40</x:f>
        <x:v>ROSA Image Registry Source Decision</x:v>
      </x:c>
      <x:c r="C14" s="13" t="str">
        <x:f>WBS!G40</x:f>
        <x:v>To Do</x:v>
      </x:c>
      <x:c r="D14" s="86" t="n">
        <x:f>IF(WBS!H40="","",WBS!H40)</x:f>
        <x:v>46307</x:v>
      </x:c>
      <x:c r="E14" s="86" t="n">
        <x:f>IF(WBS!I40="","",WBS!I40)</x:f>
        <x:v>46311</x:v>
      </x:c>
      <x:c r="F14" s="13" t="str">
        <x:f>WBS!L40</x:f>
        <x:v>이하영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0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0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7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7" t="str">
        <x:f>IF(AND(ISNUMBER($D14),ISNUMBER($E14),M$4&gt;=$D14,M$4&lt;=$E14,WEEKDAY(M$4,2)&lt;=5,COUNTIF('Sources &amp; Change Log'!$J$2:$J$5,M$4)=0,COUNTIFS('Team Calendar'!$A$5:$A$12,$F14,'Team Calendar'!$C$5:$C$12,M$4)=0),1,"")</x:f>
      </x:c>
      <x:c r="N14" s="100" t="str">
        <x:f>IF(AND(ISNUMBER($D14),ISNUMBER($E14),N$4&gt;=$D14,N$4&lt;=$E14,WEEKDAY(N$4,2)&lt;=5,COUNTIF('Sources &amp; Change Log'!$J$2:$J$5,N$4)=0,COUNTIFS('Team Calendar'!$A$5:$A$12,$F14,'Team Calendar'!$C$5:$C$12,N$4)=0),1,"")</x:f>
      </x:c>
      <x:c r="O14" s="100" t="str">
        <x:f>IF(AND(ISNUMBER($D14),ISNUMBER($E14),O$4&gt;=$D14,O$4&lt;=$E14,WEEKDAY(O$4,2)&lt;=5,COUNTIF('Sources &amp; Change Log'!$J$2:$J$5,O$4)=0,COUNTIFS('Team Calendar'!$A$5:$A$12,$F14,'Team Calendar'!$C$5:$C$12,O$4)=0),1,"")</x:f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0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0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7" t="str">
        <x:f>IF(AND(ISNUMBER($D14),ISNUMBER($E14),S$4&gt;=$D14,S$4&lt;=$E14,WEEKDAY(S$4,2)&lt;=5,COUNTIF('Sources &amp; Change Log'!$J$2:$J$5,S$4)=0,COUNTIFS('Team Calendar'!$A$5:$A$12,$F14,'Team Calendar'!$C$5:$C$12,S$4)=0),1,"")</x:f>
      </x:c>
      <x:c r="T14" s="107" t="str">
        <x:f>IF(AND(ISNUMBER($D14),ISNUMBER($E14),T$4&gt;=$D14,T$4&lt;=$E14,WEEKDAY(T$4,2)&lt;=5,COUNTIF('Sources &amp; Change Log'!$J$2:$J$5,T$4)=0,COUNTIFS('Team Calendar'!$A$5:$A$12,$F14,'Team Calendar'!$C$5:$C$12,T$4)=0),1,"")</x:f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0" t="n">
        <x:f>IF(AND(ISNUMBER($D14),ISNUMBER($E14),X$4&gt;=$D14,X$4&lt;=$E14,WEEKDAY(X$4,2)&lt;=5,COUNTIF('Sources &amp; Change Log'!$J$2:$J$5,X$4)=0,COUNTIFS('Team Calendar'!$A$5:$A$12,$F14,'Team Calendar'!$C$5:$C$12,X$4)=0),1,"")</x:f>
        <x:v>1</x:v>
      </x:c>
      <x:c r="Y14" s="100" t="n">
        <x:f>IF(AND(ISNUMBER($D14),ISNUMBER($E14),Y$4&gt;=$D14,Y$4&lt;=$E14,WEEKDAY(Y$4,2)&lt;=5,COUNTIF('Sources &amp; Change Log'!$J$2:$J$5,Y$4)=0,COUNTIFS('Team Calendar'!$A$5:$A$12,$F14,'Team Calendar'!$C$5:$C$12,Y$4)=0),1,"")</x:f>
        <x:v>1</x:v>
      </x:c>
      <x:c r="Z14" s="107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7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str">
        <x:f>IF(AND(ISNUMBER($D14),ISNUMBER($E14),AD$4&gt;=$D14,AD$4&lt;=$E14,WEEKDAY(AD$4,2)&lt;=5,COUNTIF('Sources &amp; Change Log'!$J$2:$J$5,AD$4)=0,COUNTIFS('Team Calendar'!$A$5:$A$12,$F14,'Team Calendar'!$C$5:$C$12,AD$4)=0),1,"")</x:f>
      </x:c>
      <x:c r="AE14" s="100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0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7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7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WBS!A41</x:f>
        <x:v>P2-APP-01</x:v>
      </x:c>
      <x:c r="B15" s="13" t="str">
        <x:f>WBS!B41</x:f>
        <x:v>ROSA Application Deployment</x:v>
      </x:c>
      <x:c r="C15" s="13" t="str">
        <x:f>WBS!G41</x:f>
        <x:v>To Do</x:v>
      </x:c>
      <x:c r="D15" s="86" t="n">
        <x:f>IF(WBS!H41="","",WBS!H41)</x:f>
        <x:v>46307</x:v>
      </x:c>
      <x:c r="E15" s="86" t="n">
        <x:f>IF(WBS!I41="","",WBS!I41)</x:f>
        <x:v>46311</x:v>
      </x:c>
      <x:c r="F15" s="13" t="str">
        <x:f>WBS!L41</x:f>
        <x:v>이재환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0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0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7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7" t="str">
        <x:f>IF(AND(ISNUMBER($D15),ISNUMBER($E15),M$4&gt;=$D15,M$4&lt;=$E15,WEEKDAY(M$4,2)&lt;=5,COUNTIF('Sources &amp; Change Log'!$J$2:$J$5,M$4)=0,COUNTIFS('Team Calendar'!$A$5:$A$12,$F15,'Team Calendar'!$C$5:$C$12,M$4)=0),1,"")</x:f>
      </x:c>
      <x:c r="N15" s="100" t="str">
        <x:f>IF(AND(ISNUMBER($D15),ISNUMBER($E15),N$4&gt;=$D15,N$4&lt;=$E15,WEEKDAY(N$4,2)&lt;=5,COUNTIF('Sources &amp; Change Log'!$J$2:$J$5,N$4)=0,COUNTIFS('Team Calendar'!$A$5:$A$12,$F15,'Team Calendar'!$C$5:$C$12,N$4)=0),1,"")</x:f>
      </x:c>
      <x:c r="O15" s="100" t="str">
        <x:f>IF(AND(ISNUMBER($D15),ISNUMBER($E15),O$4&gt;=$D15,O$4&lt;=$E15,WEEKDAY(O$4,2)&lt;=5,COUNTIF('Sources &amp; Change Log'!$J$2:$J$5,O$4)=0,COUNTIFS('Team Calendar'!$A$5:$A$12,$F15,'Team Calendar'!$C$5:$C$12,O$4)=0),1,"")</x:f>
      </x:c>
      <x:c r="P15" s="100" t="str">
        <x:f>IF(AND(ISNUMBER($D15),ISNUMBER($E15),P$4&gt;=$D15,P$4&lt;=$E15,WEEKDAY(P$4,2)&lt;=5,COUNTIF('Sources &amp; Change Log'!$J$2:$J$5,P$4)=0,COUNTIFS('Team Calendar'!$A$5:$A$12,$F15,'Team Calendar'!$C$5:$C$12,P$4)=0),1,"")</x:f>
      </x:c>
      <x:c r="Q15" s="100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0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7" t="str">
        <x:f>IF(AND(ISNUMBER($D15),ISNUMBER($E15),S$4&gt;=$D15,S$4&lt;=$E15,WEEKDAY(S$4,2)&lt;=5,COUNTIF('Sources &amp; Change Log'!$J$2:$J$5,S$4)=0,COUNTIFS('Team Calendar'!$A$5:$A$12,$F15,'Team Calendar'!$C$5:$C$12,S$4)=0),1,"")</x:f>
      </x:c>
      <x:c r="T15" s="107" t="str">
        <x:f>IF(AND(ISNUMBER($D15),ISNUMBER($E15),T$4&gt;=$D15,T$4&lt;=$E15,WEEKDAY(T$4,2)&lt;=5,COUNTIF('Sources &amp; Change Log'!$J$2:$J$5,T$4)=0,COUNTIFS('Team Calendar'!$A$5:$A$12,$F15,'Team Calendar'!$C$5:$C$12,T$4)=0),1,"")</x:f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0" t="n">
        <x:f>IF(AND(ISNUMBER($D15),ISNUMBER($E15),X$4&gt;=$D15,X$4&lt;=$E15,WEEKDAY(X$4,2)&lt;=5,COUNTIF('Sources &amp; Change Log'!$J$2:$J$5,X$4)=0,COUNTIFS('Team Calendar'!$A$5:$A$12,$F15,'Team Calendar'!$C$5:$C$12,X$4)=0),1,"")</x:f>
        <x:v>1</x:v>
      </x:c>
      <x:c r="Y15" s="100" t="n">
        <x:f>IF(AND(ISNUMBER($D15),ISNUMBER($E15),Y$4&gt;=$D15,Y$4&lt;=$E15,WEEKDAY(Y$4,2)&lt;=5,COUNTIF('Sources &amp; Change Log'!$J$2:$J$5,Y$4)=0,COUNTIFS('Team Calendar'!$A$5:$A$12,$F15,'Team Calendar'!$C$5:$C$12,Y$4)=0),1,"")</x:f>
        <x:v>1</x:v>
      </x:c>
      <x:c r="Z15" s="107" t="str">
        <x:f>IF(AND(ISNUMBER($D15),ISNUMBER($E15),Z$4&gt;=$D15,Z$4&lt;=$E15,WEEKDAY(Z$4,2)&lt;=5,COUNTIF('Sources &amp; Change Log'!$J$2:$J$5,Z$4)=0,COUNTIFS('Team Calendar'!$A$5:$A$12,$F15,'Team Calendar'!$C$5:$C$12,Z$4)=0),1,"")</x:f>
      </x:c>
      <x:c r="AA15" s="107" t="str">
        <x:f>IF(AND(ISNUMBER($D15),ISNUMBER($E15),AA$4&gt;=$D15,AA$4&lt;=$E15,WEEKDAY(AA$4,2)&lt;=5,COUNTIF('Sources &amp; Change Log'!$J$2:$J$5,AA$4)=0,COUNTIFS('Team Calendar'!$A$5:$A$12,$F15,'Team Calendar'!$C$5:$C$12,AA$4)=0),1,"")</x:f>
      </x:c>
      <x:c r="AB15" s="100" t="str">
        <x:f>IF(AND(ISNUMBER($D15),ISNUMBER($E15),AB$4&gt;=$D15,AB$4&lt;=$E15,WEEKDAY(AB$4,2)&lt;=5,COUNTIF('Sources &amp; Change Log'!$J$2:$J$5,AB$4)=0,COUNTIFS('Team Calendar'!$A$5:$A$12,$F15,'Team Calendar'!$C$5:$C$12,AB$4)=0),1,"")</x:f>
      </x:c>
      <x:c r="AC15" s="100" t="str">
        <x:f>IF(AND(ISNUMBER($D15),ISNUMBER($E15),AC$4&gt;=$D15,AC$4&lt;=$E15,WEEKDAY(AC$4,2)&lt;=5,COUNTIF('Sources &amp; Change Log'!$J$2:$J$5,AC$4)=0,COUNTIFS('Team Calendar'!$A$5:$A$12,$F15,'Team Calendar'!$C$5:$C$12,AC$4)=0),1,"")</x:f>
      </x:c>
      <x:c r="AD15" s="100" t="str">
        <x:f>IF(AND(ISNUMBER($D15),ISNUMBER($E15),AD$4&gt;=$D15,AD$4&lt;=$E15,WEEKDAY(AD$4,2)&lt;=5,COUNTIF('Sources &amp; Change Log'!$J$2:$J$5,AD$4)=0,COUNTIFS('Team Calendar'!$A$5:$A$12,$F15,'Team Calendar'!$C$5:$C$12,AD$4)=0),1,"")</x:f>
      </x:c>
      <x:c r="AE15" s="100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0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7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7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WBS!A42</x:f>
        <x:v>P2-OADP-01</x:v>
      </x:c>
      <x:c r="B16" s="13" t="str">
        <x:f>WBS!B42</x:f>
        <x:v>OADP / S3 Backup</x:v>
      </x:c>
      <x:c r="C16" s="13" t="str">
        <x:f>WBS!G42</x:f>
        <x:v>To Do</x:v>
      </x:c>
      <x:c r="D16" s="86" t="n">
        <x:f>IF(WBS!H42="","",WBS!H42)</x:f>
        <x:v>46310</x:v>
      </x:c>
      <x:c r="E16" s="86" t="n">
        <x:f>IF(WBS!I42="","",WBS!I42)</x:f>
        <x:v>46317</x:v>
      </x:c>
      <x:c r="F16" s="13" t="str">
        <x:f>WBS!L42</x:f>
        <x:v>이하영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0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0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7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7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0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0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0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7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7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0" t="n">
        <x:f>IF(AND(ISNUMBER($D16),ISNUMBER($E16),X$4&gt;=$D16,X$4&lt;=$E16,WEEKDAY(X$4,2)&lt;=5,COUNTIF('Sources &amp; Change Log'!$J$2:$J$5,X$4)=0,COUNTIFS('Team Calendar'!$A$5:$A$12,$F16,'Team Calendar'!$C$5:$C$12,X$4)=0),1,"")</x:f>
        <x:v>1</x:v>
      </x:c>
      <x:c r="Y16" s="100" t="n">
        <x:f>IF(AND(ISNUMBER($D16),ISNUMBER($E16),Y$4&gt;=$D16,Y$4&lt;=$E16,WEEKDAY(Y$4,2)&lt;=5,COUNTIF('Sources &amp; Change Log'!$J$2:$J$5,Y$4)=0,COUNTIFS('Team Calendar'!$A$5:$A$12,$F16,'Team Calendar'!$C$5:$C$12,Y$4)=0),1,"")</x:f>
        <x:v>1</x:v>
      </x:c>
      <x:c r="Z16" s="107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7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n">
        <x:f>IF(AND(ISNUMBER($D16),ISNUMBER($E16),AB$4&gt;=$D16,AB$4&lt;=$E16,WEEKDAY(AB$4,2)&lt;=5,COUNTIF('Sources &amp; Change Log'!$J$2:$J$5,AB$4)=0,COUNTIFS('Team Calendar'!$A$5:$A$12,$F16,'Team Calendar'!$C$5:$C$12,AB$4)=0),1,"")</x:f>
        <x:v>1</x:v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n">
        <x:f>IF(AND(ISNUMBER($D16),ISNUMBER($E16),AD$4&gt;=$D16,AD$4&lt;=$E16,WEEKDAY(AD$4,2)&lt;=5,COUNTIF('Sources &amp; Change Log'!$J$2:$J$5,AD$4)=0,COUNTIFS('Team Calendar'!$A$5:$A$12,$F16,'Team Calendar'!$C$5:$C$12,AD$4)=0),1,"")</x:f>
        <x:v>1</x:v>
      </x:c>
      <x:c r="AE16" s="100" t="n">
        <x:f>IF(AND(ISNUMBER($D16),ISNUMBER($E16),AE$4&gt;=$D16,AE$4&lt;=$E16,WEEKDAY(AE$4,2)&lt;=5,COUNTIF('Sources &amp; Change Log'!$J$2:$J$5,AE$4)=0,COUNTIFS('Team Calendar'!$A$5:$A$12,$F16,'Team Calendar'!$C$5:$C$12,AE$4)=0),1,"")</x:f>
        <x:v>1</x:v>
      </x:c>
      <x:c r="AF16" s="100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7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7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WBS!A43</x:f>
        <x:v>MS-G5-01</x:v>
      </x:c>
      <x:c r="B17" s="13" t="str">
        <x:f>WBS!B43</x:f>
        <x:v>G5 ROSA Application Ready</x:v>
      </x:c>
      <x:c r="C17" s="13" t="str">
        <x:f>WBS!G43</x:f>
        <x:v>To Do</x:v>
      </x:c>
      <x:c r="D17" s="86" t="n">
        <x:f>IF(WBS!H43="","",WBS!H43)</x:f>
        <x:v>46311</x:v>
      </x:c>
      <x:c r="E17" s="86" t="n">
        <x:f>IF(WBS!I43="","",WBS!I43)</x:f>
        <x:v>46311</x:v>
      </x:c>
      <x:c r="F17" s="13" t="str">
        <x:f>WBS!L43</x:f>
        <x:v>이하영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0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0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7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7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0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0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7" t="str">
        <x:f>IF(AND(ISNUMBER($D17),ISNUMBER($E17),S$4&gt;=$D17,S$4&lt;=$E17,WEEKDAY(S$4,2)&lt;=5,COUNTIF('Sources &amp; Change Log'!$J$2:$J$5,S$4)=0,COUNTIFS('Team Calendar'!$A$5:$A$12,$F17,'Team Calendar'!$C$5:$C$12,S$4)=0),1,"")</x:f>
      </x:c>
      <x:c r="T17" s="107" t="str">
        <x:f>IF(AND(ISNUMBER($D17),ISNUMBER($E17),T$4&gt;=$D17,T$4&lt;=$E17,WEEKDAY(T$4,2)&lt;=5,COUNTIF('Sources &amp; Change Log'!$J$2:$J$5,T$4)=0,COUNTIFS('Team Calendar'!$A$5:$A$12,$F17,'Team Calendar'!$C$5:$C$12,T$4)=0),1,"")</x:f>
      </x:c>
      <x:c r="U17" s="100" t="str">
        <x:f>IF(AND(ISNUMBER($D17),ISNUMBER($E17),U$4&gt;=$D17,U$4&lt;=$E17,WEEKDAY(U$4,2)&lt;=5,COUNTIF('Sources &amp; Change Log'!$J$2:$J$5,U$4)=0,COUNTIFS('Team Calendar'!$A$5:$A$12,$F17,'Team Calendar'!$C$5:$C$12,U$4)=0),1,"")</x:f>
      </x:c>
      <x:c r="V17" s="100" t="str">
        <x:f>IF(AND(ISNUMBER($D17),ISNUMBER($E17),V$4&gt;=$D17,V$4&lt;=$E17,WEEKDAY(V$4,2)&lt;=5,COUNTIF('Sources &amp; Change Log'!$J$2:$J$5,V$4)=0,COUNTIFS('Team Calendar'!$A$5:$A$12,$F17,'Team Calendar'!$C$5:$C$12,V$4)=0),1,"")</x:f>
      </x:c>
      <x:c r="W17" s="100" t="str">
        <x:f>IF(AND(ISNUMBER($D17),ISNUMBER($E17),W$4&gt;=$D17,W$4&lt;=$E17,WEEKDAY(W$4,2)&lt;=5,COUNTIF('Sources &amp; Change Log'!$J$2:$J$5,W$4)=0,COUNTIFS('Team Calendar'!$A$5:$A$12,$F17,'Team Calendar'!$C$5:$C$12,W$4)=0),1,"")</x:f>
      </x:c>
      <x:c r="X17" s="100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0" t="n">
        <x:f>IF(AND(ISNUMBER($D17),ISNUMBER($E17),Y$4&gt;=$D17,Y$4&lt;=$E17,WEEKDAY(Y$4,2)&lt;=5,COUNTIF('Sources &amp; Change Log'!$J$2:$J$5,Y$4)=0,COUNTIFS('Team Calendar'!$A$5:$A$12,$F17,'Team Calendar'!$C$5:$C$12,Y$4)=0),1,"")</x:f>
        <x:v>1</x:v>
      </x:c>
      <x:c r="Z17" s="107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7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str">
        <x:f>IF(AND(ISNUMBER($D17),ISNUMBER($E17),AD$4&gt;=$D17,AD$4&lt;=$E17,WEEKDAY(AD$4,2)&lt;=5,COUNTIF('Sources &amp; Change Log'!$J$2:$J$5,AD$4)=0,COUNTIFS('Team Calendar'!$A$5:$A$12,$F17,'Team Calendar'!$C$5:$C$12,AD$4)=0),1,"")</x:f>
      </x:c>
      <x:c r="AE17" s="100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0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7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7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WBS!A44</x:f>
        <x:v>P2-CICD-01</x:v>
      </x:c>
      <x:c r="B18" s="13" t="str">
        <x:f>WBS!B44</x:f>
        <x:v>Runner to ROSA Delivery</x:v>
      </x:c>
      <x:c r="C18" s="13" t="str">
        <x:f>WBS!G44</x:f>
        <x:v>To Do</x:v>
      </x:c>
      <x:c r="D18" s="86" t="n">
        <x:f>IF(WBS!H44="","",WBS!H44)</x:f>
        <x:v>46311</x:v>
      </x:c>
      <x:c r="E18" s="86" t="n">
        <x:f>IF(WBS!I44="","",WBS!I44)</x:f>
        <x:v>46314</x:v>
      </x:c>
      <x:c r="F18" s="13" t="str">
        <x:f>WBS!L44</x:f>
        <x:v>이권욱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0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0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7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7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str">
        <x:f>IF(AND(ISNUMBER($D18),ISNUMBER($E18),P$4&gt;=$D18,P$4&lt;=$E18,WEEKDAY(P$4,2)&lt;=5,COUNTIF('Sources &amp; Change Log'!$J$2:$J$5,P$4)=0,COUNTIFS('Team Calendar'!$A$5:$A$12,$F18,'Team Calendar'!$C$5:$C$12,P$4)=0),1,"")</x:f>
      </x:c>
      <x:c r="Q18" s="100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0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7" t="str">
        <x:f>IF(AND(ISNUMBER($D18),ISNUMBER($E18),S$4&gt;=$D18,S$4&lt;=$E18,WEEKDAY(S$4,2)&lt;=5,COUNTIF('Sources &amp; Change Log'!$J$2:$J$5,S$4)=0,COUNTIFS('Team Calendar'!$A$5:$A$12,$F18,'Team Calendar'!$C$5:$C$12,S$4)=0),1,"")</x:f>
      </x:c>
      <x:c r="T18" s="107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str">
        <x:f>IF(AND(ISNUMBER($D18),ISNUMBER($E18),U$4&gt;=$D18,U$4&lt;=$E18,WEEKDAY(U$4,2)&lt;=5,COUNTIF('Sources &amp; Change Log'!$J$2:$J$5,U$4)=0,COUNTIFS('Team Calendar'!$A$5:$A$12,$F18,'Team Calendar'!$C$5:$C$12,U$4)=0),1,"")</x:f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str">
        <x:f>IF(AND(ISNUMBER($D18),ISNUMBER($E18),W$4&gt;=$D18,W$4&lt;=$E18,WEEKDAY(W$4,2)&lt;=5,COUNTIF('Sources &amp; Change Log'!$J$2:$J$5,W$4)=0,COUNTIFS('Team Calendar'!$A$5:$A$12,$F18,'Team Calendar'!$C$5:$C$12,W$4)=0),1,"")</x:f>
      </x:c>
      <x:c r="X18" s="100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0" t="n">
        <x:f>IF(AND(ISNUMBER($D18),ISNUMBER($E18),Y$4&gt;=$D18,Y$4&lt;=$E18,WEEKDAY(Y$4,2)&lt;=5,COUNTIF('Sources &amp; Change Log'!$J$2:$J$5,Y$4)=0,COUNTIFS('Team Calendar'!$A$5:$A$12,$F18,'Team Calendar'!$C$5:$C$12,Y$4)=0),1,"")</x:f>
        <x:v>1</x:v>
      </x:c>
      <x:c r="Z18" s="107" t="str">
        <x:f>IF(AND(ISNUMBER($D18),ISNUMBER($E18),Z$4&gt;=$D18,Z$4&lt;=$E18,WEEKDAY(Z$4,2)&lt;=5,COUNTIF('Sources &amp; Change Log'!$J$2:$J$5,Z$4)=0,COUNTIFS('Team Calendar'!$A$5:$A$12,$F18,'Team Calendar'!$C$5:$C$12,Z$4)=0),1,"")</x:f>
      </x:c>
      <x:c r="AA18" s="107" t="str">
        <x:f>IF(AND(ISNUMBER($D18),ISNUMBER($E18),AA$4&gt;=$D18,AA$4&lt;=$E18,WEEKDAY(AA$4,2)&lt;=5,COUNTIF('Sources &amp; Change Log'!$J$2:$J$5,AA$4)=0,COUNTIFS('Team Calendar'!$A$5:$A$12,$F18,'Team Calendar'!$C$5:$C$12,AA$4)=0),1,"")</x:f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str">
        <x:f>IF(AND(ISNUMBER($D18),ISNUMBER($E18),AC$4&gt;=$D18,AC$4&lt;=$E18,WEEKDAY(AC$4,2)&lt;=5,COUNTIF('Sources &amp; Change Log'!$J$2:$J$5,AC$4)=0,COUNTIFS('Team Calendar'!$A$5:$A$12,$F18,'Team Calendar'!$C$5:$C$12,AC$4)=0),1,"")</x:f>
      </x:c>
      <x:c r="AD18" s="100" t="str">
        <x:f>IF(AND(ISNUMBER($D18),ISNUMBER($E18),AD$4&gt;=$D18,AD$4&lt;=$E18,WEEKDAY(AD$4,2)&lt;=5,COUNTIF('Sources &amp; Change Log'!$J$2:$J$5,AD$4)=0,COUNTIFS('Team Calendar'!$A$5:$A$12,$F18,'Team Calendar'!$C$5:$C$12,AD$4)=0),1,"")</x:f>
      </x:c>
      <x:c r="AE18" s="100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0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7" t="str">
        <x:f>IF(AND(ISNUMBER($D18),ISNUMBER($E18),AG$4&gt;=$D18,AG$4&lt;=$E18,WEEKDAY(AG$4,2)&lt;=5,COUNTIF('Sources &amp; Change Log'!$J$2:$J$5,AG$4)=0,COUNTIFS('Team Calendar'!$A$5:$A$12,$F18,'Team Calendar'!$C$5:$C$12,AG$4)=0),1,"")</x:f>
      </x:c>
      <x:c r="AH18" s="107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WBS!A45</x:f>
        <x:v>P2-HYB-01</x:v>
      </x:c>
      <x:c r="B19" s="13" t="str">
        <x:f>WBS!B45</x:f>
        <x:v>Hybrid DB / Registry Integration</x:v>
      </x:c>
      <x:c r="C19" s="13" t="str">
        <x:f>WBS!G45</x:f>
        <x:v>To Do</x:v>
      </x:c>
      <x:c r="D19" s="86" t="n">
        <x:f>IF(WBS!H45="","",WBS!H45)</x:f>
        <x:v>46311</x:v>
      </x:c>
      <x:c r="E19" s="86" t="n">
        <x:f>IF(WBS!I45="","",WBS!I45)</x:f>
        <x:v>46317</x:v>
      </x:c>
      <x:c r="F19" s="13" t="str">
        <x:f>WBS!L45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0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0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7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7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0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0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7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7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str">
        <x:f>IF(AND(ISNUMBER($D19),ISNUMBER($E19),W$4&gt;=$D19,W$4&lt;=$E19,WEEKDAY(W$4,2)&lt;=5,COUNTIF('Sources &amp; Change Log'!$J$2:$J$5,W$4)=0,COUNTIFS('Team Calendar'!$A$5:$A$12,$F19,'Team Calendar'!$C$5:$C$12,W$4)=0),1,"")</x:f>
      </x:c>
      <x:c r="X19" s="100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0" t="n">
        <x:f>IF(AND(ISNUMBER($D19),ISNUMBER($E19),Y$4&gt;=$D19,Y$4&lt;=$E19,WEEKDAY(Y$4,2)&lt;=5,COUNTIF('Sources &amp; Change Log'!$J$2:$J$5,Y$4)=0,COUNTIFS('Team Calendar'!$A$5:$A$12,$F19,'Team Calendar'!$C$5:$C$12,Y$4)=0),1,"")</x:f>
        <x:v>1</x:v>
      </x:c>
      <x:c r="Z19" s="107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7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n">
        <x:f>IF(AND(ISNUMBER($D19),ISNUMBER($E19),AB$4&gt;=$D19,AB$4&lt;=$E19,WEEKDAY(AB$4,2)&lt;=5,COUNTIF('Sources &amp; Change Log'!$J$2:$J$5,AB$4)=0,COUNTIFS('Team Calendar'!$A$5:$A$12,$F19,'Team Calendar'!$C$5:$C$12,AB$4)=0),1,"")</x:f>
        <x:v>1</x:v>
      </x:c>
      <x:c r="AC19" s="100" t="n">
        <x:f>IF(AND(ISNUMBER($D19),ISNUMBER($E19),AC$4&gt;=$D19,AC$4&lt;=$E19,WEEKDAY(AC$4,2)&lt;=5,COUNTIF('Sources &amp; Change Log'!$J$2:$J$5,AC$4)=0,COUNTIFS('Team Calendar'!$A$5:$A$12,$F19,'Team Calendar'!$C$5:$C$12,AC$4)=0),1,"")</x:f>
        <x:v>1</x:v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0" t="n">
        <x:f>IF(AND(ISNUMBER($D19),ISNUMBER($E19),AE$4&gt;=$D19,AE$4&lt;=$E19,WEEKDAY(AE$4,2)&lt;=5,COUNTIF('Sources &amp; Change Log'!$J$2:$J$5,AE$4)=0,COUNTIFS('Team Calendar'!$A$5:$A$12,$F19,'Team Calendar'!$C$5:$C$12,AE$4)=0),1,"")</x:f>
        <x:v>1</x:v>
      </x:c>
      <x:c r="AF19" s="100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7" t="str">
        <x:f>IF(AND(ISNUMBER($D19),ISNUMBER($E19),AG$4&gt;=$D19,AG$4&lt;=$E19,WEEKDAY(AG$4,2)&lt;=5,COUNTIF('Sources &amp; Change Log'!$J$2:$J$5,AG$4)=0,COUNTIFS('Team Calendar'!$A$5:$A$12,$F19,'Team Calendar'!$C$5:$C$12,AG$4)=0),1,"")</x:f>
      </x:c>
      <x:c r="AH19" s="107" t="str">
        <x:f>IF(AND(ISNUMBER($D19),ISNUMBER($E19),AH$4&gt;=$D19,AH$4&lt;=$E19,WEEKDAY(AH$4,2)&lt;=5,COUNTIF('Sources &amp; Change Log'!$J$2:$J$5,AH$4)=0,COUNTIFS('Team Calendar'!$A$5:$A$12,$F19,'Team Calendar'!$C$5:$C$12,AH$4)=0),1,"")</x:f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WBS!A46</x:f>
        <x:v>P2-DNS-01</x:v>
      </x:c>
      <x:c r="B20" s="13" t="str">
        <x:f>WBS!B46</x:f>
        <x:v>Hybrid DNS Implementation Conditional</x:v>
      </x:c>
      <x:c r="C20" s="13" t="str">
        <x:f>WBS!G46</x:f>
        <x:v>To Do</x:v>
      </x:c>
      <x:c r="D20" s="86" t="n">
        <x:f>IF(WBS!H46="","",WBS!H46)</x:f>
        <x:v>46314</x:v>
      </x:c>
      <x:c r="E20" s="86" t="n">
        <x:f>IF(WBS!I46="","",WBS!I46)</x:f>
        <x:v>46315</x:v>
      </x:c>
      <x:c r="F20" s="13" t="str">
        <x:f>WBS!L46</x:f>
        <x:v>이권욱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0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0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7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7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0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0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7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7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str">
        <x:f>IF(AND(ISNUMBER($D20),ISNUMBER($E20),W$4&gt;=$D20,W$4&lt;=$E20,WEEKDAY(W$4,2)&lt;=5,COUNTIF('Sources &amp; Change Log'!$J$2:$J$5,W$4)=0,COUNTIFS('Team Calendar'!$A$5:$A$12,$F20,'Team Calendar'!$C$5:$C$12,W$4)=0),1,"")</x:f>
      </x:c>
      <x:c r="X20" s="100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0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7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7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n">
        <x:f>IF(AND(ISNUMBER($D20),ISNUMBER($E20),AB$4&gt;=$D20,AB$4&lt;=$E20,WEEKDAY(AB$4,2)&lt;=5,COUNTIF('Sources &amp; Change Log'!$J$2:$J$5,AB$4)=0,COUNTIFS('Team Calendar'!$A$5:$A$12,$F20,'Team Calendar'!$C$5:$C$12,AB$4)=0),1,"")</x:f>
        <x:v>1</x:v>
      </x:c>
      <x:c r="AC20" s="100" t="n">
        <x:f>IF(AND(ISNUMBER($D20),ISNUMBER($E20),AC$4&gt;=$D20,AC$4&lt;=$E20,WEEKDAY(AC$4,2)&lt;=5,COUNTIF('Sources &amp; Change Log'!$J$2:$J$5,AC$4)=0,COUNTIFS('Team Calendar'!$A$5:$A$12,$F20,'Team Calendar'!$C$5:$C$12,AC$4)=0),1,"")</x:f>
        <x:v>1</x:v>
      </x:c>
      <x:c r="AD20" s="100" t="str">
        <x:f>IF(AND(ISNUMBER($D20),ISNUMBER($E20),AD$4&gt;=$D20,AD$4&lt;=$E20,WEEKDAY(AD$4,2)&lt;=5,COUNTIF('Sources &amp; Change Log'!$J$2:$J$5,AD$4)=0,COUNTIFS('Team Calendar'!$A$5:$A$12,$F20,'Team Calendar'!$C$5:$C$12,AD$4)=0),1,"")</x:f>
      </x:c>
      <x:c r="AE20" s="100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0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7" t="str">
        <x:f>IF(AND(ISNUMBER($D20),ISNUMBER($E20),AG$4&gt;=$D20,AG$4&lt;=$E20,WEEKDAY(AG$4,2)&lt;=5,COUNTIF('Sources &amp; Change Log'!$J$2:$J$5,AG$4)=0,COUNTIFS('Team Calendar'!$A$5:$A$12,$F20,'Team Calendar'!$C$5:$C$12,AG$4)=0),1,"")</x:f>
      </x:c>
      <x:c r="AH20" s="107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WBS!A47</x:f>
        <x:v>P2-DOC-01</x:v>
      </x:c>
      <x:c r="B21" s="13" t="str">
        <x:f>WBS!B47</x:f>
        <x:v>Cloud / Hybrid Deliverable Freeze</x:v>
      </x:c>
      <x:c r="C21" s="13" t="str">
        <x:f>WBS!G47</x:f>
        <x:v>To Do</x:v>
      </x:c>
      <x:c r="D21" s="86" t="n">
        <x:f>IF(WBS!H47="","",WBS!H47)</x:f>
        <x:v>46314</x:v>
      </x:c>
      <x:c r="E21" s="86" t="n">
        <x:f>IF(WBS!I47="","",WBS!I47)</x:f>
        <x:v>46318</x:v>
      </x:c>
      <x:c r="F21" s="13" t="str">
        <x:f>WBS!L47</x:f>
        <x:v>이권욱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0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0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7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7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0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0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7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7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str">
        <x:f>IF(AND(ISNUMBER($D21),ISNUMBER($E21),W$4&gt;=$D21,W$4&lt;=$E21,WEEKDAY(W$4,2)&lt;=5,COUNTIF('Sources &amp; Change Log'!$J$2:$J$5,W$4)=0,COUNTIFS('Team Calendar'!$A$5:$A$12,$F21,'Team Calendar'!$C$5:$C$12,W$4)=0),1,"")</x:f>
      </x:c>
      <x:c r="X21" s="100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0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7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7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n">
        <x:f>IF(AND(ISNUMBER($D21),ISNUMBER($E21),AB$4&gt;=$D21,AB$4&lt;=$E21,WEEKDAY(AB$4,2)&lt;=5,COUNTIF('Sources &amp; Change Log'!$J$2:$J$5,AB$4)=0,COUNTIFS('Team Calendar'!$A$5:$A$12,$F21,'Team Calendar'!$C$5:$C$12,AB$4)=0),1,"")</x:f>
        <x:v>1</x:v>
      </x:c>
      <x:c r="AC21" s="100" t="n">
        <x:f>IF(AND(ISNUMBER($D21),ISNUMBER($E21),AC$4&gt;=$D21,AC$4&lt;=$E21,WEEKDAY(AC$4,2)&lt;=5,COUNTIF('Sources &amp; Change Log'!$J$2:$J$5,AC$4)=0,COUNTIFS('Team Calendar'!$A$5:$A$12,$F21,'Team Calendar'!$C$5:$C$12,AC$4)=0),1,"")</x:f>
        <x:v>1</x:v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0" t="n">
        <x:f>IF(AND(ISNUMBER($D21),ISNUMBER($E21),AE$4&gt;=$D21,AE$4&lt;=$E21,WEEKDAY(AE$4,2)&lt;=5,COUNTIF('Sources &amp; Change Log'!$J$2:$J$5,AE$4)=0,COUNTIFS('Team Calendar'!$A$5:$A$12,$F21,'Team Calendar'!$C$5:$C$12,AE$4)=0),1,"")</x:f>
        <x:v>1</x:v>
      </x:c>
      <x:c r="AF21" s="100" t="n">
        <x:f>IF(AND(ISNUMBER($D21),ISNUMBER($E21),AF$4&gt;=$D21,AF$4&lt;=$E21,WEEKDAY(AF$4,2)&lt;=5,COUNTIF('Sources &amp; Change Log'!$J$2:$J$5,AF$4)=0,COUNTIFS('Team Calendar'!$A$5:$A$12,$F21,'Team Calendar'!$C$5:$C$12,AF$4)=0),1,"")</x:f>
        <x:v>1</x:v>
      </x:c>
      <x:c r="AG21" s="107" t="str">
        <x:f>IF(AND(ISNUMBER($D21),ISNUMBER($E21),AG$4&gt;=$D21,AG$4&lt;=$E21,WEEKDAY(AG$4,2)&lt;=5,COUNTIF('Sources &amp; Change Log'!$J$2:$J$5,AG$4)=0,COUNTIFS('Team Calendar'!$A$5:$A$12,$F21,'Team Calendar'!$C$5:$C$12,AG$4)=0),1,"")</x:f>
      </x:c>
      <x:c r="AH21" s="107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WBS!A48</x:f>
        <x:v>P2-E2E-01</x:v>
      </x:c>
      <x:c r="B22" s="13" t="str">
        <x:f>WBS!B48</x:f>
        <x:v>Hybrid E2E / Regression</x:v>
      </x:c>
      <x:c r="C22" s="13" t="str">
        <x:f>WBS!G48</x:f>
        <x:v>To Do</x:v>
      </x:c>
      <x:c r="D22" s="86" t="n">
        <x:f>IF(WBS!H48="","",WBS!H48)</x:f>
        <x:v>46314</x:v>
      </x:c>
      <x:c r="E22" s="86" t="n">
        <x:f>IF(WBS!I48="","",WBS!I48)</x:f>
        <x:v>46317</x:v>
      </x:c>
      <x:c r="F22" s="13" t="str">
        <x:f>WBS!L48</x:f>
        <x:v>이재환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0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0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7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7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0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0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7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7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0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0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7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7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n">
        <x:f>IF(AND(ISNUMBER($D22),ISNUMBER($E22),AB$4&gt;=$D22,AB$4&lt;=$E22,WEEKDAY(AB$4,2)&lt;=5,COUNTIF('Sources &amp; Change Log'!$J$2:$J$5,AB$4)=0,COUNTIFS('Team Calendar'!$A$5:$A$12,$F22,'Team Calendar'!$C$5:$C$12,AB$4)=0),1,"")</x:f>
        <x:v>1</x:v>
      </x:c>
      <x:c r="AC22" s="100" t="n">
        <x:f>IF(AND(ISNUMBER($D22),ISNUMBER($E22),AC$4&gt;=$D22,AC$4&lt;=$E22,WEEKDAY(AC$4,2)&lt;=5,COUNTIF('Sources &amp; Change Log'!$J$2:$J$5,AC$4)=0,COUNTIFS('Team Calendar'!$A$5:$A$12,$F22,'Team Calendar'!$C$5:$C$12,AC$4)=0),1,"")</x:f>
        <x:v>1</x:v>
      </x:c>
      <x:c r="AD22" s="100" t="n">
        <x:f>IF(AND(ISNUMBER($D22),ISNUMBER($E22),AD$4&gt;=$D22,AD$4&lt;=$E22,WEEKDAY(AD$4,2)&lt;=5,COUNTIF('Sources &amp; Change Log'!$J$2:$J$5,AD$4)=0,COUNTIFS('Team Calendar'!$A$5:$A$12,$F22,'Team Calendar'!$C$5:$C$12,AD$4)=0),1,"")</x:f>
        <x:v>1</x:v>
      </x:c>
      <x:c r="AE22" s="100" t="n">
        <x:f>IF(AND(ISNUMBER($D22),ISNUMBER($E22),AE$4&gt;=$D22,AE$4&lt;=$E22,WEEKDAY(AE$4,2)&lt;=5,COUNTIF('Sources &amp; Change Log'!$J$2:$J$5,AE$4)=0,COUNTIFS('Team Calendar'!$A$5:$A$12,$F22,'Team Calendar'!$C$5:$C$12,AE$4)=0),1,"")</x:f>
        <x:v>1</x:v>
      </x:c>
      <x:c r="AF22" s="100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7" t="str">
        <x:f>IF(AND(ISNUMBER($D22),ISNUMBER($E22),AG$4&gt;=$D22,AG$4&lt;=$E22,WEEKDAY(AG$4,2)&lt;=5,COUNTIF('Sources &amp; Change Log'!$J$2:$J$5,AG$4)=0,COUNTIFS('Team Calendar'!$A$5:$A$12,$F22,'Team Calendar'!$C$5:$C$12,AG$4)=0),1,"")</x:f>
      </x:c>
      <x:c r="AH22" s="107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WBS!A49</x:f>
        <x:v>P2-OP-01</x:v>
      </x:c>
      <x:c r="B23" s="13" t="str">
        <x:f>WBS!B49</x:f>
        <x:v>Operator Supply Chain Implementation Conditional</x:v>
      </x:c>
      <x:c r="C23" s="13" t="str">
        <x:f>WBS!G49</x:f>
        <x:v>To Do</x:v>
      </x:c>
      <x:c r="D23" s="86" t="n">
        <x:f>IF(WBS!H49="","",WBS!H49)</x:f>
        <x:v>46314</x:v>
      </x:c>
      <x:c r="E23" s="86" t="n">
        <x:f>IF(WBS!I49="","",WBS!I49)</x:f>
        <x:v>46315</x:v>
      </x:c>
      <x:c r="F23" s="13" t="str">
        <x:f>WBS!L49</x:f>
        <x:v>이하영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0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0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7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7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0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0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7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7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str">
        <x:f>IF(AND(ISNUMBER($D23),ISNUMBER($E23),W$4&gt;=$D23,W$4&lt;=$E23,WEEKDAY(W$4,2)&lt;=5,COUNTIF('Sources &amp; Change Log'!$J$2:$J$5,W$4)=0,COUNTIFS('Team Calendar'!$A$5:$A$12,$F23,'Team Calendar'!$C$5:$C$12,W$4)=0),1,"")</x:f>
      </x:c>
      <x:c r="X23" s="100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0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7" t="str">
        <x:f>IF(AND(ISNUMBER($D23),ISNUMBER($E23),Z$4&gt;=$D23,Z$4&lt;=$E23,WEEKDAY(Z$4,2)&lt;=5,COUNTIF('Sources &amp; Change Log'!$J$2:$J$5,Z$4)=0,COUNTIFS('Team Calendar'!$A$5:$A$12,$F23,'Team Calendar'!$C$5:$C$12,Z$4)=0),1,"")</x:f>
      </x:c>
      <x:c r="AA23" s="107" t="str">
        <x:f>IF(AND(ISNUMBER($D23),ISNUMBER($E23),AA$4&gt;=$D23,AA$4&lt;=$E23,WEEKDAY(AA$4,2)&lt;=5,COUNTIF('Sources &amp; Change Log'!$J$2:$J$5,AA$4)=0,COUNTIFS('Team Calendar'!$A$5:$A$12,$F23,'Team Calendar'!$C$5:$C$12,AA$4)=0),1,"")</x:f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str">
        <x:f>IF(AND(ISNUMBER($D23),ISNUMBER($E23),AD$4&gt;=$D23,AD$4&lt;=$E23,WEEKDAY(AD$4,2)&lt;=5,COUNTIF('Sources &amp; Change Log'!$J$2:$J$5,AD$4)=0,COUNTIFS('Team Calendar'!$A$5:$A$12,$F23,'Team Calendar'!$C$5:$C$12,AD$4)=0),1,"")</x:f>
      </x:c>
      <x:c r="AE23" s="100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0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7" t="str">
        <x:f>IF(AND(ISNUMBER($D23),ISNUMBER($E23),AG$4&gt;=$D23,AG$4&lt;=$E23,WEEKDAY(AG$4,2)&lt;=5,COUNTIF('Sources &amp; Change Log'!$J$2:$J$5,AG$4)=0,COUNTIFS('Team Calendar'!$A$5:$A$12,$F23,'Team Calendar'!$C$5:$C$12,AG$4)=0),1,"")</x:f>
      </x:c>
      <x:c r="AH23" s="107" t="str">
        <x:f>IF(AND(ISNUMBER($D23),ISNUMBER($E23),AH$4&gt;=$D23,AH$4&lt;=$E23,WEEKDAY(AH$4,2)&lt;=5,COUNTIF('Sources &amp; Change Log'!$J$2:$J$5,AH$4)=0,COUNTIFS('Team Calendar'!$A$5:$A$12,$F23,'Team Calendar'!$C$5:$C$12,AH$4)=0),1,"")</x:f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WBS!A50</x:f>
        <x:v>DEC-CAL-P2-01</x:v>
      </x:c>
      <x:c r="B24" s="13" t="str">
        <x:f>WBS!B50</x:f>
        <x:v>Phase 2 Weekend Review Decision</x:v>
      </x:c>
      <x:c r="C24" s="13" t="str">
        <x:f>WBS!G50</x:f>
        <x:v>To Do</x:v>
      </x:c>
      <x:c r="D24" s="86" t="n">
        <x:f>IF(WBS!H50="","",WBS!H50)</x:f>
        <x:v>46317</x:v>
      </x:c>
      <x:c r="E24" s="86" t="n">
        <x:f>IF(WBS!I50="","",WBS!I50)</x:f>
        <x:v>46317</x:v>
      </x:c>
      <x:c r="F24" s="13" t="str">
        <x:f>WBS!L50</x:f>
        <x:v>이권욱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0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0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7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7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0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0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7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7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0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0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7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7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0" t="n">
        <x:f>IF(AND(ISNUMBER($D24),ISNUMBER($E24),AE$4&gt;=$D24,AE$4&lt;=$E24,WEEKDAY(AE$4,2)&lt;=5,COUNTIF('Sources &amp; Change Log'!$J$2:$J$5,AE$4)=0,COUNTIFS('Team Calendar'!$A$5:$A$12,$F24,'Team Calendar'!$C$5:$C$12,AE$4)=0),1,"")</x:f>
        <x:v>1</x:v>
      </x:c>
      <x:c r="AF24" s="100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7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7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WBS!A51</x:f>
        <x:v>MS-G6-01</x:v>
      </x:c>
      <x:c r="B25" s="13" t="str">
        <x:f>WBS!B51</x:f>
        <x:v>G6 Hybrid Integration Ready</x:v>
      </x:c>
      <x:c r="C25" s="13" t="str">
        <x:f>WBS!G51</x:f>
        <x:v>To Do</x:v>
      </x:c>
      <x:c r="D25" s="86" t="n">
        <x:f>IF(WBS!H51="","",WBS!H51)</x:f>
        <x:v>46317</x:v>
      </x:c>
      <x:c r="E25" s="86" t="n">
        <x:f>IF(WBS!I51="","",WBS!I51)</x:f>
        <x:v>46317</x:v>
      </x:c>
      <x:c r="F25" s="13" t="str">
        <x:f>WBS!L51</x:f>
        <x:v>이권욱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0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0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7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7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0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0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7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7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0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0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7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7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0" t="n">
        <x:f>IF(AND(ISNUMBER($D25),ISNUMBER($E25),AE$4&gt;=$D25,AE$4&lt;=$E25,WEEKDAY(AE$4,2)&lt;=5,COUNTIF('Sources &amp; Change Log'!$J$2:$J$5,AE$4)=0,COUNTIFS('Team Calendar'!$A$5:$A$12,$F25,'Team Calendar'!$C$5:$C$12,AE$4)=0),1,"")</x:f>
        <x:v>1</x:v>
      </x:c>
      <x:c r="AF25" s="100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7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7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WBS!A52</x:f>
        <x:v>MS-DELIVERABLE-FREEZE-01</x:v>
      </x:c>
      <x:c r="B26" s="13" t="str">
        <x:f>WBS!B52</x:f>
        <x:v>Deliverable Freeze</x:v>
      </x:c>
      <x:c r="C26" s="13" t="str">
        <x:f>WBS!G52</x:f>
        <x:v>To Do</x:v>
      </x:c>
      <x:c r="D26" s="86" t="n">
        <x:f>IF(WBS!H52="","",WBS!H52)</x:f>
        <x:v>46318</x:v>
      </x:c>
      <x:c r="E26" s="86" t="n">
        <x:f>IF(WBS!I52="","",WBS!I52)</x:f>
        <x:v>46318</x:v>
      </x:c>
      <x:c r="F26" s="13" t="str">
        <x:f>WBS!L52</x:f>
        <x:v>이권욱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0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0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7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7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0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0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7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7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0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0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7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7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0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0" t="n">
        <x:f>IF(AND(ISNUMBER($D26),ISNUMBER($E26),AF$4&gt;=$D26,AF$4&lt;=$E26,WEEKDAY(AF$4,2)&lt;=5,COUNTIF('Sources &amp; Change Log'!$J$2:$J$5,AF$4)=0,COUNTIFS('Team Calendar'!$A$5:$A$12,$F26,'Team Calendar'!$C$5:$C$12,AF$4)=0),1,"")</x:f>
        <x:v>1</x:v>
      </x:c>
      <x:c r="AG26" s="107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7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WBS!A53</x:f>
        <x:v>P2-REV-01</x:v>
      </x:c>
      <x:c r="B27" s="13" t="str">
        <x:f>WBS!B53</x:f>
        <x:v>Phase 2 Review / Project Close Execution</x:v>
      </x:c>
      <x:c r="C27" s="13" t="str">
        <x:f>WBS!G53</x:f>
        <x:v>To Do</x:v>
      </x:c>
      <x:c r="D27" s="86" t="n">
        <x:f>IF(WBS!H53="","",WBS!H53)</x:f>
        <x:v>46318</x:v>
      </x:c>
      <x:c r="E27" s="86" t="n">
        <x:f>IF(WBS!I53="","",WBS!I53)</x:f>
        <x:v>46321</x:v>
      </x:c>
      <x:c r="F27" s="13" t="str">
        <x:f>WBS!L53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0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0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7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7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0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0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7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7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str">
        <x:f>IF(AND(ISNUMBER($D27),ISNUMBER($E27),W$4&gt;=$D27,W$4&lt;=$E27,WEEKDAY(W$4,2)&lt;=5,COUNTIF('Sources &amp; Change Log'!$J$2:$J$5,W$4)=0,COUNTIFS('Team Calendar'!$A$5:$A$12,$F27,'Team Calendar'!$C$5:$C$12,W$4)=0),1,"")</x:f>
      </x:c>
      <x:c r="X27" s="100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0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7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7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0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0" t="n">
        <x:f>IF(AND(ISNUMBER($D27),ISNUMBER($E27),AF$4&gt;=$D27,AF$4&lt;=$E27,WEEKDAY(AF$4,2)&lt;=5,COUNTIF('Sources &amp; Change Log'!$J$2:$J$5,AF$4)=0,COUNTIFS('Team Calendar'!$A$5:$A$12,$F27,'Team Calendar'!$C$5:$C$12,AF$4)=0),1,"")</x:f>
        <x:v>1</x:v>
      </x:c>
      <x:c r="AG27" s="107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7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n">
        <x:f>IF(AND(ISNUMBER($D27),ISNUMBER($E27),AI$4&gt;=$D27,AI$4&lt;=$E27,WEEKDAY(AI$4,2)&lt;=5,COUNTIF('Sources &amp; Change Log'!$J$2:$J$5,AI$4)=0,COUNTIFS('Team Calendar'!$A$5:$A$12,$F27,'Team Calendar'!$C$5:$C$12,AI$4)=0),1,"")</x:f>
        <x:v>1</x:v>
      </x:c>
    </x:row>
    <x:row r="28" ht="24" customHeight="1">
      <x:c r="A28" s="13" t="str">
        <x:f>WBS!A54</x:f>
        <x:v>MS-P2-REVIEW-01</x:v>
      </x:c>
      <x:c r="B28" s="13" t="str">
        <x:f>WBS!B54</x:f>
        <x:v>Phase 2 Review</x:v>
      </x:c>
      <x:c r="C28" s="13" t="str">
        <x:f>WBS!G54</x:f>
        <x:v>To Do</x:v>
      </x:c>
      <x:c r="D28" s="86" t="n">
        <x:f>IF(WBS!H54="","",WBS!H54)</x:f>
        <x:v>46318</x:v>
      </x:c>
      <x:c r="E28" s="86" t="n">
        <x:f>IF(WBS!I54="","",WBS!I54)</x:f>
        <x:v>46318</x:v>
      </x:c>
      <x:c r="F28" s="13" t="str">
        <x:f>WBS!L54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0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0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7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7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0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0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7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7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0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0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7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7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0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0" t="n">
        <x:f>IF(AND(ISNUMBER($D28),ISNUMBER($E28),AF$4&gt;=$D28,AF$4&lt;=$E28,WEEKDAY(AF$4,2)&lt;=5,COUNTIF('Sources &amp; Change Log'!$J$2:$J$5,AF$4)=0,COUNTIFS('Team Calendar'!$A$5:$A$12,$F28,'Team Calendar'!$C$5:$C$12,AF$4)=0),1,"")</x:f>
        <x:v>1</x:v>
      </x:c>
      <x:c r="AG28" s="107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7" t="str">
        <x:f>IF(AND(ISNUMBER($D28),ISNUMBER($E28),AH$4&gt;=$D28,AH$4&lt;=$E28,WEEKDAY(AH$4,2)&lt;=5,COUNTIF('Sources &amp; Change Log'!$J$2:$J$5,AH$4)=0,COUNTIFS('Team Calendar'!$A$5:$A$12,$F28,'Team Calendar'!$C$5:$C$12,AH$4)=0),1,"")</x:f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WBS!A55</x:f>
        <x:v>MS-PROJECT-CLOSE-01</x:v>
      </x:c>
      <x:c r="B29" s="13" t="str">
        <x:f>WBS!B55</x:f>
        <x:v>Project Close</x:v>
      </x:c>
      <x:c r="C29" s="13" t="str">
        <x:f>WBS!G55</x:f>
        <x:v>To Do</x:v>
      </x:c>
      <x:c r="D29" s="86" t="n">
        <x:f>IF(WBS!H55="","",WBS!H55)</x:f>
        <x:v>46321</x:v>
      </x:c>
      <x:c r="E29" s="86" t="n">
        <x:f>IF(WBS!I55="","",WBS!I55)</x:f>
        <x:v>46321</x:v>
      </x:c>
      <x:c r="F29" s="13" t="str">
        <x:f>WBS!L55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0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0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7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7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0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0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7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7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0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0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7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7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0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0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7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7" t="str">
        <x:f>IF(AND(ISNUMBER($D29),ISNUMBER($E29),AH$4&gt;=$D29,AH$4&lt;=$E29,WEEKDAY(AH$4,2)&lt;=5,COUNTIF('Sources &amp; Change Log'!$J$2:$J$5,AH$4)=0,COUNTIFS('Team Calendar'!$A$5:$A$12,$F29,'Team Calendar'!$C$5:$C$12,AH$4)=0),1,"")</x:f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79" t="str">
        <x:v>FDS v3.1.18 · Milestones &amp; Decision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D-ARC-01·D-NET-01·D-WBS-01·D-SEC-01 승인과 정본 Evidence를 확인하고 G0 FULL PASS 기록 확보</x:v>
      </x:c>
      <x:c r="I4" s="13" t="str">
        <x:v>G0 Design Freeze FULL PASS (2026-09-01).</x:v>
      </x:c>
      <x:c r="J4" s="13" t="str">
        <x:v>Recorded; runtime scope remains separate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46282</x:v>
      </x:c>
      <x:c r="F5" s="19" t="n">
        <x:v>46282</x:v>
      </x:c>
      <x:c r="G5" s="13" t="str">
        <x:v>이권욱</x:v>
      </x:c>
      <x:c r="H5" s="13" t="str">
        <x:v>CentOS/containerd, Ansible Inventory/SSH/멱등성, 3CP+3Worker, API LB/Calico, Harbor/Runner/PostgreSQL, Node Connectivity와 Push/Pull 준비도 승인</x:v>
      </x:c>
      <x:c r="I5" s="13" t="str">
        <x:v>09-17 오후 조건부 인수 목표. 6대·API/LB·Calico·DB·Harbor·Runner 증적 미충족이면 PASS 불가. 실제 상태·완료 판정은 유지한다. 세부 배정: Fast Track Plan 시트.</x:v>
      </x:c>
      <x:c r="J5" s="13" t="str">
        <x:v>Review / evidence pending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46286</x:v>
      </x:c>
      <x:c r="F6" s="19" t="n">
        <x:v>46286</x:v>
      </x:c>
      <x:c r="G6" s="13" t="str">
        <x:v>이하영</x:v>
      </x:c>
      <x:c r="H6" s="13" t="str">
        <x:v>2-Service MSA, DB 저장, Security P0, CI/CD, Monitoring, Initial E2E/Negative Test/Worker Drain 준비도를 승인</x:v>
      </x:c>
      <x:c r="I6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J6" s="13" t="str">
        <x:v>Review / evidence pending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46287</x:v>
      </x:c>
      <x:c r="F7" s="19" t="n">
        <x:v>46287</x:v>
      </x:c>
      <x:c r="G7" s="13" t="str">
        <x:v>이권욱</x:v>
      </x:c>
      <x:c r="H7" s="13" t="str">
        <x:v>Final E2E/Regression, Worker Drain, PostgreSQL Restore, Critical Issue 0, Architecture/Test/Runbook 준비도를 승인</x:v>
      </x:c>
      <x:c r="I7" s="13" t="str">
        <x:v>09-22 오전 최종 회귀·Drain·Restore 증적·Critical Issue 0과 산출물 동결이 모두 충족될 때 인수한다. 실제 상태·완료 판정은 유지한다. 세부 배정: Fast Track Plan 시트.</x:v>
      </x:c>
      <x:c r="J7" s="13" t="str">
        <x:v>Review / evidence pending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46287</x:v>
      </x:c>
      <x:c r="F8" s="19" t="n">
        <x:v>46287</x:v>
      </x:c>
      <x:c r="G8" s="13" t="str">
        <x:v>이권욱</x:v>
      </x:c>
      <x:c r="H8" s="13" t="str">
        <x:v>승인된 일정에 Demo/산출물/G3/Known Issue Review를 수행하고 Action 및 승인결과를 기록</x:v>
      </x:c>
      <x:c r="I8" s="13" t="str">
        <x:v>기존 09-20 일요일 대신 09-22 화요일 오후. G3 통과와 참석자 확정이 필요하다. 실제 상태·완료 판정은 유지한다. 세부 배정: Fast Track Plan 시트.</x:v>
      </x:c>
      <x:c r="J8" s="13" t="str">
        <x:v>Review / evidence pending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Review Action 처리, P0 승인, P1/Known Issue Owner·Due 이관 및 Phase 1 Close Sign-off 확보</x:v>
      </x:c>
      <x:c r="I9" s="13" t="str">
        <x:v>09-24~09-25 비근무 전에 종결한다.</x:v>
      </x:c>
      <x:c r="J9" s="13" t="str">
        <x:v>Review / evidence pending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Phase 1 Close, Phase 2 계정·권한·일정·P0 범위·OCI Go/No-Go 계획을 확인하고 착수 승인</x:v>
      </x:c>
      <x:c r="I10" s="13" t="str">
        <x:v>09-24~09-25 비근무 후 첫 작업일에 착수한다.</x:v>
      </x:c>
      <x:c r="J10" s="13" t="str">
        <x:v>Review / evidence pending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Terraform 인프라, 승인 Transit/VPN, Route/Security, ROSA 선행조건 및 승인 TCP 경로 준비도 승인</x:v>
      </x:c>
      <x:c r="I11" s="13" t="str">
        <x:v>10-05 비근무를 반영한다. OCI No-Go 시 승인 Fallback 기준으로 판정한다.</x:v>
      </x:c>
      <x:c r="J11" s="13" t="str">
        <x:v>Review / evidence pending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ROSA Platform/Security, P2-CICD-01 Runner 기반 Delivery, transaction-api/fds-engine Health·Rule Smoke Test와 Registry/DNS/Operator Decision 상태 승인</x:v>
      </x:c>
      <x:c r="I12" s="13" t="str">
        <x:v>Registry는 D22, Hybrid DNS는 D23을 따른다. D23 미적용은 P0 IP Endpoint 사용 시 Non-blocker다.</x:v>
      </x:c>
      <x:c r="J12" s="13" t="str">
        <x:v>Review / evidence pending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Hybrid DB/Registry Integration, OADP 복구검증, Hybrid E2E/Regression, Critical Issue 0을 승인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Review / evidence pending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46318</x:v>
      </x:c>
      <x:c r="F14" s="19" t="n">
        <x:v>46318</x:v>
      </x:c>
      <x:c r="G14" s="13" t="str">
        <x:v>이권욱</x:v>
      </x:c>
      <x:c r="H14" s="13" t="str">
        <x:v>승인된 일정에 Hybrid Demo/산출물/G6/Known Issue/Cloud Resource Review를 수행하고 Action·승인결과를 기록</x:v>
      </x:c>
      <x:c r="I1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J14" s="13" t="str">
        <x:v>Review / evidence pending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Review Action, P0 승인, 후속 P1/Known Issue, Cloud Resource/Cost, Source/Deliverable 인계 및 Project Close Sign-off 확보</x:v>
      </x:c>
      <x:c r="I15" s="13" t="str">
        <x:v>D24가 Review를 10-26 이후로 이동시키면 Project Close도 Change Request 대상이다.</x:v>
      </x:c>
      <x:c r="J15" s="13" t="str">
        <x:v>Review / evidence pending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To Do</x:v>
      </x:c>
      <x:c r="E16" s="19" t="n">
        <x:v>46276</x:v>
      </x:c>
      <x:c r="F16" s="19" t="n">
        <x:v>46276</x:v>
      </x:c>
      <x:c r="G16" s="13" t="str">
        <x:v>이권욱</x:v>
      </x:c>
      <x:c r="H16" s="13" t="str">
        <x:v>09-20 일요일 Review 유지 또는 영업일 재배치, 참석자·승인권자·시간·대체일을 확정하고 WBS/Calendar 동기화</x:v>
      </x:c>
      <x:c r="I16" s="13" t="str">
        <x:v>교육장 주말 작업 불가를 반영해 Review 09-22 오후를 권장한다. 참석자·승인자는 아직 확정하지 않으며 To Do를 유지한다. 실제 상태·완료 판정은 유지한다. 세부 배정: Fast Track Plan 시트.</x:v>
      </x:c>
      <x:c r="J16" s="13" t="str">
        <x:v>Review / evidence pending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46317</x:v>
      </x:c>
      <x:c r="G17" s="13" t="str">
        <x:v>이권욱</x:v>
      </x:c>
      <x:c r="H17" s="13" t="str">
        <x:v>10-24 토요일 Review 유지 또는 영업일 재배치, 참석자·승인권자·시간·Project Close 영향도를 확정하고 WBS 동기화</x:v>
      </x:c>
      <x:c r="I17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J17" s="13" t="str">
        <x:v>Review / evidence pending</x:v>
      </x:c>
    </x:row>
    <x:row r="18">
      <x:c r="A18" s="13" t="str">
        <x:v>ICR-D-NET-01-01</x:v>
      </x:c>
      <x:c r="B18" s="13" t="str">
        <x:v>Kubernetes Node Host Firewall /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 t="n">
        <x:v>46286</x:v>
      </x:c>
      <x:c r="G18" s="13" t="str">
        <x:v>이권욱</x:v>
      </x:c>
      <x:c r="H18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I18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J18" s="13" t="str">
        <x:v>Review / evidence pending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v3.1.17 RELEASED 2026-09-07</x:v>
      </x:c>
    </x:row>
    <x:row r="21" ht="42" customHeight="1">
      <x:c r="A21" s="67" t="str">
        <x:v>CAL-HY-20260908</x:v>
      </x:c>
      <x:c r="B21" s="67" t="str">
        <x:v>이하영 면접 휴가</x:v>
      </x:c>
      <x:c r="C21" s="67" t="str">
        <x:v>Calendar Control</x:v>
      </x:c>
      <x:c r="D21" s="68" t="str">
        <x:v>Approved</x:v>
      </x:c>
      <x:c r="E21" s="68" t="n">
        <x:v>46273</x:v>
      </x:c>
      <x:c r="F21" s="68" t="n">
        <x:v>46273</x:v>
      </x:c>
      <x:c r="G21" s="67" t="str">
        <x:v>이하영</x:v>
      </x:c>
      <x:c r="H21" s="67" t="str">
        <x:v>개인 휴가를 작업일에서 제외</x:v>
      </x:c>
      <x:c r="I21" s="67" t="str">
        <x:v>기존 일정 / Gate 날짜 유지</x:v>
      </x:c>
      <x:c r="J21" s="67" t="str">
        <x:v>User instruction 2026-09-08</x:v>
      </x:c>
    </x:row>
    <x:row r="22" ht="52" customHeight="1">
      <x:c r="A22" s="67" t="str">
        <x:v>CR-P1-ANS-01-01</x:v>
      </x:c>
      <x:c r="B22" s="67" t="str">
        <x:v>Ansible Kubernetes Node DNS Resolver 변경</x:v>
      </x:c>
      <x:c r="C22" s="67" t="str">
        <x:v>Change Request</x:v>
      </x:c>
      <x:c r="D22" s="67" t="str">
        <x:v>Done</x:v>
      </x:c>
      <x:c r="E22" s="68" t="n">
        <x:v>46269</x:v>
      </x:c>
      <x:c r="F22" s="68" t="n">
        <x:v>46272</x:v>
      </x:c>
      <x:c r="G22" s="67" t="str">
        <x:v>이권욱</x:v>
      </x:c>
      <x:c r="H22" s="67" t="str">
        <x:v>Kubernetes 6개 Node의 DNS 전환, 검색 도메인·API FQDN/Short Name·외부 DNS·직접 질의·서비스 회귀·멱등성·Rollback·Evidence 무결성 및 Support Review 완료</x:v>
      </x:c>
      <x:c r="I22" s="67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J22" s="67" t="str">
        <x:v>Recorded; runtime scope remains separate</x:v>
      </x:c>
    </x:row>
    <x:row r="23" ht="58" customHeight="1">
      <x:c r="A23" s="83" t="str">
        <x:v>DEC-P1-FDS-01</x:v>
      </x:c>
      <x:c r="B23" s="83" t="str">
        <x:v>거래 보류 도입 범위·판정·평가 실패·Gate 편입 결정</x:v>
      </x:c>
      <x:c r="C23" s="83" t="str">
        <x:v>Decision</x:v>
      </x:c>
      <x:c r="D23" s="83" t="str">
        <x:v>Done</x:v>
      </x:c>
      <x:c r="E23" s="84" t="n">
        <x:v>46273</x:v>
      </x:c>
      <x:c r="F23" s="84" t="n">
        <x:v>46274</x:v>
      </x:c>
      <x:c r="G23" s="83" t="str">
        <x:v>이재환</x:v>
      </x:c>
      <x:c r="H23" s="83" t="str">
        <x:v>현행 탐지·기록 유지, 신규 보류·운영 기능 미도입, 실패 정책·계약 소유권, G2 영향 없음 및 후속 검증·재검토 조건 기록</x:v>
      </x:c>
      <x:c r="I23" s="83" t="str">
        <x:v>현행 유지·신규 기능 확대 유예 결정 Done. 본 v3.1.18 후보에 통합하며 발행 전 운영 정본은 v3.1.17이다. 신규 기능 G2 편입·Runtime 승인은 아니다.</x:v>
      </x:c>
      <x:c r="J23" s="83" t="str">
        <x:v>Recorded; runtime scope remains separate</x:v>
      </x:c>
    </x:row>
    <x:row r="24" ht="58" customHeight="1">
      <x:c r="A24" s="83" t="str">
        <x:v>DEC-P1-TXN-01</x:v>
      </x:c>
      <x:c r="B24" s="83" t="str">
        <x:v>거래 상태·API 응답·재시도·데이터 정합성 계약 결정</x:v>
      </x:c>
      <x:c r="C24" s="83" t="str">
        <x:v>Decision</x:v>
      </x:c>
      <x:c r="D24" s="83" t="str">
        <x:v>Done</x:v>
      </x:c>
      <x:c r="E24" s="84" t="n">
        <x:v>46273</x:v>
      </x:c>
      <x:c r="F24" s="84" t="n">
        <x:v>46274</x:v>
      </x:c>
      <x:c r="G24" s="83" t="str">
        <x:v>이재환</x:v>
      </x:c>
      <x:c r="H24" s="83" t="str">
        <x:v>기존 계약 유지 선택, 신규 상태/API·Migration 변경 유예, #4/#6과 정책·표현 소유권 및 기존 구현 정합성 후속 기록</x:v>
      </x:c>
      <x:c r="I24" s="83" t="str">
        <x:v>현행 유지·신규 기능 확대 유예 결정 Done. 본 v3.1.18 후보에 통합하며 발행 전 운영 정본은 v3.1.17이다. 신규 기능 G2 편입·Runtime 승인은 아니다.</x:v>
      </x:c>
      <x:c r="J24" s="83" t="str">
        <x:v>Recorded; runtime scope remains separate</x:v>
      </x:c>
    </x:row>
    <x:row r="25" ht="58" customHeight="1">
      <x:c r="A25" s="83" t="str">
        <x:v>DEC-P1-ADMIN-01</x:v>
      </x:c>
      <x:c r="B25" s="83" t="str">
        <x:v>보안 시연 범위·테스트 전제·조건부 운영 통제 결정</x:v>
      </x:c>
      <x:c r="C25" s="83" t="str">
        <x:v>Decision</x:v>
      </x:c>
      <x:c r="D25" s="83" t="str">
        <x:v>Done</x:v>
      </x:c>
      <x:c r="E25" s="84" t="n">
        <x:v>46273</x:v>
      </x:c>
      <x:c r="F25" s="84" t="n">
        <x:v>46274</x:v>
      </x:c>
      <x:c r="G25" s="83" t="str">
        <x:v>이하영</x:v>
      </x:c>
      <x:c r="H25" s="83" t="str">
        <x:v>프론트엔드 배치 제외, 합성 데이터·최소 노출 원칙, 5개 검토 축 적용/유예, 기존 접근 통제 재사용 및 후속 시나리오 인계 기록</x:v>
      </x:c>
      <x:c r="I25" s="83" t="str">
        <x:v>현행 유지·신규 기능 확대 유예 결정 Done. 본 v3.1.18 후보에 통합하며 발행 전 운영 정본은 v3.1.17이다. 신규 기능 G2 편입·Runtime 승인은 아니다.</x:v>
      </x:c>
      <x:c r="J25" s="83" t="str">
        <x:v>Recorded; runtime scope remains separate</x:v>
      </x:c>
    </x:row>
    <x:row r="26" ht="58" customHeight="1">
      <x:c r="A26" s="83" t="str">
        <x:v>D-SEC-01</x:v>
      </x:c>
      <x:c r="B26" s="83" t="str">
        <x:v>Security Design Scope / Approval Review</x:v>
      </x:c>
      <x:c r="C26" s="83" t="str">
        <x:v>Decision</x:v>
      </x:c>
      <x:c r="D26" s="83" t="str">
        <x:v>Done</x:v>
      </x:c>
      <x:c r="E26" s="84" t="n">
        <x:v>46260</x:v>
      </x:c>
      <x:c r="F26" s="84" t="n">
        <x:v>46266</x:v>
      </x:c>
      <x:c r="G26" s="83" t="str">
        <x:v>이하영</x:v>
      </x:c>
      <x:c r="H26" s="83" t="str">
        <x:v>승인권자 지정, D-SEC-01 검토 범위·산출물·Exit Criteria 승인, P1-SEC-01과의 경계 승인, 요구사항과 검증 증적 연결 후 Done 판정</x:v>
      </x:c>
      <x:c r="I26" s="83" t="str">
        <x:v>v3.1.14 최종 승인·정본 반영 완료. 구현은 P1-SEC-01로 이관.</x:v>
      </x:c>
      <x:c r="J26" s="83" t="str">
        <x:v>Recorded; runtime scope remains separate</x:v>
      </x:c>
    </x:row>
    <x:row r="27" ht="58" customHeight="1">
      <x:c r="A27" s="83" t="str">
        <x:v>P2-OCI-01</x:v>
      </x:c>
      <x:c r="B27" s="83" t="str">
        <x:v>OCI Relay Go / No-Go</x:v>
      </x:c>
      <x:c r="C27" s="83" t="str">
        <x:v>Decision</x:v>
      </x:c>
      <x:c r="D27" s="83" t="str">
        <x:v>To Do</x:v>
      </x:c>
      <x:c r="E27" s="84" t="n">
        <x:v>46293</x:v>
      </x:c>
      <x:c r="F27" s="84" t="n">
        <x:v>46297</x:v>
      </x:c>
      <x:c r="G27" s="83" t="str">
        <x:v>이권욱</x:v>
      </x:c>
      <x:c r="H27" s="83" t="str">
        <x:v>OCI Relay 가능성·권한·Public Endpoint·IPsec/NAT-T·Route를 검증하고 Primary 또는 승인 Fallback 경로를 선택</x:v>
      </x:c>
      <x:c r="I27" s="83" t="str">
        <x:v>10-02 Go/No-Go를 넘기지 않는다. No-Go 시 Vendor Endpoint→AWS EC2+EIP Relay→Overlay 순으로 승인된 Fallback을 선택한다.</x:v>
      </x:c>
      <x:c r="J27" s="83" t="str">
        <x:v>Review / evidence pending</x:v>
      </x:c>
    </x:row>
    <x:row r="28" ht="58" customHeight="1">
      <x:c r="A28" s="83" t="str">
        <x:v>DEC-P2-DNS-01</x:v>
      </x:c>
      <x:c r="B28" s="83" t="str">
        <x:v>Hybrid DNS Scope Decision</x:v>
      </x:c>
      <x:c r="C28" s="83" t="str">
        <x:v>Decision</x:v>
      </x:c>
      <x:c r="D28" s="83" t="str">
        <x:v>To Do</x:v>
      </x:c>
      <x:c r="E28" s="84" t="n">
        <x:v>46307</x:v>
      </x:c>
      <x:c r="F28" s="84" t="n">
        <x:v>46311</x:v>
      </x:c>
      <x:c r="G28" s="83" t="str">
        <x:v>이권욱</x:v>
      </x:c>
      <x:c r="H28" s="83" t="str">
        <x:v>P0 IP Endpoint 유지 또는 Hybrid DNS P1 적용을 확정하고 Resolver/Forwarding/Zone/Route/테스트·Cancelled 결정 근거를 승인</x:v>
      </x:c>
      <x:c r="I28" s="83" t="str">
        <x:v>Hybrid P0 E2E는 IP Endpoint를 허용하므로 본 P1 결정 미완료가 G5/G6를 자동 차단하지 않는다.</x:v>
      </x:c>
      <x:c r="J28" s="83" t="str">
        <x:v>Review / evidence pending</x:v>
      </x:c>
    </x:row>
    <x:row r="29" ht="58" customHeight="1">
      <x:c r="A29" s="83" t="str">
        <x:v>DEC-P2-OP-01</x:v>
      </x:c>
      <x:c r="B29" s="83" t="str">
        <x:v>Operator Supply Chain Scope Decision</x:v>
      </x:c>
      <x:c r="C29" s="83" t="str">
        <x:v>Decision</x:v>
      </x:c>
      <x:c r="D29" s="83" t="str">
        <x:v>To Do</x:v>
      </x:c>
      <x:c r="E29" s="84" t="n">
        <x:v>46307</x:v>
      </x:c>
      <x:c r="F29" s="84" t="n">
        <x:v>46311</x:v>
      </x:c>
      <x:c r="G29" s="83" t="str">
        <x:v>이하영</x:v>
      </x:c>
      <x:c r="H29" s="83" t="str">
        <x:v>ROSA Operator 공급망을 Direct Catalog 또는 oc-mirror/Harbor/Custom CatalogSource 중 하나로 결정하고 구현·N/A 기준 승인</x:v>
      </x:c>
      <x:c r="I29" s="83" t="str">
        <x:v>D26에서 Direct Catalog 선택 시 P2-OP-01은 Cancelled 처리하고, Mirror 선택 시 P2-OP-01을 활성화한다.</x:v>
      </x:c>
      <x:c r="J29" s="83" t="str">
        <x:v>Review / evidence pending</x:v>
      </x:c>
    </x:row>
    <x:row r="30" ht="58" customHeight="1">
      <x:c r="A30" s="83" t="str">
        <x:v>DEC-P2-REG-01</x:v>
      </x:c>
      <x:c r="B30" s="83" t="str">
        <x:v>ROSA Image Registry Source Decision</x:v>
      </x:c>
      <x:c r="C30" s="83" t="str">
        <x:v>Decision</x:v>
      </x:c>
      <x:c r="D30" s="83" t="str">
        <x:v>To Do</x:v>
      </x:c>
      <x:c r="E30" s="84" t="n">
        <x:v>46307</x:v>
      </x:c>
      <x:c r="F30" s="84" t="n">
        <x:v>46311</x:v>
      </x:c>
      <x:c r="G30" s="83" t="str">
        <x:v>이하영</x:v>
      </x:c>
      <x:c r="H30" s="83" t="str">
        <x:v>ROSA Image Source를 On-Prem Harbor 또는 승인 Cloud Registry로 확정하고 Route·TLS·Credential·비용·Fallback을 승인</x:v>
      </x:c>
      <x:c r="I30" s="83" t="str">
        <x:v>기준선의 ROSA→Harbor는 Optional이다. P2-APP-01 최종 Image 경로 전 10-16까지 확정한다.</x:v>
      </x:c>
      <x:c r="J30" s="83" t="str">
        <x:v>Review / evidence pending</x:v>
      </x:c>
    </x:row>
    <x:row r="31" ht="58" customHeight="1">
      <x:c r="A31" s="83" t="str">
        <x:v>MS-DELIVERABLE-FREEZE-01</x:v>
      </x:c>
      <x:c r="B31" s="83" t="str">
        <x:v>Deliverable Freeze</x:v>
      </x:c>
      <x:c r="C31" s="83" t="str">
        <x:v>Milestone</x:v>
      </x:c>
      <x:c r="D31" s="83" t="str">
        <x:v>To Do</x:v>
      </x:c>
      <x:c r="E31" s="84" t="n">
        <x:v>46318</x:v>
      </x:c>
      <x:c r="F31" s="84" t="n">
        <x:v>46318</x:v>
      </x:c>
      <x:c r="G31" s="83" t="str">
        <x:v>이권욱</x:v>
      </x:c>
      <x:c r="H31" s="83" t="str">
        <x:v>Architecture/IaC/Test/Runbook/Evidence/Decision/Known Issue의 최종 Version과 변경금지를 승인</x:v>
      </x:c>
      <x:c r="I31" s="83" t="str">
        <x:v>Freeze 이후 변경은 Review Action 또는 Change Request로만 허용한다.</x:v>
      </x:c>
      <x:c r="J31" s="83" t="str">
        <x:v>Review / evidence pending</x:v>
      </x:c>
    </x:row>
    <x:row r="32" ht="44" customHeight="1">
      <x:c r="A32" s="67" t="str">
        <x:v>CAL-HY-20260910</x:v>
      </x:c>
      <x:c r="B32" s="67" t="str">
        <x:v>이하영 면접 휴가</x:v>
      </x:c>
      <x:c r="C32" s="67" t="str">
        <x:v>Calendar Control</x:v>
      </x:c>
      <x:c r="D32" s="67" t="str">
        <x:v>Approved</x:v>
      </x:c>
      <x:c r="E32" s="68" t="n">
        <x:v>46275</x:v>
      </x:c>
      <x:c r="F32" s="68" t="n">
        <x:v>46275</x:v>
      </x:c>
      <x:c r="G32" s="67" t="str">
        <x:v>이하영</x:v>
      </x:c>
      <x:c r="H32" s="67" t="str">
        <x:v>개인 휴가를 가용일에서 제외</x:v>
      </x:c>
      <x:c r="I32" s="67" t="str">
        <x:v>09-08 유지 / 계획일·Gate 이동 없음</x:v>
      </x:c>
      <x:c r="J32" s="67" t="str">
        <x:v>User instruction 2026-09-10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79" t="str">
        <x:v>FDS v3.1.18 · Risks, Assumptions &amp; Lead Decisions (CANDIDATE)</x:v>
      </x:c>
      <x:c r="B1" s="79"/>
      <x:c r="C1" s="79"/>
      <x:c r="D1" s="79"/>
      <x:c r="E1" s="79"/>
      <x:c r="F1" s="79"/>
      <x:c r="G1" s="79"/>
      <x:c r="H1" s="79"/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Weekend classroom unavailable; reviews moved to weekdays</x:v>
      </x:c>
      <x:c r="C8" s="13" t="str">
        <x:v>Attendance and close-date risk</x:v>
      </x:c>
      <x:c r="D8" s="13" t="str">
        <x:v>Schedule proposal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absent 09-14–17; handoff due 09-11</x:v>
      </x:c>
      <x:c r="C9" s="13" t="str">
        <x:v>P1-DB/G1/APP/MON 및 HA/DR/E2E ownership conflict</x:v>
      </x:c>
      <x:c r="D9" s="13" t="str">
        <x:v>Open / critical dependency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leave 09-08 / 09-10; review capacity constraint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79" t="str">
        <x:v>FDS v3.1.18 · Sources &amp; Change Log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 candidate</x:v>
      </x:c>
      <x:c r="B4" s="13" t="str">
        <x:v>FDS_Project_Implementation_Baseline_v3.1.18.md</x:v>
      </x:c>
      <x:c r="C4" s="13" t="str">
        <x:v>v3.1.18</x:v>
      </x:c>
      <x:c r="D4" s="13" t="str">
        <x:v>2026-09-10</x:v>
      </x:c>
      <x:c r="E4" s="13" t="str">
        <x:v>Current candidate scope / release review pending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 candidate</x:v>
      </x:c>
      <x:c r="B5" s="13" t="str">
        <x:v>FDS_v3.1.18_Canonical_Ticket_Update_Pack_v1.0.md</x:v>
      </x:c>
      <x:c r="C5" s="13" t="str">
        <x:v>v3.1.18</x:v>
      </x:c>
      <x:c r="D5" s="13" t="str">
        <x:v>2026-09-10</x:v>
      </x:c>
      <x:c r="E5" s="13" t="str">
        <x:v>64 records; 55 planning + 9 historical closed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v3.1.17 RELEASED 2026-09-07; historical control retained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  <x:row r="14" ht="42" customHeight="1">
      <x:c r="A14" s="67" t="str">
        <x:v>Canonical Candidate</x:v>
      </x:c>
      <x:c r="B14" s="67" t="str">
        <x:v>CR-P1-ANS-01-01 / infra-ansible PR #1</x:v>
      </x:c>
      <x:c r="C14" s="67" t="str">
        <x:v>2026-09-07</x:v>
      </x:c>
      <x:c r="D14" s="67" t="str">
        <x:v>완료 CR 정본 동기화</x:v>
      </x:c>
      <x:c r="E14" s="67" t="str">
        <x:v>Acceptance Criteria 11/11 PASS; Support Review 및 수동 병합 완료</x:v>
      </x:c>
      <x:c r="F14" s="67" t="str">
        <x:v>507d8882a04f53640b07251bcc234b7d6ee81c09</x:v>
      </x:c>
      <x:c r="G14" s="67" t="str">
        <x:v>Merge Commit</x:v>
      </x:c>
      <x:c r="H14" s="67" t="str">
        <x:v>4f9bdb7c08704eebb3d1b294751e51b0721b6af4</x:v>
      </x:c>
      <x:c r="I14" s="67" t="str">
        <x:v>CI</x:v>
      </x:c>
      <x:c r="J14" s="67" t="str">
        <x:v>NOT RUN</x:v>
      </x:c>
    </x:row>
    <x:row r="15" ht="58" customHeight="1">
      <x:c r="A15" s="83" t="str">
        <x:v>Issue snapshot</x:v>
      </x:c>
      <x:c r="B15" s="83" t="str">
        <x:v>tickets/v3.1.18/source-snapshot.json</x:v>
      </x:c>
      <x:c r="C15" s="83" t="str">
        <x:v>2026-09-10</x:v>
      </x:c>
      <x:c r="D15" s="83" t="str">
        <x:v>Read-only capture</x:v>
      </x:c>
      <x:c r="E15" s="83" t="str">
        <x:v>Owner reports distinguished from independent evidence</x:v>
      </x:c>
    </x:row>
    <x:row r="16" ht="58" customHeight="1">
      <x:c r="A16" s="83" t="str">
        <x:v>CR merge</x:v>
      </x:c>
      <x:c r="B16" s="83" t="str">
        <x:v>https://github.com/321Team/infra-ansible/pull/1</x:v>
      </x:c>
      <x:c r="C16" s="83" t="str">
        <x:v>4f9bdb7c08704eebb3d1b294751e51b0721b6af4</x:v>
      </x:c>
      <x:c r="D16" s="83" t="str">
        <x:v>Done 2026-09-07</x:v>
      </x:c>
      <x:c r="E16" s="83" t="str">
        <x:v>DNS resolver CR; not Bootstrap approval</x:v>
      </x:c>
    </x:row>
    <x:row r="17" ht="58" customHeight="1">
      <x:c r="A17" s="83" t="str">
        <x:v>Follow-up merge</x:v>
      </x:c>
      <x:c r="B17" s="83" t="str">
        <x:v>https://github.com/321Team/infra-ansible/pull/3</x:v>
      </x:c>
      <x:c r="C17" s="83" t="str">
        <x:v>5cbf3b657014b32a20cb5816d90d3ea5fe4951ab</x:v>
      </x:c>
      <x:c r="D17" s="83" t="str">
        <x:v>Merged</x:v>
      </x:c>
      <x:c r="E17" s="83" t="str">
        <x:v>Gate 0 code; runtime separate</x:v>
      </x:c>
    </x:row>
    <x:row r="18" ht="58" customHeight="1">
      <x:c r="A18" s="83" t="str">
        <x:v>Follow-up merge</x:v>
      </x:c>
      <x:c r="B18" s="83" t="str">
        <x:v>https://github.com/321Team/infra-ansible/pull/4</x:v>
      </x:c>
      <x:c r="C18" s="83" t="str">
        <x:v>3a02dc8934adb1f80df48ec6763689c401a1e8d6</x:v>
      </x:c>
      <x:c r="D18" s="83" t="str">
        <x:v>Merged</x:v>
      </x:c>
      <x:c r="E18" s="83" t="str">
        <x:v>SSH count guard + issue #10 operational closure</x:v>
      </x:c>
    </x:row>
    <x:row r="19" ht="58" customHeight="1">
      <x:c r="A19" s="83" t="str">
        <x:v>Evidence merge</x:v>
      </x:c>
      <x:c r="B19" s="83" t="str">
        <x:v>https://github.com/321Team/fds-project-evidence/pull/2</x:v>
      </x:c>
      <x:c r="C19" s="83" t="str">
        <x:v>36a65c64763077eabe680b81827b1c4dc6ad3fc5</x:v>
      </x:c>
      <x:c r="D19" s="83" t="str">
        <x:v>Merged</x:v>
      </x:c>
      <x:c r="E19" s="83" t="str">
        <x:v>DB evidence merge; deployed app verification incomplete</x:v>
      </x:c>
    </x:row>
    <x:row r="20" ht="58" customHeight="1">
      <x:c r="A20" s="83" t="str">
        <x:v>Working days</x:v>
      </x:c>
      <x:c r="B20" s="83" t="str">
        <x:v>Team Calendar!A5:F12</x:v>
      </x:c>
      <x:c r="C20" s="83" t="str">
        <x:v>2026-09-10</x:v>
      </x:c>
      <x:c r="D20" s="83" t="str">
        <x:v>Corrected range</x:v>
      </x:c>
      <x:c r="E20" s="83" t="str">
        <x:v>HY 09-08/09-10. Old SEC window 4 days; proposed 09-21 window 10 days.</x:v>
      </x:c>
    </x:row>
    <x:row r="21" ht="58" customHeight="1">
      <x:c r="A21" s="83" t="str">
        <x:v>Candidate delta</x:v>
      </x:c>
      <x:c r="B21" s="83" t="str">
        <x:v>audit/v3.1.18/property-delta.json</x:v>
      </x:c>
      <x:c r="C21" s="83" t="str">
        <x:v>v3.1.18</x:v>
      </x:c>
      <x:c r="D21" s="83" t="str">
        <x:v>No Issue write</x:v>
      </x:c>
      <x:c r="E21" s="83" t="str">
        <x:v>Description refresh must precede fresh metadata map / plan</x:v>
      </x:c>
    </x:row>
    <x:row r="22" ht="58" customHeight="1">
      <x:c r="A22" s="83" t="str">
        <x:v>Planning count</x:v>
      </x:c>
      <x:c r="B22" s="83" t="str">
        <x:v>WBS!A4:A58</x:v>
      </x:c>
      <x:c r="C22" s="83" t="str">
        <x:v>55</x:v>
      </x:c>
      <x:c r="D22" s="83" t="str">
        <x:v>52 + 3 decisions</x:v>
      </x:c>
      <x:c r="E22" s="83" t="str">
        <x:v>Historic closed 9 retained in Ticket Pack, excluded from backlog</x:v>
      </x:c>
    </x:row>
    <x:row r="23" ht="58" customHeight="1">
      <x:c r="A23" s="67" t="str">
        <x:v>Calendar addition</x:v>
      </x:c>
      <x:c r="B23" s="67" t="str">
        <x:v>사용자 지시: 이하영 2026-09-10 면접 휴가</x:v>
      </x:c>
      <x:c r="C23" s="67" t="str">
        <x:v>2026-09-10</x:v>
      </x:c>
      <x:c r="D23" s="67" t="str">
        <x:v>Personal absence</x:v>
      </x:c>
      <x:c r="E23" s="67" t="str">
        <x:v>09-08 유지, P1-SEC 5→4, ICR End TBD</x:v>
      </x:c>
    </x:row>
    <x:row r="24" ht="58" customHeight="1">
      <x:c r="A24" s="67" t="str">
        <x:v>ICR follow-up</x:v>
      </x:c>
      <x:c r="B24" s="67" t="str">
        <x:v>https://github.com/321Team/infra-kubernetes/pull/3</x:v>
      </x:c>
      <x:c r="C24" s="67" t="str">
        <x:v>7d44afc3afff4d322cb4dbeff4433d61e23e111a</x:v>
      </x:c>
      <x:c r="D24" s="67" t="str">
        <x:v>Merged; supplement PASS</x:v>
      </x:c>
      <x:c r="E24" s="67" t="str">
        <x:v>24/24 queries; time, kubelet cause and Cockpit mask verified. Runtime pending.</x:v>
      </x:c>
    </x:row>
    <x:row r="25" ht="58" customHeight="1">
      <x:c r="A25" s="67" t="str">
        <x:v>Runtime plans</x:v>
      </x:c>
      <x:c r="B25" s="67" t="str">
        <x:v>https://github.com/321Team/infra-kubernetes/pull/4</x:v>
      </x:c>
      <x:c r="C25" s="67" t="str">
        <x:v>PR #2 097ddb5 / #4 75d476e</x:v>
      </x:c>
      <x:c r="D25" s="67" t="str">
        <x:v>New HEAD review pending</x:v>
      </x:c>
      <x:c r="E25" s="67" t="str">
        <x:v>PR #2: onsite mock 37/37, inspect 115. PR #4: local mock 74. Runtime not verified.</x:v>
      </x:c>
    </x:row>
    <x:row r="26" ht="58" customHeight="1">
      <x:c r="A26" s="67" t="str">
        <x:v>K8S intake</x:v>
      </x:c>
      <x:c r="B26" s="67" t="str">
        <x:v>audit/v3.1.18/k8s-intake-20260910.json</x:v>
      </x:c>
      <x:c r="C26" s="67" t="str">
        <x:v>2026-09-10</x:v>
      </x:c>
      <x:c r="D26" s="67" t="str">
        <x:v>Issues #10 / #14 / #19</x:v>
      </x:c>
      <x:c r="E26" s="67" t="str">
        <x:v>Original snapshots preserved; NTP, CP2 resume, final host protection and storage pending.</x:v>
      </x:c>
    </x:row>
    <x:row r="27" ht="52" customHeight="1">
      <x:c r="A27" s="67" t="str">
        <x:v>Schedule proposal</x:v>
      </x:c>
      <x:c r="B27" s="67" t="str">
        <x:v>audit/v3.1.18/fast-track-plan.json</x:v>
      </x:c>
      <x:c r="C27" s="67" t="str">
        <x:v>2026-09-10</x:v>
      </x:c>
      <x:c r="D27" s="67" t="str">
        <x:v>User request</x:v>
      </x:c>
      <x:c r="E27" s="67" t="str">
        <x:v>Fast Tracking recommendation; actual remaining effort unmeasured</x:v>
      </x:c>
    </x:row>
    <x:row r="28" ht="52" customHeight="1">
      <x:c r="A28" s="67" t="str">
        <x:v>Calendar constraint</x:v>
      </x:c>
      <x:c r="B28" s="67" t="str">
        <x:v>주말 교육장 이용 불가 / 주말반 유입</x:v>
      </x:c>
      <x:c r="C28" s="67" t="str">
        <x:v>2026-09-10</x:v>
      </x:c>
      <x:c r="D28" s="67" t="str">
        <x:v>User input</x:v>
      </x:c>
      <x:c r="E28" s="67" t="str">
        <x:v>No weekend/absence/after-hours capacity assumed</x:v>
      </x:c>
    </x:row>
    <x:row r="29" ht="52" customHeight="1">
      <x:c r="A29" s="67" t="str">
        <x:v>Resource plan</x:v>
      </x:c>
      <x:c r="B29" s="67" t="str">
        <x:v>Fast Track Plan</x:v>
      </x:c>
      <x:c r="C29" s="67" t="str">
        <x:v>23 person-days</x:v>
      </x:c>
      <x:c r="D29" s="67" t="str">
        <x:v>AM / PM</x:v>
      </x:c>
      <x:c r="E29" s="67" t="str">
        <x:v>21.5 planned + 1.5 buffer; no person double-booked</x:v>
      </x:c>
    </x:row>
    <x:row r="30" ht="52" customHeight="1">
      <x:c r="A30" s="67" t="str">
        <x:v>Review calendar</x:v>
      </x:c>
      <x:c r="B30" s="67" t="str">
        <x:v>DEC-CAL-P1-01 / DEC-CAL-P2-01</x:v>
      </x:c>
      <x:c r="C30" s="67" t="str">
        <x:v>Recommendation</x:v>
      </x:c>
      <x:c r="D30" s="67" t="str">
        <x:v>Not approved</x:v>
      </x:c>
      <x:c r="E30" s="67" t="str">
        <x:v>P1 09-22 PM, P2 10-23 PM; attendance still to confirm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79" t="str">
        <x:v>FDS v3.1.18 · Team Availability Calendar (CANDIDATE)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44" customHeight="1">
      <x:c r="A12" s="97" t="str">
        <x:v>이하영</x:v>
      </x:c>
      <x:c r="B12" s="97" t="str">
        <x:v>HY LEE</x:v>
      </x:c>
      <x:c r="C12" s="98" t="n">
        <x:v>46275</x:v>
      </x:c>
      <x:c r="D12" s="97" t="str">
        <x:v>면접 휴가 (Interview Leave)</x:v>
      </x:c>
      <x:c r="E12" s="97" t="str">
        <x:v>면접 (Interview)</x:v>
      </x:c>
      <x:c r="F12" s="97" t="str">
        <x:v>Personal absence</x:v>
      </x:c>
      <x:c r="G12" s="99" t="str">
        <x:v>사용자 추가 지시 2026-09-10</x:v>
      </x:c>
      <x:c r="H12" s="99" t="str">
        <x:v>기존 09-08 부재 유지</x:v>
      </x:c>
      <x:c r="I12" s="99" t="str">
        <x:v>P1-SEC 5→4일 / ICR Support·리뷰 일정 영향</x:v>
      </x:c>
      <x:c r="J12" s="99" t="str">
        <x:v>계획일·담당 변경 없음</x:v>
      </x:c>
    </x:row>
    <x:row r="13" ht="34" customHeight="1">
      <x:c r="A13" s="51" t="str">
        <x:v>Affected record</x:v>
      </x:c>
      <x:c r="B13" s="51" t="str">
        <x:v>Prior date</x:v>
      </x:c>
      <x:c r="C13" s="51" t="str">
        <x:v>Revised date</x:v>
      </x:c>
      <x:c r="D13" s="51" t="str">
        <x:v>Approved adjustment</x:v>
      </x:c>
      <x:c r="E13" s="51" t="str">
        <x:v>Coverage / control</x:v>
      </x:c>
      <x:c r="F13" s="51" t="str">
        <x:v>Gate impact</x:v>
      </x:c>
      <x:c r="G13"/>
      <x:c r="H13"/>
      <x:c r="I13"/>
      <x:c r="J13"/>
    </x:row>
    <x:row r="14" ht="34" customHeight="1">
      <x:c r="A14" s="51" t="str">
        <x:v>P1-DB-01</x:v>
      </x:c>
      <x:c r="B14" s="51" t="str">
        <x:v>End 2026-09-04</x:v>
      </x:c>
      <x:c r="C14" s="51" t="str">
        <x:v>End 2026-09-07</x:v>
      </x:c>
      <x:c r="D14" s="51" t="str">
        <x:v>Preserve six owner workdays</x:v>
      </x:c>
      <x:c r="E14" s="51" t="str">
        <x:v>Resume/complete after return</x:v>
      </x:c>
      <x:c r="F14" s="51" t="str">
        <x:v>G1 follows to 2026-09-07</x:v>
      </x:c>
      <x:c r="G14"/>
      <x:c r="H14"/>
      <x:c r="I14"/>
      <x:c r="J14"/>
    </x:row>
    <x:row r="15" ht="34" customHeight="1">
      <x:c r="A15" s="51" t="str">
        <x:v>P1-APP-01</x:v>
      </x:c>
      <x:c r="B15" s="51" t="str">
        <x:v>End 2026-09-09</x:v>
      </x:c>
      <x:c r="C15" s="51" t="str">
        <x:v>End 2026-09-10</x:v>
      </x:c>
      <x:c r="D15" s="51" t="str">
        <x:v>One-day owner gap</x:v>
      </x:c>
      <x:c r="E15" s="51" t="str">
        <x:v>이하영 support; no solo closure on leave</x:v>
      </x:c>
      <x:c r="F15" s="51" t="str">
        <x:v>G2 2026-09-11 unchanged</x:v>
      </x:c>
      <x:c r="G15"/>
      <x:c r="H15"/>
      <x:c r="I15"/>
      <x:c r="J15"/>
    </x:row>
    <x:row r="16" ht="34" customHeight="1">
      <x:c r="A16" s="51" t="str">
        <x:v>P1-MON-01</x:v>
      </x:c>
      <x:c r="B16" s="51" t="str">
        <x:v>Start 2026-09-04</x:v>
      </x:c>
      <x:c r="C16" s="51" t="str">
        <x:v>Start 2026-09-07</x:v>
      </x:c>
      <x:c r="D16" s="51" t="str">
        <x:v>Start after return</x:v>
      </x:c>
      <x:c r="E16" s="51" t="str">
        <x:v>이권욱 support</x:v>
      </x:c>
      <x:c r="F16" s="51" t="str">
        <x:v>G2 2026-09-11 unchanged</x:v>
      </x:c>
      <x:c r="G16"/>
      <x:c r="H16"/>
      <x:c r="I16"/>
      <x:c r="J16"/>
    </x:row>
    <x:row r="17" ht="34" customHeight="1">
      <x:c r="A17" s="67" t="str">
        <x:v>MS-G1-01</x:v>
      </x:c>
      <x:c r="B17" s="67" t="str">
        <x:v>2026-09-04</x:v>
      </x:c>
      <x:c r="C17" s="67" t="str">
        <x:v>2026-09-07</x:v>
      </x:c>
      <x:c r="D17" s="67" t="str">
        <x:v>Align with P1-DB completion</x:v>
      </x:c>
      <x:c r="E17" s="67" t="str">
        <x:v>Lead gate review after evidence</x:v>
      </x:c>
      <x:c r="F17" s="67" t="str">
        <x:v>G1 +1 business day</x:v>
      </x:c>
      <x:c r="G17"/>
      <x:c r="H17"/>
      <x:c r="I17"/>
      <x:c r="J17"/>
    </x:row>
    <x:row r="18" ht="36" customHeight="1">
      <x:c r="A18" s="54" t="str">
        <x:v>HY-LEAVE-20260908</x:v>
      </x:c>
      <x:c r="B18" s="54" t="str">
        <x:v>2026-09-08 planned work</x:v>
      </x:c>
      <x:c r="C18" s="54" t="str">
        <x:v>No date change</x:v>
      </x:c>
      <x:c r="D18" s="54" t="str">
        <x:v>One-day owner gap</x:v>
      </x:c>
      <x:c r="E18" s="54" t="str">
        <x:v>이권욱 coverage; no solo closure</x:v>
      </x:c>
      <x:c r="F18" s="55" t="str">
        <x:v>No automatic rebaseline; assess actual delay</x:v>
      </x:c>
      <x:c r="G18"/>
      <x:c r="H18"/>
      <x:c r="I18"/>
      <x:c r="J18"/>
    </x:row>
    <x:row r="19" ht="15" customHeight="1">
      <x:c r="A19" s="67" t="str">
        <x:v>Approval</x:v>
      </x:c>
      <x:c r="B19" s="67" t="str">
        <x:v>D36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46268</x:v>
      </x:c>
      <x:c r="G19"/>
      <x:c r="H19"/>
      <x:c r="I19"/>
      <x:c r="J19"/>
    </x:row>
    <x:row r="20" ht="30" customHeight="1">
      <x:c r="A20" t="str">
        <x:v>Approval</x:v>
      </x:c>
      <x:c r="B20" t="str">
        <x:v>User instruction 2026-09-08</x:v>
      </x:c>
      <x:c r="C20" t="str">
        <x:v>Approved by</x:v>
      </x:c>
      <x:c r="D20" t="str">
        <x:v>User / Project Lead</x:v>
      </x:c>
      <x:c r="E20" t="str">
        <x:v>Effective</x:v>
      </x:c>
      <x:c r="F20" t="n">
        <x:v>46273</x:v>
      </x:c>
      <x:c r="G20"/>
      <x:c r="H20"/>
      <x:c r="I20"/>
      <x:c r="J2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6" hidden="0" customWidth="1"/>
    <x:col min="3" max="3" width="10" hidden="0" customWidth="1"/>
    <x:col min="4" max="4" width="10" hidden="0" customWidth="1"/>
    <x:col min="5" max="5" width="50" hidden="0" customWidth="1"/>
    <x:col min="6" max="6" width="24" hidden="0" customWidth="1"/>
    <x:col min="7" max="7" width="46" hidden="0" customWidth="1"/>
    <x:col min="8" max="8" width="10" hidden="0" customWidth="1"/>
    <x:col min="9" max="9" width="12" hidden="0" customWidth="1"/>
    <x:col min="10" max="10" width="14" hidden="0" customWidth="1"/>
    <x:col min="11" max="11" width="17" hidden="0" customWidth="1"/>
    <x:col min="12" max="12" width="24" hidden="0" customWidth="1"/>
  </x:cols>
  <x:sheetData>
    <x:row r="1" ht="34" customHeight="1">
      <x:c r="A1" s="111" t="str">
        <x:v>Phase 1 Fast Tracking — 일정 권장안 / 승인·잔여공수 확인 필요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</x:row>
    <x:row r="2" ht="28" customHeight="1">
      <x:c r="A2" t="str">
        <x:v>9/11~23 평일 9일 · 주말/부재 배정 0 · 23인일 중 1.5인일 보완 버퍼 · 변경/고장 주입은 창별 단일 실행자</x:v>
      </x:c>
    </x:row>
    <x:row r="3" ht="26" customHeight="1">
      <x:c r="A3" t="str">
        <x:v>AM/PM은 각 0.5 가용작업일의 추정 창이다. 실제 교육시간·잔여공수는 미확인. 같은 창의 여러 담당자는 협업/검증이며 동시 환경 변경이 아니다.</x:v>
      </x:c>
    </x:row>
    <x:row r="5" ht="30" customHeight="1">
      <x:c r="A5" s="129" t="str">
        <x:v>날짜</x:v>
      </x:c>
      <x:c r="B5" s="129" t="str">
        <x:v>창</x:v>
      </x:c>
      <x:c r="C5" s="129" t="str">
        <x:v>담당자</x:v>
      </x:c>
      <x:c r="D5" s="129" t="str">
        <x:v>유형</x:v>
      </x:c>
      <x:c r="E5" s="129" t="str">
        <x:v>작업·인수 결과</x:v>
      </x:c>
      <x:c r="F5" s="129" t="str">
        <x:v>주 책임 티켓</x:v>
      </x:c>
      <x:c r="G5" s="129" t="str">
        <x:v>실행 선행조건</x:v>
      </x:c>
      <x:c r="H5" s="129" t="str">
        <x:v>배정 인일</x:v>
      </x:c>
      <x:c r="I5" s="129" t="str">
        <x:v>당일 가용량</x:v>
      </x:c>
      <x:c r="J5" s="129" t="str">
        <x:v>당일 배정 합계</x:v>
      </x:c>
      <x:c r="K5" s="129" t="str">
        <x:v>배정 검사</x:v>
      </x:c>
      <x:c r="L5" s="129" t="str">
        <x:v>환경 작업 창</x:v>
      </x:c>
    </x:row>
    <x:row r="6" ht="60" customHeight="1">
      <x:c r="A6" s="134" t="n">
        <x:v>46276</x:v>
      </x:c>
      <x:c r="B6" s="130" t="str">
        <x:v>AM</x:v>
      </x:c>
      <x:c r="C6" s="130" t="str">
        <x:v>이권욱</x:v>
      </x:c>
      <x:c r="D6" s="130" t="str">
        <x:v>수집·정리</x:v>
      </x:c>
      <x:c r="E6" s="130" t="str">
        <x:v>CP1 보호·복구·최신 inspect 준비·ICR 범위 정리</x:v>
      </x:c>
      <x:c r="F6" s="130" t="str">
        <x:v>ICR-D-NET-01-01</x:v>
      </x:c>
      <x:c r="G6" s="130" t="str">
        <x:v>없음: 읽기 전용/문서 준비</x:v>
      </x:c>
      <x:c r="H6" s="138" t="n">
        <x:v>0.5</x:v>
      </x:c>
      <x:c r="I6" s="138" t="n">
        <x:v>1</x:v>
      </x:c>
      <x:c r="J6" s="138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str">
        <x:v>2026-09-11 AM</x:v>
      </x:c>
    </x:row>
    <x:row r="7" ht="60" customHeight="1">
      <x:c r="A7" s="135" t="n">
        <x:v>46276</x:v>
      </x:c>
      <x:c r="B7" s="131" t="str">
        <x:v>AM</x:v>
      </x:c>
      <x:c r="C7" s="131" t="str">
        <x:v>이하영</x:v>
      </x:c>
      <x:c r="D7" s="131" t="str">
        <x:v>리뷰·결정</x:v>
      </x:c>
      <x:c r="E7" s="131" t="str">
        <x:v>PR #2/#4 재리뷰·NTP 기준·평일 Review 검토</x:v>
      </x:c>
      <x:c r="F7" s="131" t="str">
        <x:v>DEC-CAL-P1-01</x:v>
      </x:c>
      <x:c r="G7" s="131" t="str">
        <x:v>없음: 읽기 전용/문서 준비</x:v>
      </x:c>
      <x:c r="H7" s="139" t="n">
        <x:v>0.5</x:v>
      </x:c>
      <x:c r="I7" s="139" t="n">
        <x:v>1</x:v>
      </x:c>
      <x:c r="J7" s="139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str">
        <x:v>2026-09-11 AM</x:v>
      </x:c>
    </x:row>
    <x:row r="8" ht="60" customHeight="1">
      <x:c r="A8" s="134" t="n">
        <x:v>46276</x:v>
      </x:c>
      <x:c r="B8" s="130" t="str">
        <x:v>AM</x:v>
      </x:c>
      <x:c r="C8" s="130" t="str">
        <x:v>이재환</x:v>
      </x:c>
      <x:c r="D8" s="130" t="str">
        <x:v>인계</x:v>
      </x:c>
      <x:c r="E8" s="130" t="str">
        <x:v>APP/DB Source·Schema·검증·복구 절차 인계</x:v>
      </x:c>
      <x:c r="F8" s="130" t="str">
        <x:v>P1-APP-01</x:v>
      </x:c>
      <x:c r="G8" s="130" t="str">
        <x:v>고정 Source·접근권한·실행/판정/복구 절차 확인; 환경 변경과 독립 진행</x:v>
      </x:c>
      <x:c r="H8" s="138" t="n">
        <x:v>0.5</x:v>
      </x:c>
      <x:c r="I8" s="138" t="n">
        <x:v>1</x:v>
      </x:c>
      <x:c r="J8" s="138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str">
        <x:v>2026-09-11 AM</x:v>
      </x:c>
    </x:row>
    <x:row r="9" ht="60" customHeight="1">
      <x:c r="A9" s="135" t="n">
        <x:v>46276</x:v>
      </x:c>
      <x:c r="B9" s="131" t="str">
        <x:v>PM</x:v>
      </x:c>
      <x:c r="C9" s="131" t="str">
        <x:v>이권욱</x:v>
      </x:c>
      <x:c r="D9" s="131" t="str">
        <x:v>변경</x:v>
      </x:c>
      <x:c r="E9" s="131" t="str">
        <x:v>리뷰 통과 후 CP1 canary·영수증·복구 검증</x:v>
      </x:c>
      <x:c r="F9" s="131" t="str">
        <x:v>ICR-D-NET-01-01</x:v>
      </x:c>
      <x:c r="G9" s="131" t="str">
        <x:v>PR #2 지적 해소·실행 결정·최신 inspect</x:v>
      </x:c>
      <x:c r="H9" s="139" t="n">
        <x:v>0.5</x:v>
      </x:c>
      <x:c r="I9" s="139" t="n">
        <x:v>1</x:v>
      </x:c>
      <x:c r="J9" s="139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str">
        <x:v>2026-09-11 PM</x:v>
      </x:c>
    </x:row>
    <x:row r="10" ht="60" customHeight="1">
      <x:c r="A10" s="134" t="n">
        <x:v>46276</x:v>
      </x:c>
      <x:c r="B10" s="130" t="str">
        <x:v>PM</x:v>
      </x:c>
      <x:c r="C10" s="130" t="str">
        <x:v>이하영</x:v>
      </x:c>
      <x:c r="D10" s="130" t="str">
        <x:v>검증</x:v>
      </x:c>
      <x:c r="E10" s="130" t="str">
        <x:v>CP1 변경 후 Kubernetes 검증·Harbor 준비</x:v>
      </x:c>
      <x:c r="F10" s="130" t="str">
        <x:v>P1-K8S-01</x:v>
      </x:c>
      <x:c r="G10" s="130" t="str">
        <x:v>PR #2 지적 해소·실행 결정·최신 inspect</x:v>
      </x:c>
      <x:c r="H10" s="138" t="n">
        <x:v>0.5</x:v>
      </x:c>
      <x:c r="I10" s="138" t="n">
        <x:v>1</x:v>
      </x:c>
      <x:c r="J10" s="138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str">
        <x:v>2026-09-11 PM</x:v>
      </x:c>
    </x:row>
    <x:row r="11" ht="60" customHeight="1">
      <x:c r="A11" s="135" t="n">
        <x:v>46276</x:v>
      </x:c>
      <x:c r="B11" s="131" t="str">
        <x:v>PM</x:v>
      </x:c>
      <x:c r="C11" s="131" t="str">
        <x:v>이재환</x:v>
      </x:c>
      <x:c r="D11" s="131" t="str">
        <x:v>인계</x:v>
      </x:c>
      <x:c r="E11" s="131" t="str">
        <x:v>MON Manifest·14+2 AC 및 HA/DR 케이스 인계</x:v>
      </x:c>
      <x:c r="F11" s="131" t="str">
        <x:v>P1-MON-01</x:v>
      </x:c>
      <x:c r="G11" s="131" t="str">
        <x:v>고정 Source·접근권한·실행/판정/복구 절차 확인; 환경 변경과 독립 진행</x:v>
      </x:c>
      <x:c r="H11" s="139" t="n">
        <x:v>0.5</x:v>
      </x:c>
      <x:c r="I11" s="139" t="n">
        <x:v>1</x:v>
      </x:c>
      <x:c r="J11" s="139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str">
        <x:v>2026-09-11 PM</x:v>
      </x:c>
    </x:row>
    <x:row r="12" ht="60" customHeight="1">
      <x:c r="A12" s="134" t="n">
        <x:v>46279</x:v>
      </x:c>
      <x:c r="B12" s="130" t="str">
        <x:v>AM</x:v>
      </x:c>
      <x:c r="C12" s="130" t="str">
        <x:v>이권욱</x:v>
      </x:c>
      <x:c r="D12" s="130" t="str">
        <x:v>변경</x:v>
      </x:c>
      <x:c r="E12" s="130" t="str">
        <x:v>CP2/CP3 통신 보완 후 join 지원</x:v>
      </x:c>
      <x:c r="F12" s="130" t="str">
        <x:v>ICR-D-NET-01-01</x:v>
      </x:c>
      <x:c r="G12" s="130" t="str">
        <x:v>CP1 canary 검증</x:v>
      </x:c>
      <x:c r="H12" s="138" t="n">
        <x:v>0.5</x:v>
      </x:c>
      <x:c r="I12" s="138" t="n">
        <x:v>1</x:v>
      </x:c>
      <x:c r="J12" s="138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str">
        <x:v>2026-09-14 AM</x:v>
      </x:c>
    </x:row>
    <x:row r="13" ht="60" customHeight="1">
      <x:c r="A13" s="135" t="n">
        <x:v>46279</x:v>
      </x:c>
      <x:c r="B13" s="131" t="str">
        <x:v>AM</x:v>
      </x:c>
      <x:c r="C13" s="131" t="str">
        <x:v>이하영</x:v>
      </x:c>
      <x:c r="D13" s="131" t="str">
        <x:v>변경</x:v>
      </x:c>
      <x:c r="E13" s="131" t="str">
        <x:v>통신 확인 후 CP2/CP3 잔여 구성·join</x:v>
      </x:c>
      <x:c r="F13" s="131" t="str">
        <x:v>P1-K8S-01</x:v>
      </x:c>
      <x:c r="G13" s="131" t="str">
        <x:v>CP1 canary 검증</x:v>
      </x:c>
      <x:c r="H13" s="139" t="n">
        <x:v>0.5</x:v>
      </x:c>
      <x:c r="I13" s="139" t="n">
        <x:v>1</x:v>
      </x:c>
      <x:c r="J13" s="139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str">
        <x:v>2026-09-14 AM</x:v>
      </x:c>
    </x:row>
    <x:row r="14" ht="60" customHeight="1">
      <x:c r="A14" s="136" t="n">
        <x:v>46279</x:v>
      </x:c>
      <x:c r="B14" s="132" t="str">
        <x:v>AM</x:v>
      </x:c>
      <x:c r="C14" s="132" t="str">
        <x:v>이재환</x:v>
      </x:c>
      <x:c r="D14" s="132" t="str">
        <x:v>부재</x:v>
      </x:c>
      <x:c r="E14" s="132" t="str">
        <x:v>예비군 부재</x:v>
      </x:c>
      <x:c r="F14" s="132" t="str"/>
      <x:c r="G14" s="132" t="str">
        <x:v>수행 배정 없음</x:v>
      </x:c>
      <x:c r="H14" s="140" t="n">
        <x:v>0</x:v>
      </x:c>
      <x:c r="I14" s="140" t="n">
        <x:v>0</x:v>
      </x:c>
      <x:c r="J14" s="140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str">
        <x:v>Unavailable</x:v>
      </x:c>
    </x:row>
    <x:row r="15" ht="60" customHeight="1">
      <x:c r="A15" s="135" t="n">
        <x:v>46279</x:v>
      </x:c>
      <x:c r="B15" s="131" t="str">
        <x:v>PM</x:v>
      </x:c>
      <x:c r="C15" s="131" t="str">
        <x:v>이권욱</x:v>
      </x:c>
      <x:c r="D15" s="131" t="str">
        <x:v>변경</x:v>
      </x:c>
      <x:c r="E15" s="131" t="str">
        <x:v>Worker 통신 보완·관리 경로 확인</x:v>
      </x:c>
      <x:c r="F15" s="131" t="str">
        <x:v>ICR-D-NET-01-01</x:v>
      </x:c>
      <x:c r="G15" s="131" t="str">
        <x:v>CP2/CP3 상태·etcd 확인</x:v>
      </x:c>
      <x:c r="H15" s="139" t="n">
        <x:v>0.5</x:v>
      </x:c>
      <x:c r="I15" s="139" t="n">
        <x:v>1</x:v>
      </x:c>
      <x:c r="J15" s="139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str">
        <x:v>2026-09-14 PM</x:v>
      </x:c>
    </x:row>
    <x:row r="16" ht="60" customHeight="1">
      <x:c r="A16" s="134" t="n">
        <x:v>46279</x:v>
      </x:c>
      <x:c r="B16" s="130" t="str">
        <x:v>PM</x:v>
      </x:c>
      <x:c r="C16" s="130" t="str">
        <x:v>이하영</x:v>
      </x:c>
      <x:c r="D16" s="130" t="str">
        <x:v>변경</x:v>
      </x:c>
      <x:c r="E16" s="130" t="str">
        <x:v>Worker kubelet/join·노드 상태 확인</x:v>
      </x:c>
      <x:c r="F16" s="130" t="str">
        <x:v>P1-K8S-01</x:v>
      </x:c>
      <x:c r="G16" s="130" t="str">
        <x:v>CP2/CP3 상태·etcd 확인</x:v>
      </x:c>
      <x:c r="H16" s="138" t="n">
        <x:v>0.5</x:v>
      </x:c>
      <x:c r="I16" s="138" t="n">
        <x:v>1</x:v>
      </x:c>
      <x:c r="J16" s="138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str">
        <x:v>2026-09-14 PM</x:v>
      </x:c>
    </x:row>
    <x:row r="17" ht="60" customHeight="1">
      <x:c r="A17" s="136" t="n">
        <x:v>46279</x:v>
      </x:c>
      <x:c r="B17" s="132" t="str">
        <x:v>PM</x:v>
      </x:c>
      <x:c r="C17" s="132" t="str">
        <x:v>이재환</x:v>
      </x:c>
      <x:c r="D17" s="132" t="str">
        <x:v>부재</x:v>
      </x:c>
      <x:c r="E17" s="132" t="str">
        <x:v>예비군 부재</x:v>
      </x:c>
      <x:c r="F17" s="132" t="str"/>
      <x:c r="G17" s="132" t="str">
        <x:v>수행 배정 없음</x:v>
      </x:c>
      <x:c r="H17" s="140" t="n">
        <x:v>0</x:v>
      </x:c>
      <x:c r="I17" s="140" t="n">
        <x:v>0</x:v>
      </x:c>
      <x:c r="J17" s="140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str">
        <x:v>Unavailable</x:v>
      </x:c>
    </x:row>
    <x:row r="18" ht="60" customHeight="1">
      <x:c r="A18" s="134" t="n">
        <x:v>46280</x:v>
      </x:c>
      <x:c r="B18" s="130" t="str">
        <x:v>AM</x:v>
      </x:c>
      <x:c r="C18" s="130" t="str">
        <x:v>이권욱</x:v>
      </x:c>
      <x:c r="D18" s="130" t="str">
        <x:v>변경</x:v>
      </x:c>
      <x:c r="E18" s="130" t="str">
        <x:v>승인 NTP·IF-16 경로 적용 후 Calico 인계</x:v>
      </x:c>
      <x:c r="F18" s="130" t="str">
        <x:v>ICR-D-NET-01-01</x:v>
      </x:c>
      <x:c r="G18" s="130" t="str">
        <x:v>Worker 상태·NTP 승인값</x:v>
      </x:c>
      <x:c r="H18" s="138" t="n">
        <x:v>0.5</x:v>
      </x:c>
      <x:c r="I18" s="138" t="n">
        <x:v>1</x:v>
      </x:c>
      <x:c r="J18" s="138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str">
        <x:v>2026-09-15 AM</x:v>
      </x:c>
    </x:row>
    <x:row r="19" ht="60" customHeight="1">
      <x:c r="A19" s="135" t="n">
        <x:v>46280</x:v>
      </x:c>
      <x:c r="B19" s="131" t="str">
        <x:v>AM</x:v>
      </x:c>
      <x:c r="C19" s="131" t="str">
        <x:v>이하영</x:v>
      </x:c>
      <x:c r="D19" s="131" t="str">
        <x:v>변경</x:v>
      </x:c>
      <x:c r="E19" s="131" t="str">
        <x:v>NTP·경로 확인 후 Calico HEP/GNP 단계 적용</x:v>
      </x:c>
      <x:c r="F19" s="131" t="str">
        <x:v>P1-K8S-01</x:v>
      </x:c>
      <x:c r="G19" s="131" t="str">
        <x:v>Worker 상태·NTP 승인값</x:v>
      </x:c>
      <x:c r="H19" s="139" t="n">
        <x:v>0.5</x:v>
      </x:c>
      <x:c r="I19" s="139" t="n">
        <x:v>1</x:v>
      </x:c>
      <x:c r="J19" s="139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str">
        <x:v>2026-09-15 AM</x:v>
      </x:c>
    </x:row>
    <x:row r="20" ht="60" customHeight="1">
      <x:c r="A20" s="136" t="n">
        <x:v>46280</x:v>
      </x:c>
      <x:c r="B20" s="132" t="str">
        <x:v>AM</x:v>
      </x:c>
      <x:c r="C20" s="132" t="str">
        <x:v>이재환</x:v>
      </x:c>
      <x:c r="D20" s="132" t="str">
        <x:v>부재</x:v>
      </x:c>
      <x:c r="E20" s="132" t="str">
        <x:v>예비군 부재</x:v>
      </x:c>
      <x:c r="F20" s="132" t="str"/>
      <x:c r="G20" s="132" t="str">
        <x:v>수행 배정 없음</x:v>
      </x:c>
      <x:c r="H20" s="140" t="n">
        <x:v>0</x:v>
      </x:c>
      <x:c r="I20" s="140" t="n">
        <x:v>0</x:v>
      </x:c>
      <x:c r="J20" s="140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str">
        <x:v>Unavailable</x:v>
      </x:c>
    </x:row>
    <x:row r="21" ht="60" customHeight="1">
      <x:c r="A21" s="135" t="n">
        <x:v>46280</x:v>
      </x:c>
      <x:c r="B21" s="131" t="str">
        <x:v>PM</x:v>
      </x:c>
      <x:c r="C21" s="131" t="str">
        <x:v>이권욱</x:v>
      </x:c>
      <x:c r="D21" s="131" t="str">
        <x:v>검증</x:v>
      </x:c>
      <x:c r="E21" s="131" t="str">
        <x:v>API LB Stage B·Backend/인증·장애조치</x:v>
      </x:c>
      <x:c r="F21" s="131" t="str">
        <x:v>P1-LB-01</x:v>
      </x:c>
      <x:c r="G21" s="131" t="str">
        <x:v>NTP·Calico·필수 관리 경로 정상</x:v>
      </x:c>
      <x:c r="H21" s="139" t="n">
        <x:v>0.5</x:v>
      </x:c>
      <x:c r="I21" s="139" t="n">
        <x:v>1</x:v>
      </x:c>
      <x:c r="J21" s="139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str">
        <x:v>2026-09-15 PM</x:v>
      </x:c>
    </x:row>
    <x:row r="22" ht="60" customHeight="1">
      <x:c r="A22" s="134" t="n">
        <x:v>46280</x:v>
      </x:c>
      <x:c r="B22" s="130" t="str">
        <x:v>PM</x:v>
      </x:c>
      <x:c r="C22" s="130" t="str">
        <x:v>이하영</x:v>
      </x:c>
      <x:c r="D22" s="130" t="str">
        <x:v>구현</x:v>
      </x:c>
      <x:c r="E22" s="130" t="str">
        <x:v>Harbor CA/Robot/Scanner·Worker Pull 검증</x:v>
      </x:c>
      <x:c r="F22" s="130" t="str">
        <x:v>P1-HBR-01</x:v>
      </x:c>
      <x:c r="G22" s="130" t="str">
        <x:v>NTP·Calico·필수 관리 경로 정상</x:v>
      </x:c>
      <x:c r="H22" s="138" t="n">
        <x:v>0.5</x:v>
      </x:c>
      <x:c r="I22" s="138" t="n">
        <x:v>1</x:v>
      </x:c>
      <x:c r="J22" s="138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str">
        <x:v>2026-09-15 PM</x:v>
      </x:c>
    </x:row>
    <x:row r="23" ht="60" customHeight="1">
      <x:c r="A23" s="136" t="n">
        <x:v>46280</x:v>
      </x:c>
      <x:c r="B23" s="132" t="str">
        <x:v>PM</x:v>
      </x:c>
      <x:c r="C23" s="132" t="str">
        <x:v>이재환</x:v>
      </x:c>
      <x:c r="D23" s="132" t="str">
        <x:v>부재</x:v>
      </x:c>
      <x:c r="E23" s="132" t="str">
        <x:v>예비군 부재</x:v>
      </x:c>
      <x:c r="F23" s="132" t="str"/>
      <x:c r="G23" s="132" t="str">
        <x:v>수행 배정 없음</x:v>
      </x:c>
      <x:c r="H23" s="140" t="n">
        <x:v>0</x:v>
      </x:c>
      <x:c r="I23" s="140" t="n">
        <x:v>0</x:v>
      </x:c>
      <x:c r="J23" s="140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str">
        <x:v>Unavailable</x:v>
      </x:c>
    </x:row>
    <x:row r="24" ht="60" customHeight="1">
      <x:c r="A24" s="134" t="n">
        <x:v>46281</x:v>
      </x:c>
      <x:c r="B24" s="130" t="str">
        <x:v>AM</x:v>
      </x:c>
      <x:c r="C24" s="130" t="str">
        <x:v>이권욱</x:v>
      </x:c>
      <x:c r="D24" s="130" t="str">
        <x:v>구현</x:v>
      </x:c>
      <x:c r="E24" s="130" t="str">
        <x:v>CI Test/Build/Trivy·배포 차단 Gate</x:v>
      </x:c>
      <x:c r="F24" s="130" t="str">
        <x:v>P1-CICD-01</x:v>
      </x:c>
      <x:c r="G24" s="130" t="str">
        <x:v>플랫폼/Harbor 준비</x:v>
      </x:c>
      <x:c r="H24" s="138" t="n">
        <x:v>0.5</x:v>
      </x:c>
      <x:c r="I24" s="138" t="n">
        <x:v>1</x:v>
      </x:c>
      <x:c r="J24" s="138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str">
        <x:v>2026-09-16 AM</x:v>
      </x:c>
    </x:row>
    <x:row r="25" ht="60" customHeight="1">
      <x:c r="A25" s="135" t="n">
        <x:v>46281</x:v>
      </x:c>
      <x:c r="B25" s="131" t="str">
        <x:v>AM</x:v>
      </x:c>
      <x:c r="C25" s="131" t="str">
        <x:v>이하영</x:v>
      </x:c>
      <x:c r="D25" s="131" t="str">
        <x:v>구현</x:v>
      </x:c>
      <x:c r="E25" s="131" t="str">
        <x:v>PSA/SC/RBAC/Secret·Default Deny 적용</x:v>
      </x:c>
      <x:c r="F25" s="131" t="str">
        <x:v>P1-SEC-01</x:v>
      </x:c>
      <x:c r="G25" s="131" t="str">
        <x:v>플랫폼/Harbor 준비</x:v>
      </x:c>
      <x:c r="H25" s="139" t="n">
        <x:v>0.5</x:v>
      </x:c>
      <x:c r="I25" s="139" t="n">
        <x:v>1</x:v>
      </x:c>
      <x:c r="J25" s="139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str">
        <x:v>2026-09-16 AM</x:v>
      </x:c>
    </x:row>
    <x:row r="26" ht="60" customHeight="1">
      <x:c r="A26" s="136" t="n">
        <x:v>46281</x:v>
      </x:c>
      <x:c r="B26" s="132" t="str">
        <x:v>AM</x:v>
      </x:c>
      <x:c r="C26" s="132" t="str">
        <x:v>이재환</x:v>
      </x:c>
      <x:c r="D26" s="132" t="str">
        <x:v>부재</x:v>
      </x:c>
      <x:c r="E26" s="132" t="str">
        <x:v>예비군 부재</x:v>
      </x:c>
      <x:c r="F26" s="132" t="str"/>
      <x:c r="G26" s="132" t="str">
        <x:v>수행 배정 없음</x:v>
      </x:c>
      <x:c r="H26" s="140" t="n">
        <x:v>0</x:v>
      </x:c>
      <x:c r="I26" s="140" t="n">
        <x:v>0</x:v>
      </x:c>
      <x:c r="J26" s="140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str">
        <x:v>Unavailable</x:v>
      </x:c>
    </x:row>
    <x:row r="27" ht="60" customHeight="1">
      <x:c r="A27" s="135" t="n">
        <x:v>46281</x:v>
      </x:c>
      <x:c r="B27" s="131" t="str">
        <x:v>PM</x:v>
      </x:c>
      <x:c r="C27" s="131" t="str">
        <x:v>이권욱</x:v>
      </x:c>
      <x:c r="D27" s="131" t="str">
        <x:v>검증</x:v>
      </x:c>
      <x:c r="E27" s="131" t="str">
        <x:v>승인 플랫폼 Deploy·Digest·Health·인계 MON 배치 준비</x:v>
      </x:c>
      <x:c r="F27" s="131" t="str">
        <x:v>P1-CICD-01</x:v>
      </x:c>
      <x:c r="G27" s="131" t="str">
        <x:v>배포·보안 필수 통제 정상</x:v>
      </x:c>
      <x:c r="H27" s="139" t="n">
        <x:v>0.5</x:v>
      </x:c>
      <x:c r="I27" s="139" t="n">
        <x:v>1</x:v>
      </x:c>
      <x:c r="J27" s="139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str">
        <x:v>2026-09-16 PM</x:v>
      </x:c>
    </x:row>
    <x:row r="28" ht="60" customHeight="1">
      <x:c r="A28" s="134" t="n">
        <x:v>46281</x:v>
      </x:c>
      <x:c r="B28" s="130" t="str">
        <x:v>PM</x:v>
      </x:c>
      <x:c r="C28" s="130" t="str">
        <x:v>이하영</x:v>
      </x:c>
      <x:c r="D28" s="130" t="str">
        <x:v>검증</x:v>
      </x:c>
      <x:c r="E28" s="130" t="str">
        <x:v>Harbor 4/4 Digest 대조·보안/배치 확인</x:v>
      </x:c>
      <x:c r="F28" s="130" t="str">
        <x:v>P1-HBR-01</x:v>
      </x:c>
      <x:c r="G28" s="130" t="str">
        <x:v>배포·보안 필수 통제 정상</x:v>
      </x:c>
      <x:c r="H28" s="138" t="n">
        <x:v>0.5</x:v>
      </x:c>
      <x:c r="I28" s="138" t="n">
        <x:v>1</x:v>
      </x:c>
      <x:c r="J28" s="138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str">
        <x:v>2026-09-16 PM</x:v>
      </x:c>
    </x:row>
    <x:row r="29" ht="60" customHeight="1">
      <x:c r="A29" s="136" t="n">
        <x:v>46281</x:v>
      </x:c>
      <x:c r="B29" s="132" t="str">
        <x:v>PM</x:v>
      </x:c>
      <x:c r="C29" s="132" t="str">
        <x:v>이재환</x:v>
      </x:c>
      <x:c r="D29" s="132" t="str">
        <x:v>부재</x:v>
      </x:c>
      <x:c r="E29" s="132" t="str">
        <x:v>예비군 부재</x:v>
      </x:c>
      <x:c r="F29" s="132" t="str"/>
      <x:c r="G29" s="132" t="str">
        <x:v>수행 배정 없음</x:v>
      </x:c>
      <x:c r="H29" s="140" t="n">
        <x:v>0</x:v>
      </x:c>
      <x:c r="I29" s="140" t="n">
        <x:v>0</x:v>
      </x:c>
      <x:c r="J29" s="140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str">
        <x:v>Unavailable</x:v>
      </x:c>
    </x:row>
    <x:row r="30" ht="60" customHeight="1">
      <x:c r="A30" s="134" t="n">
        <x:v>46282</x:v>
      </x:c>
      <x:c r="B30" s="130" t="str">
        <x:v>AM</x:v>
      </x:c>
      <x:c r="C30" s="130" t="str">
        <x:v>이권욱</x:v>
      </x:c>
      <x:c r="D30" s="130" t="str">
        <x:v>검증</x:v>
      </x:c>
      <x:c r="E30" s="130" t="str">
        <x:v>인계 DB 경로·Schema 검증, MON/PVC 배치 지원</x:v>
      </x:c>
      <x:c r="F30" s="130" t="str">
        <x:v>P1-DB-01</x:v>
      </x:c>
      <x:c r="G30" s="130" t="str">
        <x:v>고정 인계 패키지·보호/복구 절차</x:v>
      </x:c>
      <x:c r="H30" s="138" t="n">
        <x:v>0.5</x:v>
      </x:c>
      <x:c r="I30" s="138" t="n">
        <x:v>1</x:v>
      </x:c>
      <x:c r="J30" s="138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str">
        <x:v>2026-09-17 AM</x:v>
      </x:c>
    </x:row>
    <x:row r="31" ht="60" customHeight="1">
      <x:c r="A31" s="135" t="n">
        <x:v>46282</x:v>
      </x:c>
      <x:c r="B31" s="131" t="str">
        <x:v>AM</x:v>
      </x:c>
      <x:c r="C31" s="131" t="str">
        <x:v>이하영</x:v>
      </x:c>
      <x:c r="D31" s="131" t="str">
        <x:v>검증</x:v>
      </x:c>
      <x:c r="E31" s="131" t="str">
        <x:v>보호 인계·Reboot/복구 회귀·정본 배치 검수</x:v>
      </x:c>
      <x:c r="F31" s="131" t="str">
        <x:v>P1-SEC-01</x:v>
      </x:c>
      <x:c r="G31" s="131" t="str">
        <x:v>고정 인계 패키지·보호/복구 절차</x:v>
      </x:c>
      <x:c r="H31" s="139" t="n">
        <x:v>0.5</x:v>
      </x:c>
      <x:c r="I31" s="139" t="n">
        <x:v>1</x:v>
      </x:c>
      <x:c r="J31" s="139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str">
        <x:v>2026-09-17 AM</x:v>
      </x:c>
    </x:row>
    <x:row r="32" ht="60" customHeight="1">
      <x:c r="A32" s="136" t="n">
        <x:v>46282</x:v>
      </x:c>
      <x:c r="B32" s="132" t="str">
        <x:v>AM</x:v>
      </x:c>
      <x:c r="C32" s="132" t="str">
        <x:v>이재환</x:v>
      </x:c>
      <x:c r="D32" s="132" t="str">
        <x:v>부재</x:v>
      </x:c>
      <x:c r="E32" s="132" t="str">
        <x:v>예비군 부재</x:v>
      </x:c>
      <x:c r="F32" s="132" t="str"/>
      <x:c r="G32" s="132" t="str">
        <x:v>수행 배정 없음</x:v>
      </x:c>
      <x:c r="H32" s="140" t="n">
        <x:v>0</x:v>
      </x:c>
      <x:c r="I32" s="140" t="n">
        <x:v>0</x:v>
      </x:c>
      <x:c r="J32" s="140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str">
        <x:v>Unavailable</x:v>
      </x:c>
    </x:row>
    <x:row r="33" ht="60" customHeight="1">
      <x:c r="A33" s="135" t="n">
        <x:v>46282</x:v>
      </x:c>
      <x:c r="B33" s="131" t="str">
        <x:v>PM</x:v>
      </x:c>
      <x:c r="C33" s="131" t="str">
        <x:v>이권욱</x:v>
      </x:c>
      <x:c r="D33" s="131" t="str">
        <x:v>인수</x:v>
      </x:c>
      <x:c r="E33" s="131" t="str">
        <x:v>G1 인수 점검·잔여 Source/증적/Runbook 정리</x:v>
      </x:c>
      <x:c r="F33" s="131" t="str">
        <x:v>MS-G1-01</x:v>
      </x:c>
      <x:c r="G33" s="131" t="str">
        <x:v>G1 필수 증적 충족</x:v>
      </x:c>
      <x:c r="H33" s="139" t="n">
        <x:v>0.5</x:v>
      </x:c>
      <x:c r="I33" s="139" t="n">
        <x:v>1</x:v>
      </x:c>
      <x:c r="J33" s="139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str">
        <x:v>2026-09-17 PM</x:v>
      </x:c>
    </x:row>
    <x:row r="34" ht="60" customHeight="1">
      <x:c r="A34" s="134" t="n">
        <x:v>46282</x:v>
      </x:c>
      <x:c r="B34" s="130" t="str">
        <x:v>PM</x:v>
      </x:c>
      <x:c r="C34" s="130" t="str">
        <x:v>이하영</x:v>
      </x:c>
      <x:c r="D34" s="130" t="str">
        <x:v>검토</x:v>
      </x:c>
      <x:c r="E34" s="130" t="str">
        <x:v>G1 독립 대조·MON 제한 권한/망정책 검토</x:v>
      </x:c>
      <x:c r="F34" s="130" t="str">
        <x:v>P1-K8S-01</x:v>
      </x:c>
      <x:c r="G34" s="130" t="str">
        <x:v>G1 필수 증적 충족</x:v>
      </x:c>
      <x:c r="H34" s="138" t="n">
        <x:v>0.5</x:v>
      </x:c>
      <x:c r="I34" s="138" t="n">
        <x:v>1</x:v>
      </x:c>
      <x:c r="J34" s="138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str">
        <x:v>2026-09-17 PM</x:v>
      </x:c>
    </x:row>
    <x:row r="35" ht="60" customHeight="1">
      <x:c r="A35" s="136" t="n">
        <x:v>46282</x:v>
      </x:c>
      <x:c r="B35" s="132" t="str">
        <x:v>PM</x:v>
      </x:c>
      <x:c r="C35" s="132" t="str">
        <x:v>이재환</x:v>
      </x:c>
      <x:c r="D35" s="132" t="str">
        <x:v>부재</x:v>
      </x:c>
      <x:c r="E35" s="132" t="str">
        <x:v>예비군 부재</x:v>
      </x:c>
      <x:c r="F35" s="132" t="str"/>
      <x:c r="G35" s="132" t="str">
        <x:v>수행 배정 없음</x:v>
      </x:c>
      <x:c r="H35" s="140" t="n">
        <x:v>0</x:v>
      </x:c>
      <x:c r="I35" s="140" t="n">
        <x:v>0</x:v>
      </x:c>
      <x:c r="J35" s="140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str">
        <x:v>Unavailable</x:v>
      </x:c>
    </x:row>
    <x:row r="36" ht="60" customHeight="1">
      <x:c r="A36" s="134" t="n">
        <x:v>46283</x:v>
      </x:c>
      <x:c r="B36" s="130" t="str">
        <x:v>AM</x:v>
      </x:c>
      <x:c r="C36" s="130" t="str">
        <x:v>이권욱</x:v>
      </x:c>
      <x:c r="D36" s="130" t="str">
        <x:v>지원</x:v>
      </x:c>
      <x:c r="E36" s="130" t="str">
        <x:v>CI·IF-06B/monitor01 통합 및 증적</x:v>
      </x:c>
      <x:c r="F36" s="130" t="str">
        <x:v>P1-CICD-01</x:v>
      </x:c>
      <x:c r="G36" s="130" t="str">
        <x:v>G1 인수·이재환 복귀</x:v>
      </x:c>
      <x:c r="H36" s="138" t="n">
        <x:v>0.5</x:v>
      </x:c>
      <x:c r="I36" s="138" t="n">
        <x:v>1</x:v>
      </x:c>
      <x:c r="J36" s="138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str">
        <x:v>2026-09-18 AM</x:v>
      </x:c>
    </x:row>
    <x:row r="37" ht="60" customHeight="1">
      <x:c r="A37" s="135" t="n">
        <x:v>46283</x:v>
      </x:c>
      <x:c r="B37" s="131" t="str">
        <x:v>AM</x:v>
      </x:c>
      <x:c r="C37" s="131" t="str">
        <x:v>이하영</x:v>
      </x:c>
      <x:c r="D37" s="131" t="str">
        <x:v>지원</x:v>
      </x:c>
      <x:c r="E37" s="131" t="str">
        <x:v>APP/MON 보안·권한·배치 검증</x:v>
      </x:c>
      <x:c r="F37" s="131" t="str">
        <x:v>P1-SEC-01</x:v>
      </x:c>
      <x:c r="G37" s="131" t="str">
        <x:v>G1 인수·이재환 복귀</x:v>
      </x:c>
      <x:c r="H37" s="139" t="n">
        <x:v>0.5</x:v>
      </x:c>
      <x:c r="I37" s="139" t="n">
        <x:v>1</x:v>
      </x:c>
      <x:c r="J37" s="139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str">
        <x:v>2026-09-18 AM</x:v>
      </x:c>
    </x:row>
    <x:row r="38" ht="60" customHeight="1">
      <x:c r="A38" s="134" t="n">
        <x:v>46283</x:v>
      </x:c>
      <x:c r="B38" s="130" t="str">
        <x:v>AM</x:v>
      </x:c>
      <x:c r="C38" s="130" t="str">
        <x:v>이재환</x:v>
      </x:c>
      <x:c r="D38" s="130" t="str">
        <x:v>통합</x:v>
      </x:c>
      <x:c r="E38" s="130" t="str">
        <x:v>복귀 인수·APP/DB/MON Runtime 통합</x:v>
      </x:c>
      <x:c r="F38" s="130" t="str">
        <x:v>P1-APP-01</x:v>
      </x:c>
      <x:c r="G38" s="130" t="str">
        <x:v>G1 인수·이재환 복귀</x:v>
      </x:c>
      <x:c r="H38" s="138" t="n">
        <x:v>0.5</x:v>
      </x:c>
      <x:c r="I38" s="138" t="n">
        <x:v>1</x:v>
      </x:c>
      <x:c r="J38" s="138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str">
        <x:v>2026-09-18 AM</x:v>
      </x:c>
    </x:row>
    <x:row r="39" ht="60" customHeight="1">
      <x:c r="A39" s="135" t="n">
        <x:v>46283</x:v>
      </x:c>
      <x:c r="B39" s="131" t="str">
        <x:v>PM</x:v>
      </x:c>
      <x:c r="C39" s="131" t="str">
        <x:v>이권욱</x:v>
      </x:c>
      <x:c r="D39" s="131" t="str">
        <x:v>검증</x:v>
      </x:c>
      <x:c r="E39" s="131" t="str">
        <x:v>고정 환경의 IF-06B/Source/Return Path 관찰</x:v>
      </x:c>
      <x:c r="F39" s="131" t="str">
        <x:v>ICR-D-NET-01-01</x:v>
      </x:c>
      <x:c r="G39" s="131" t="str">
        <x:v>APP/DB/MON 정상·시험 순서/환경 동결</x:v>
      </x:c>
      <x:c r="H39" s="139" t="n">
        <x:v>0.5</x:v>
      </x:c>
      <x:c r="I39" s="139" t="n">
        <x:v>1</x:v>
      </x:c>
      <x:c r="J39" s="139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str">
        <x:v>2026-09-18 PM</x:v>
      </x:c>
    </x:row>
    <x:row r="40" ht="60" customHeight="1">
      <x:c r="A40" s="134" t="n">
        <x:v>46283</x:v>
      </x:c>
      <x:c r="B40" s="130" t="str">
        <x:v>PM</x:v>
      </x:c>
      <x:c r="C40" s="130" t="str">
        <x:v>이하영</x:v>
      </x:c>
      <x:c r="D40" s="130" t="str">
        <x:v>검증</x:v>
      </x:c>
      <x:c r="E40" s="130" t="str">
        <x:v>합의된 순서로 보안 Positive/Negative 시험</x:v>
      </x:c>
      <x:c r="F40" s="130" t="str">
        <x:v>P1-SEC-01</x:v>
      </x:c>
      <x:c r="G40" s="130" t="str">
        <x:v>APP/DB/MON 정상·시험 순서/환경 동결</x:v>
      </x:c>
      <x:c r="H40" s="138" t="n">
        <x:v>0.5</x:v>
      </x:c>
      <x:c r="I40" s="138" t="n">
        <x:v>1</x:v>
      </x:c>
      <x:c r="J40" s="138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str">
        <x:v>2026-09-18 PM</x:v>
      </x:c>
    </x:row>
    <x:row r="41" ht="60" customHeight="1">
      <x:c r="A41" s="135" t="n">
        <x:v>46283</x:v>
      </x:c>
      <x:c r="B41" s="131" t="str">
        <x:v>PM</x:v>
      </x:c>
      <x:c r="C41" s="131" t="str">
        <x:v>이재환</x:v>
      </x:c>
      <x:c r="D41" s="131" t="str">
        <x:v>검증</x:v>
      </x:c>
      <x:c r="E41" s="131" t="str">
        <x:v>Initial E2E·MON 14+2 AC·Alert/Watchdog 검증</x:v>
      </x:c>
      <x:c r="F41" s="131" t="str">
        <x:v>P1-MON-01</x:v>
      </x:c>
      <x:c r="G41" s="131" t="str">
        <x:v>APP/DB/MON 정상·시험 순서/환경 동결</x:v>
      </x:c>
      <x:c r="H41" s="139" t="n">
        <x:v>0.5</x:v>
      </x:c>
      <x:c r="I41" s="139" t="n">
        <x:v>1</x:v>
      </x:c>
      <x:c r="J41" s="139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str">
        <x:v>2026-09-18 PM</x:v>
      </x:c>
    </x:row>
    <x:row r="42" ht="60" customHeight="1">
      <x:c r="A42" s="134" t="n">
        <x:v>46286</x:v>
      </x:c>
      <x:c r="B42" s="130" t="str">
        <x:v>AM</x:v>
      </x:c>
      <x:c r="C42" s="130" t="str">
        <x:v>이권욱</x:v>
      </x:c>
      <x:c r="D42" s="130" t="str">
        <x:v>지원</x:v>
      </x:c>
      <x:c r="E42" s="130" t="str">
        <x:v>Drain 창의 LB/CI/통신·증적 관찰</x:v>
      </x:c>
      <x:c r="F42" s="130" t="str">
        <x:v>P1-HA-01</x:v>
      </x:c>
      <x:c r="G42" s="130" t="str">
        <x:v>Initial E2E·보안·분산 배치 정상</x:v>
      </x:c>
      <x:c r="H42" s="138" t="n">
        <x:v>0.5</x:v>
      </x:c>
      <x:c r="I42" s="138" t="n">
        <x:v>1</x:v>
      </x:c>
      <x:c r="J42" s="138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str">
        <x:v>2026-09-21 AM</x:v>
      </x:c>
    </x:row>
    <x:row r="43" ht="60" customHeight="1">
      <x:c r="A43" s="135" t="n">
        <x:v>46286</x:v>
      </x:c>
      <x:c r="B43" s="131" t="str">
        <x:v>AM</x:v>
      </x:c>
      <x:c r="C43" s="131" t="str">
        <x:v>이하영</x:v>
      </x:c>
      <x:c r="D43" s="131" t="str">
        <x:v>지원</x:v>
      </x:c>
      <x:c r="E43" s="131" t="str">
        <x:v>Drain 복구·노드/보안 회귀 검증</x:v>
      </x:c>
      <x:c r="F43" s="131" t="str">
        <x:v>P1-SEC-01</x:v>
      </x:c>
      <x:c r="G43" s="131" t="str">
        <x:v>Initial E2E·보안·분산 배치 정상</x:v>
      </x:c>
      <x:c r="H43" s="139" t="n">
        <x:v>0.5</x:v>
      </x:c>
      <x:c r="I43" s="139" t="n">
        <x:v>1</x:v>
      </x:c>
      <x:c r="J43" s="139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str">
        <x:v>2026-09-21 AM</x:v>
      </x:c>
    </x:row>
    <x:row r="44" ht="60" customHeight="1">
      <x:c r="A44" s="134" t="n">
        <x:v>46286</x:v>
      </x:c>
      <x:c r="B44" s="130" t="str">
        <x:v>AM</x:v>
      </x:c>
      <x:c r="C44" s="130" t="str">
        <x:v>이재환</x:v>
      </x:c>
      <x:c r="D44" s="130" t="str">
        <x:v>시험</x:v>
      </x:c>
      <x:c r="E44" s="130" t="str">
        <x:v>Worker Drain→복구→E2E, Restore 동시 실행 금지</x:v>
      </x:c>
      <x:c r="F44" s="130" t="str">
        <x:v>P1-HA-01</x:v>
      </x:c>
      <x:c r="G44" s="130" t="str">
        <x:v>Initial E2E·보안·분산 배치 정상</x:v>
      </x:c>
      <x:c r="H44" s="138" t="n">
        <x:v>0.5</x:v>
      </x:c>
      <x:c r="I44" s="138" t="n">
        <x:v>1</x:v>
      </x:c>
      <x:c r="J44" s="138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str">
        <x:v>2026-09-21 AM</x:v>
      </x:c>
    </x:row>
    <x:row r="45" ht="60" customHeight="1">
      <x:c r="A45" s="135" t="n">
        <x:v>46286</x:v>
      </x:c>
      <x:c r="B45" s="131" t="str">
        <x:v>PM</x:v>
      </x:c>
      <x:c r="C45" s="131" t="str">
        <x:v>이권욱</x:v>
      </x:c>
      <x:c r="D45" s="131" t="str">
        <x:v>인수</x:v>
      </x:c>
      <x:c r="E45" s="131" t="str">
        <x:v>Restore 증적 대조·ICR 잔여·G2 인수 준비</x:v>
      </x:c>
      <x:c r="F45" s="131" t="str">
        <x:v>ICR-D-NET-01-01</x:v>
      </x:c>
      <x:c r="G45" s="131" t="str">
        <x:v>Drain 복구 확인·격리 Restore 승인 대상</x:v>
      </x:c>
      <x:c r="H45" s="139" t="n">
        <x:v>0.5</x:v>
      </x:c>
      <x:c r="I45" s="139" t="n">
        <x:v>1</x:v>
      </x:c>
      <x:c r="J45" s="139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str">
        <x:v>2026-09-21 PM</x:v>
      </x:c>
    </x:row>
    <x:row r="46" ht="60" customHeight="1">
      <x:c r="A46" s="134" t="n">
        <x:v>46286</x:v>
      </x:c>
      <x:c r="B46" s="130" t="str">
        <x:v>PM</x:v>
      </x:c>
      <x:c r="C46" s="130" t="str">
        <x:v>이하영</x:v>
      </x:c>
      <x:c r="D46" s="130" t="str">
        <x:v>인수</x:v>
      </x:c>
      <x:c r="E46" s="130" t="str">
        <x:v>Restore 후 보안 회귀·G2 인수 판단</x:v>
      </x:c>
      <x:c r="F46" s="130" t="str">
        <x:v>MS-G2-01</x:v>
      </x:c>
      <x:c r="G46" s="130" t="str">
        <x:v>Drain 복구 확인·격리 Restore 승인 대상</x:v>
      </x:c>
      <x:c r="H46" s="138" t="n">
        <x:v>0.5</x:v>
      </x:c>
      <x:c r="I46" s="138" t="n">
        <x:v>1</x:v>
      </x:c>
      <x:c r="J46" s="138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str">
        <x:v>2026-09-21 PM</x:v>
      </x:c>
    </x:row>
    <x:row r="47" ht="60" customHeight="1">
      <x:c r="A47" s="135" t="n">
        <x:v>46286</x:v>
      </x:c>
      <x:c r="B47" s="131" t="str">
        <x:v>PM</x:v>
      </x:c>
      <x:c r="C47" s="131" t="str">
        <x:v>이재환</x:v>
      </x:c>
      <x:c r="D47" s="131" t="str">
        <x:v>시험</x:v>
      </x:c>
      <x:c r="E47" s="131" t="str">
        <x:v>격리 Restore→최종 E2E·DB 정합성</x:v>
      </x:c>
      <x:c r="F47" s="131" t="str">
        <x:v>P1-DR-01</x:v>
      </x:c>
      <x:c r="G47" s="131" t="str">
        <x:v>Drain 복구 확인·격리 Restore 승인 대상</x:v>
      </x:c>
      <x:c r="H47" s="139" t="n">
        <x:v>0.5</x:v>
      </x:c>
      <x:c r="I47" s="139" t="n">
        <x:v>1</x:v>
      </x:c>
      <x:c r="J47" s="139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str">
        <x:v>2026-09-21 PM</x:v>
      </x:c>
    </x:row>
    <x:row r="48" ht="60" customHeight="1">
      <x:c r="A48" s="134" t="n">
        <x:v>46287</x:v>
      </x:c>
      <x:c r="B48" s="130" t="str">
        <x:v>AM</x:v>
      </x:c>
      <x:c r="C48" s="130" t="str">
        <x:v>이권욱</x:v>
      </x:c>
      <x:c r="D48" s="130" t="str">
        <x:v>동결</x:v>
      </x:c>
      <x:c r="E48" s="130" t="str">
        <x:v>Final Evidence/Runbook·Critical Issue·G3</x:v>
      </x:c>
      <x:c r="F48" s="130" t="str">
        <x:v>P1-DOC-01</x:v>
      </x:c>
      <x:c r="G48" s="130" t="str">
        <x:v>Restore 후 E2E·G2 통과</x:v>
      </x:c>
      <x:c r="H48" s="138" t="n">
        <x:v>0.5</x:v>
      </x:c>
      <x:c r="I48" s="138" t="n">
        <x:v>1</x:v>
      </x:c>
      <x:c r="J48" s="138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str">
        <x:v>2026-09-22 AM</x:v>
      </x:c>
    </x:row>
    <x:row r="49" ht="60" customHeight="1">
      <x:c r="A49" s="135" t="n">
        <x:v>46287</x:v>
      </x:c>
      <x:c r="B49" s="131" t="str">
        <x:v>AM</x:v>
      </x:c>
      <x:c r="C49" s="131" t="str">
        <x:v>이하영</x:v>
      </x:c>
      <x:c r="D49" s="131" t="str">
        <x:v>검토</x:v>
      </x:c>
      <x:c r="E49" s="131" t="str">
        <x:v>최종 회귀 및 보안·구성 Source 대조</x:v>
      </x:c>
      <x:c r="F49" s="131" t="str">
        <x:v>P1-SEC-01</x:v>
      </x:c>
      <x:c r="G49" s="131" t="str">
        <x:v>Restore 후 E2E·G2 통과</x:v>
      </x:c>
      <x:c r="H49" s="139" t="n">
        <x:v>0.5</x:v>
      </x:c>
      <x:c r="I49" s="139" t="n">
        <x:v>1</x:v>
      </x:c>
      <x:c r="J49" s="139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str">
        <x:v>2026-09-22 AM</x:v>
      </x:c>
    </x:row>
    <x:row r="50" ht="60" customHeight="1">
      <x:c r="A50" s="134" t="n">
        <x:v>46287</x:v>
      </x:c>
      <x:c r="B50" s="130" t="str">
        <x:v>AM</x:v>
      </x:c>
      <x:c r="C50" s="130" t="str">
        <x:v>이재환</x:v>
      </x:c>
      <x:c r="D50" s="130" t="str">
        <x:v>시험</x:v>
      </x:c>
      <x:c r="E50" s="130" t="str">
        <x:v>Final E2E/Regression·데모 재현</x:v>
      </x:c>
      <x:c r="F50" s="130" t="str">
        <x:v>P1-E2E-01</x:v>
      </x:c>
      <x:c r="G50" s="130" t="str">
        <x:v>Restore 후 E2E·G2 통과</x:v>
      </x:c>
      <x:c r="H50" s="138" t="n">
        <x:v>0.5</x:v>
      </x:c>
      <x:c r="I50" s="138" t="n">
        <x:v>1</x:v>
      </x:c>
      <x:c r="J50" s="138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str">
        <x:v>2026-09-22 AM</x:v>
      </x:c>
    </x:row>
    <x:row r="51" ht="60" customHeight="1">
      <x:c r="A51" s="135" t="n">
        <x:v>46287</x:v>
      </x:c>
      <x:c r="B51" s="131" t="str">
        <x:v>PM</x:v>
      </x:c>
      <x:c r="C51" s="131" t="str">
        <x:v>이권욱</x:v>
      </x:c>
      <x:c r="D51" s="131" t="str">
        <x:v>리뷰</x:v>
      </x:c>
      <x:c r="E51" s="131" t="str">
        <x:v>평일 Review 진행·Action 기록</x:v>
      </x:c>
      <x:c r="F51" s="131" t="str">
        <x:v>MS-P1-REVIEW-01</x:v>
      </x:c>
      <x:c r="G51" s="131" t="str">
        <x:v>G3 통과·참석자/시간 확정</x:v>
      </x:c>
      <x:c r="H51" s="139" t="n">
        <x:v>0.5</x:v>
      </x:c>
      <x:c r="I51" s="139" t="n">
        <x:v>1</x:v>
      </x:c>
      <x:c r="J51" s="139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str">
        <x:v>2026-09-22 PM</x:v>
      </x:c>
    </x:row>
    <x:row r="52" ht="60" customHeight="1">
      <x:c r="A52" s="134" t="n">
        <x:v>46287</x:v>
      </x:c>
      <x:c r="B52" s="130" t="str">
        <x:v>PM</x:v>
      </x:c>
      <x:c r="C52" s="130" t="str">
        <x:v>이하영</x:v>
      </x:c>
      <x:c r="D52" s="130" t="str">
        <x:v>리뷰</x:v>
      </x:c>
      <x:c r="E52" s="130" t="str">
        <x:v>Review·보안/플랫폼 질의 대응</x:v>
      </x:c>
      <x:c r="F52" s="130" t="str">
        <x:v>MS-P1-REVIEW-01</x:v>
      </x:c>
      <x:c r="G52" s="130" t="str">
        <x:v>G3 통과·참석자/시간 확정</x:v>
      </x:c>
      <x:c r="H52" s="138" t="n">
        <x:v>0.5</x:v>
      </x:c>
      <x:c r="I52" s="138" t="n">
        <x:v>1</x:v>
      </x:c>
      <x:c r="J52" s="138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str">
        <x:v>2026-09-22 PM</x:v>
      </x:c>
    </x:row>
    <x:row r="53" ht="60" customHeight="1">
      <x:c r="A53" s="135" t="n">
        <x:v>46287</x:v>
      </x:c>
      <x:c r="B53" s="131" t="str">
        <x:v>PM</x:v>
      </x:c>
      <x:c r="C53" s="131" t="str">
        <x:v>이재환</x:v>
      </x:c>
      <x:c r="D53" s="131" t="str">
        <x:v>리뷰</x:v>
      </x:c>
      <x:c r="E53" s="131" t="str">
        <x:v>Demo·앱/DB/모니터링 질의 대응</x:v>
      </x:c>
      <x:c r="F53" s="131" t="str">
        <x:v>MS-P1-REVIEW-01</x:v>
      </x:c>
      <x:c r="G53" s="131" t="str">
        <x:v>G3 통과·참석자/시간 확정</x:v>
      </x:c>
      <x:c r="H53" s="139" t="n">
        <x:v>0.5</x:v>
      </x:c>
      <x:c r="I53" s="139" t="n">
        <x:v>1</x:v>
      </x:c>
      <x:c r="J53" s="139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str">
        <x:v>2026-09-22 PM</x:v>
      </x:c>
    </x:row>
    <x:row r="54" ht="60" customHeight="1">
      <x:c r="A54" s="137" t="n">
        <x:v>46288</x:v>
      </x:c>
      <x:c r="B54" s="133" t="str">
        <x:v>AM</x:v>
      </x:c>
      <x:c r="C54" s="133" t="str">
        <x:v>이권욱</x:v>
      </x:c>
      <x:c r="D54" s="133" t="str">
        <x:v>버퍼</x:v>
      </x:c>
      <x:c r="E54" s="133" t="str">
        <x:v>Review Action·결함 보완/재시험 예비 창</x:v>
      </x:c>
      <x:c r="F54" s="133" t="str">
        <x:v>P1-REV-01</x:v>
      </x:c>
      <x:c r="G54" s="133" t="str">
        <x:v>Review Action 목록</x:v>
      </x:c>
      <x:c r="H54" s="141" t="n">
        <x:v>0.5</x:v>
      </x:c>
      <x:c r="I54" s="141" t="n">
        <x:v>1</x:v>
      </x:c>
      <x:c r="J54" s="141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str">
        <x:v>2026-09-23 AM</x:v>
      </x:c>
    </x:row>
    <x:row r="55" ht="60" customHeight="1">
      <x:c r="A55" s="137" t="n">
        <x:v>46288</x:v>
      </x:c>
      <x:c r="B55" s="133" t="str">
        <x:v>AM</x:v>
      </x:c>
      <x:c r="C55" s="133" t="str">
        <x:v>이하영</x:v>
      </x:c>
      <x:c r="D55" s="133" t="str">
        <x:v>버퍼</x:v>
      </x:c>
      <x:c r="E55" s="133" t="str">
        <x:v>Review Action·결함 보완/재시험 예비 창</x:v>
      </x:c>
      <x:c r="F55" s="133" t="str">
        <x:v>P1-REV-01</x:v>
      </x:c>
      <x:c r="G55" s="133" t="str">
        <x:v>Review Action 목록</x:v>
      </x:c>
      <x:c r="H55" s="141" t="n">
        <x:v>0.5</x:v>
      </x:c>
      <x:c r="I55" s="141" t="n">
        <x:v>1</x:v>
      </x:c>
      <x:c r="J55" s="141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str">
        <x:v>2026-09-23 AM</x:v>
      </x:c>
    </x:row>
    <x:row r="56" ht="60" customHeight="1">
      <x:c r="A56" s="137" t="n">
        <x:v>46288</x:v>
      </x:c>
      <x:c r="B56" s="133" t="str">
        <x:v>AM</x:v>
      </x:c>
      <x:c r="C56" s="133" t="str">
        <x:v>이재환</x:v>
      </x:c>
      <x:c r="D56" s="133" t="str">
        <x:v>버퍼</x:v>
      </x:c>
      <x:c r="E56" s="133" t="str">
        <x:v>Review Action·결함 보완/재시험 예비 창</x:v>
      </x:c>
      <x:c r="F56" s="133" t="str">
        <x:v>P1-REV-01</x:v>
      </x:c>
      <x:c r="G56" s="133" t="str">
        <x:v>Review Action 목록</x:v>
      </x:c>
      <x:c r="H56" s="141" t="n">
        <x:v>0.5</x:v>
      </x:c>
      <x:c r="I56" s="141" t="n">
        <x:v>1</x:v>
      </x:c>
      <x:c r="J56" s="141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str">
        <x:v>2026-09-23 AM</x:v>
      </x:c>
    </x:row>
    <x:row r="57" ht="60" customHeight="1">
      <x:c r="A57" s="135" t="n">
        <x:v>46288</x:v>
      </x:c>
      <x:c r="B57" s="131" t="str">
        <x:v>PM</x:v>
      </x:c>
      <x:c r="C57" s="131" t="str">
        <x:v>이권욱</x:v>
      </x:c>
      <x:c r="D57" s="131" t="str">
        <x:v>종료</x:v>
      </x:c>
      <x:c r="E57" s="131" t="str">
        <x:v>P0 Sign-off·P1 Owner/Due 이관·Phase 1 Close</x:v>
      </x:c>
      <x:c r="F57" s="131" t="str">
        <x:v>MS-P1-CLOSE-01</x:v>
      </x:c>
      <x:c r="G57" s="131" t="str">
        <x:v>P0 전부 충족·Critical 0·인수 승인</x:v>
      </x:c>
      <x:c r="H57" s="139" t="n">
        <x:v>0.5</x:v>
      </x:c>
      <x:c r="I57" s="139" t="n">
        <x:v>1</x:v>
      </x:c>
      <x:c r="J57" s="139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str">
        <x:v>2026-09-23 PM</x:v>
      </x:c>
    </x:row>
    <x:row r="58" ht="60" customHeight="1">
      <x:c r="A58" s="134" t="n">
        <x:v>46288</x:v>
      </x:c>
      <x:c r="B58" s="130" t="str">
        <x:v>PM</x:v>
      </x:c>
      <x:c r="C58" s="130" t="str">
        <x:v>이하영</x:v>
      </x:c>
      <x:c r="D58" s="130" t="str">
        <x:v>종료</x:v>
      </x:c>
      <x:c r="E58" s="130" t="str">
        <x:v>보안/플랫폼 Runbook·Known Issue 인계</x:v>
      </x:c>
      <x:c r="F58" s="130" t="str">
        <x:v>MS-P1-CLOSE-01</x:v>
      </x:c>
      <x:c r="G58" s="130" t="str">
        <x:v>P0 전부 충족·Critical 0·인수 승인</x:v>
      </x:c>
      <x:c r="H58" s="138" t="n">
        <x:v>0.5</x:v>
      </x:c>
      <x:c r="I58" s="138" t="n">
        <x:v>1</x:v>
      </x:c>
      <x:c r="J58" s="138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str">
        <x:v>2026-09-23 PM</x:v>
      </x:c>
    </x:row>
    <x:row r="59" ht="60" customHeight="1">
      <x:c r="A59" s="135" t="n">
        <x:v>46288</x:v>
      </x:c>
      <x:c r="B59" s="131" t="str">
        <x:v>PM</x:v>
      </x:c>
      <x:c r="C59" s="131" t="str">
        <x:v>이재환</x:v>
      </x:c>
      <x:c r="D59" s="131" t="str">
        <x:v>종료</x:v>
      </x:c>
      <x:c r="E59" s="131" t="str">
        <x:v>APP/DB/MON Runbook·Known Issue 인계</x:v>
      </x:c>
      <x:c r="F59" s="131" t="str">
        <x:v>MS-P1-CLOSE-01</x:v>
      </x:c>
      <x:c r="G59" s="131" t="str">
        <x:v>P0 전부 충족·Critical 0·인수 승인</x:v>
      </x:c>
      <x:c r="H59" s="139" t="n">
        <x:v>0.5</x:v>
      </x:c>
      <x:c r="I59" s="139" t="n">
        <x:v>1</x:v>
      </x:c>
      <x:c r="J59" s="139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str">
        <x:v>2026-09-23 PM</x:v>
      </x:c>
    </x:row>
  </x:sheetData>
  <x:mergeCells>
    <x:mergeCell ref="A1:L1"/>
    <x:mergeCell ref="A2:L2"/>
    <x:mergeCell ref="A3:L3"/>
  </x:mergeCells>
  <x:conditionalFormatting sqref="K6:K59">
    <x:cfRule type="containsText" dxfId="38" priority="1" operator="containsText" text="OVERBOOKED"/>
  </x:conditionalFormatting>
  <x:pageMargins left="0.7" right="0.7" top="0.75" bottom="0.75" header="0.3" footer="0.3"/>
</x:worksheet>
</file>