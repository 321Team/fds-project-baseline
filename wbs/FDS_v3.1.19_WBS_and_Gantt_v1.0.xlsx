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29ceecd1e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fae9835becb8450b"/>
    <x:sheet xmlns:r="http://schemas.openxmlformats.org/officeDocument/2006/relationships" name="WBS" sheetId="2" r:id="Rcc138e90d38c4223"/>
    <x:sheet xmlns:r="http://schemas.openxmlformats.org/officeDocument/2006/relationships" name="Phase 1 Gantt" sheetId="3" r:id="Rece9c63eb99b474b"/>
    <x:sheet xmlns:r="http://schemas.openxmlformats.org/officeDocument/2006/relationships" name="Phase 2 Gantt" sheetId="4" r:id="Rb23053566ea54a1e"/>
    <x:sheet xmlns:r="http://schemas.openxmlformats.org/officeDocument/2006/relationships" name="Milestones &amp; Decisions" sheetId="5" r:id="R4409eae8f3b14581"/>
    <x:sheet xmlns:r="http://schemas.openxmlformats.org/officeDocument/2006/relationships" name="Risks &amp; Assumptions" sheetId="6" r:id="R36c7a497fcca41ea"/>
    <x:sheet xmlns:r="http://schemas.openxmlformats.org/officeDocument/2006/relationships" name="Sources &amp; Change Log" sheetId="7" r:id="R3c0be833ae7743ce"/>
    <x:sheet xmlns:r="http://schemas.openxmlformats.org/officeDocument/2006/relationships" name="Team Calendar" sheetId="8" r:id="Ra9d7cdee84c44778"/>
    <x:sheet xmlns:r="http://schemas.openxmlformats.org/officeDocument/2006/relationships" name="Fast Track Plan" sheetId="9" r:id="R31109ef89c3b47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m/d"/>
    <x:numFmt numFmtId="202" formatCode=";;;"/>
    <x:numFmt numFmtId="203" formatCode="0"/>
    <x:numFmt numFmtId="204" formatCode="@"/>
    <x:numFmt numFmtId="205" formatCode="mm-dd"/>
    <x:numFmt numFmtId="206" formatCode="0.0"/>
  </x:numFmts>
  <x:fonts count="24">
    <x:font>
      <x:sz val="11"/>
      <x:name val="Carlito"/>
    </x:font>
    <x:font>
      <x:b/>
      <x:sz val="20"/>
      <x:color rgb="FFFFFFFF"/>
      <x:name val="NanumGothic"/>
    </x:font>
    <x:font>
      <x:b/>
      <x:sz val="10"/>
      <x:color rgb="FFFFFFFF"/>
      <x:name val="NanumGothic"/>
    </x:font>
    <x:font>
      <x:sz val="9"/>
      <x:color rgb="FF16283A"/>
      <x:name val="NanumGothic"/>
    </x:font>
    <x:font>
      <x:b/>
      <x:sz val="9"/>
      <x:color rgb="FF16283A"/>
      <x:name val="NanumGothic"/>
    </x:font>
    <x:font>
      <x:b/>
      <x:sz val="11"/>
      <x:color rgb="FFFFFFFF"/>
      <x:name val="NanumGothic"/>
    </x:font>
    <x:font>
      <x:i/>
      <x:sz val="9"/>
      <x:color rgb="FF5E7184"/>
      <x:name val="NanumGothic"/>
    </x:font>
    <x:font>
      <x:b/>
      <x:sz val="16"/>
      <x:color rgb="FFFFFFFF"/>
      <x:name val="Carlito"/>
    </x:font>
    <x:font>
      <x:i/>
      <x:sz val="9"/>
      <x:color rgb="FF16283A"/>
      <x:name val="Carlito"/>
    </x:font>
    <x:font>
      <x:b/>
      <x:sz val="9"/>
      <x:color rgb="FFFFFFFF"/>
      <x:name val="Carlito"/>
    </x:font>
    <x:font>
      <x:sz val="9"/>
      <x:color rgb="FF16283A"/>
      <x:name val="Carlito"/>
    </x:font>
    <x:font>
      <x:b/>
      <x:sz val="9"/>
      <x:color rgb="FF16283A"/>
      <x:name val="Carlito"/>
    </x:font>
    <x:font>
      <x:b/>
      <x:sz val="9"/>
      <x:color rgb="FF7F6000"/>
      <x:name val="Carlito"/>
    </x:font>
    <x:font>
      <x:b/>
      <x:sz val="9"/>
      <x:color rgb="FF7F6000"/>
      <x:name val="NanumGothic"/>
    </x:font>
    <x:font>
      <x:b/>
      <x:sz val="9"/>
      <x:color rgb="FF7A4E00"/>
      <x:name val="NanumGothic"/>
    </x:font>
    <x:font>
      <x:sz val="11"/>
      <x:color rgb="FF9FB4C5"/>
      <x:name val="Carlito"/>
    </x:font>
    <x:font>
      <x:b/>
      <x:sz val="17"/>
      <x:color rgb="FFFFFFFF"/>
      <x:name val="Noto Sans CJK KR"/>
    </x:font>
    <x:font>
      <x:sz val="9"/>
      <x:color rgb="FF183C5A"/>
      <x:name val="Calibri"/>
    </x:font>
    <x:font>
      <x:b/>
      <x:sz val="9"/>
      <x:color rgb="FF183C5A"/>
      <x:name val="Calibri"/>
    </x:font>
    <x:font>
      <x:b/>
      <x:sz val="9"/>
      <x:color rgb="FF566577"/>
      <x:name val="Noto Sans CJK KR"/>
    </x:font>
    <x:font>
      <x:b/>
      <x:sz val="16"/>
      <x:color rgb="FFFFFFFF"/>
      <x:name val="Noto Sans CJK KR"/>
    </x:font>
    <x:font>
      <x:b/>
      <x:sz val="10"/>
      <x:color rgb="FFFFFFFF"/>
      <x:name val="Noto Sans CJK KR"/>
    </x:font>
    <x:font>
      <x:sz val="9"/>
      <x:color rgb="FF183C5A"/>
      <x:name val="Noto Sans CJK KR"/>
    </x:font>
    <x:font>
      <x:sz val="10"/>
      <x:color rgb="FF25486C"/>
      <x:name val="Arial"/>
    </x:font>
  </x:fonts>
  <x:fills count="23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  <x:fill>
      <x:patternFill patternType="solid">
        <x:fgColor rgb="FFEEF7FB"/>
      </x:patternFill>
    </x:fill>
    <x:fill>
      <x:patternFill patternType="solid">
        <x:fgColor rgb="FFF3F6F8"/>
      </x:patternFill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163A5F"/>
      </x:patternFill>
    </x:fill>
    <x:fill>
      <x:patternFill patternType="solid">
        <x:fgColor rgb="FFFFFFFF"/>
      </x:patternFill>
    </x:fill>
    <x:fill>
      <x:patternFill patternType="solid">
        <x:fgColor rgb="FFFFF3CD"/>
      </x:patternFill>
    </x:fill>
    <x:fill>
      <x:patternFill patternType="solid">
        <x:fgColor rgb="FFF4B740"/>
      </x:patternFill>
    </x:fill>
    <x:fill>
      <x:patternFill patternType="solid">
        <x:fgColor rgb="FFFFF3CD"/>
      </x:patternFill>
    </x:fill>
    <x:fill>
      <x:patternFill patternType="solid">
        <x:fgColor rgb="FFF4C145"/>
      </x:patternFill>
    </x:fill>
    <x:fill>
      <x:patternFill patternType="solid">
        <x:fgColor rgb="FF9FB4C5"/>
      </x:patternFill>
    </x:fill>
    <x:fill>
      <x:patternFill patternType="solid">
        <x:fgColor rgb="FF183C5A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  <x:fill>
      <x:patternFill patternType="solid">
        <x:fgColor rgb="FFF1F3F5"/>
      </x:patternFill>
    </x:fill>
    <x:fill>
      <x:patternFill patternType="solid">
        <x:fgColor rgb="FF183C5A"/>
      </x:patternFill>
    </x:fill>
    <x:fill>
      <x:patternFill patternType="solid">
        <x:fgColor rgb="FFF1F6FA"/>
      </x:patternFill>
    </x:fill>
    <x:fill>
      <x:patternFill patternType="solid">
        <x:fgColor rgb="FFECEFF2"/>
      </x:patternFill>
    </x:fill>
    <x:fill>
      <x:patternFill patternType="solid">
        <x:fgColor rgb="FFFFF1CC"/>
      </x:patternFill>
    </x:fill>
  </x:fills>
  <x:borders count="5">
    <x:border/>
    <x:border>
      <x:left style="thin">
        <x:color rgb="FFCCD8E2"/>
      </x:left>
      <x:right style="thin">
        <x:color rgb="FFCCD8E2"/>
      </x:right>
      <x:top style="thin">
        <x:color rgb="FFCCD8E2"/>
      </x:top>
      <x:bottom style="thin">
        <x:color rgb="FFCCD8E2"/>
      </x:bottom>
    </x:border>
    <x:border>
      <x:left style="medium">
        <x:color rgb="FF3D8DFF"/>
      </x:left>
      <x:right style="medium">
        <x:color rgb="FF3D8DFF"/>
      </x:right>
      <x:top style="thin">
        <x:color rgb="FFCCD8E2"/>
      </x:top>
      <x:bottom style="thin">
        <x:color rgb="FFCCD8E2"/>
      </x:bottom>
    </x:border>
    <x:border>
      <x:left style="thin">
        <x:color rgb="FFC7D8E8"/>
      </x:left>
      <x:right style="thin">
        <x:color rgb="FFC7D8E8"/>
      </x:right>
      <x:top style="thin">
        <x:color rgb="FFC7D8E8"/>
      </x:top>
      <x:bottom style="thin">
        <x:color rgb="FFC7D8E8"/>
      </x:bottom>
    </x:border>
    <x:border>
      <x:left style="thin">
        <x:color rgb="FFD8E3EF"/>
      </x:left>
      <x:right style="thin">
        <x:color rgb="FFD8E3EF"/>
      </x:right>
      <x:top style="thin">
        <x:color rgb="FFD8E3EF"/>
      </x:top>
      <x:bottom style="thin">
        <x:color rgb="FFD8E3EF"/>
      </x:bottom>
    </x:border>
  </x:borders>
  <x:cellStyleXfs count="1">
    <x:xf numFmtId="0" fontId="0" fillId="0" borderId="0"/>
  </x:cellStyleXfs>
  <x:cellXfs count="1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3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6" fillId="4" borderId="0" xfId="0" applyNumberFormat="1" applyFont="1" applyFill="1" applyBorder="1"/>
    <x:xf numFmtId="201" fontId="2" fillId="3" borderId="1" xfId="0" applyNumberFormat="1" applyFont="1" applyFill="1" applyBorder="1" applyAlignment="1">
      <x:alignment horizontal="center" vertical="center" wrapText="1"/>
    </x:xf>
    <x:xf numFmtId="202" fontId="3" fillId="0" borderId="1" xfId="0" applyNumberFormat="1" applyFont="1" applyFill="1" applyBorder="1" applyAlignment="1">
      <x:alignment vertical="top" wrapText="1"/>
    </x:xf>
    <x:xf numFmtId="201" fontId="2" fillId="5" borderId="1" xfId="0" applyNumberFormat="1" applyFont="1" applyFill="1" applyBorder="1" applyAlignment="1">
      <x:alignment horizontal="center" vertical="center" wrapText="1"/>
    </x:xf>
    <x:xf numFmtId="202" fontId="3" fillId="5" borderId="1" xfId="0" applyNumberFormat="1" applyFont="1" applyFill="1" applyBorder="1" applyAlignment="1">
      <x:alignment vertical="top" wrapText="1"/>
    </x:xf>
    <x:xf numFmtId="201" fontId="2" fillId="3" borderId="2" xfId="0" applyNumberFormat="1" applyFont="1" applyFill="1" applyBorder="1" applyAlignment="1">
      <x:alignment horizontal="center" vertical="center" wrapText="1"/>
    </x:xf>
    <x:xf numFmtId="202" fontId="3" fillId="0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xfId="0" applyNumberFormat="1" applyFont="1" applyFill="1" applyBorder="0"/>
    <x:xf numFmtId="0" fontId="9" fillId="8" xfId="0" applyNumberFormat="1" applyFont="1" applyFill="1" applyBorder="0" applyAlignment="1">
      <x:alignment wrapText="1"/>
    </x:xf>
    <x:xf numFmtId="0" fontId="9" fillId="8" xfId="0" applyNumberFormat="1" applyFont="1" applyFill="1" applyBorder="0" applyAlignment="1">
      <x:alignment horizontal="center" wrapText="1"/>
    </x:xf>
    <x:xf numFmtId="0" fontId="9" fillId="8" xfId="0" applyNumberFormat="1" applyFont="1" applyFill="1" applyBorder="0" applyAlignment="1">
      <x:alignment horizontal="center"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xfId="0" applyNumberFormat="1" applyFont="1" applyFill="1" applyBorder="0"/>
    <x:xf numFmtId="0" fontId="10" fillId="9" xfId="0" applyNumberFormat="1" applyFont="1" applyFill="1" applyBorder="0" applyAlignment="1">
      <x:alignment wrapText="1"/>
    </x:xf>
    <x:xf numFmtId="0" fontId="10" fillId="9" xfId="0" applyNumberFormat="1" applyFont="1" applyFill="1" applyBorder="0" applyAlignment="1">
      <x:alignment vertical="center" wrapText="1"/>
    </x:xf>
    <x:xf numFmtId="0" fontId="10" fillId="10" xfId="0" applyNumberFormat="1" applyFont="1" applyFill="1" applyBorder="0" applyAlignment="1">
      <x:alignment vertical="center" wrapText="1"/>
    </x:xf>
    <x:xf numFmtId="200" fontId="10" fillId="9" xfId="0" applyNumberFormat="1" applyFont="1" applyFill="1" applyBorder="0" applyAlignment="1">
      <x:alignment vertical="center" wrapText="1"/>
    </x:xf>
    <x:xf numFmtId="200" fontId="10" fillId="10" xfId="0" applyNumberFormat="1" applyFont="1" applyFill="1" applyBorder="0" applyAlignment="1">
      <x:alignment vertical="center" wrapText="1"/>
    </x:xf>
    <x:xf numFmtId="0" fontId="10" fillId="0" borderId="0" xfId="0" applyNumberFormat="1" applyFont="1" applyFill="1" applyBorder="1"/>
    <x:xf numFmtId="0" fontId="10" fillId="0" xfId="0" applyNumberFormat="1" applyFont="1" applyFill="1" applyBorder="0"/>
    <x:xf numFmtId="0" fontId="10" fillId="0" xfId="0" applyNumberFormat="1" applyFont="1" applyFill="1" applyBorder="0" applyAlignment="1">
      <x:alignment wrapText="1"/>
    </x:xf>
    <x:xf numFmtId="0" fontId="10" fillId="0" xfId="0" applyNumberFormat="1" applyFont="1" applyFill="1" applyBorder="0" applyAlignment="1">
      <x:alignment vertical="center" wrapText="1"/>
    </x:xf>
    <x:xf numFmtId="0" fontId="11" fillId="7" borderId="0" xfId="0" applyNumberFormat="1" applyFont="1" applyFill="1" applyBorder="1"/>
    <x:xf numFmtId="0" fontId="11" fillId="7" xfId="0" applyNumberFormat="1" applyFont="1" applyFill="1" applyBorder="0"/>
    <x:xf numFmtId="0" fontId="11" fillId="7" xfId="0" applyNumberFormat="1" applyFont="1" applyFill="1" applyBorder="0" applyAlignment="1">
      <x:alignment wrapText="1"/>
    </x:xf>
    <x:xf numFmtId="200" fontId="11" fillId="7" xfId="0" applyNumberFormat="1" applyFont="1" applyFill="1" applyBorder="0" applyAlignment="1">
      <x:alignment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xfId="0" applyNumberFormat="1" applyFont="1" applyFill="1" applyBorder="0"/>
    <x:xf numFmtId="0" fontId="10" fillId="10" xfId="0" applyNumberFormat="1" applyFont="1" applyFill="1" applyBorder="0" applyAlignment="1">
      <x:alignment wrapText="1"/>
    </x:xf>
    <x:xf numFmtId="0" fontId="12" fillId="10" xfId="0" applyNumberFormat="1" applyFont="1" applyFill="1" applyBorder="0" applyAlignment="1">
      <x:alignment vertical="center" wrapText="1"/>
    </x:xf>
    <x:xf numFmtId="203" fontId="3" fillId="0" borderId="1" xfId="0" applyNumberFormat="1" applyFont="1" applyFill="1" applyBorder="1" applyAlignment="1">
      <x:alignment vertical="top" wrapText="1"/>
    </x:xf>
    <x:xf numFmtId="202" fontId="3" fillId="11" borderId="1" xfId="0" applyNumberFormat="1" applyFont="1" applyFill="1" applyBorder="1" applyAlignment="1">
      <x:alignment vertical="top" wrapText="1"/>
    </x:xf>
    <x:xf numFmtId="202" fontId="13" fillId="11" borderId="1" xfId="0" applyNumberFormat="1" applyFont="1" applyFill="1" applyBorder="1" applyAlignment="1">
      <x:alignment vertical="top" wrapText="1"/>
    </x:xf>
    <x:xf numFmtId="204" fontId="13" fillId="11" borderId="1" xfId="0" applyNumberFormat="1" applyFont="1" applyFill="1" applyBorder="1" applyAlignment="1">
      <x:alignment vertical="top" wrapText="1"/>
    </x:xf>
    <x:xf numFmtId="204" fontId="13" fillId="11" borderId="1" xfId="0" applyNumberFormat="1" applyFont="1" applyFill="1" applyBorder="1" applyAlignment="1">
      <x:alignment horizontal="center" vertical="top" wrapText="1"/>
    </x:xf>
    <x:xf numFmtId="204" fontId="13" fillId="11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20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200" fontId="0" fillId="12" borderId="0" xfId="0" applyNumberFormat="1" applyFont="1" applyFill="1" applyBorder="1" applyAlignment="1">
      <x:alignment wrapText="1"/>
    </x:xf>
    <x:xf numFmtId="202" fontId="3" fillId="13" borderId="1" xfId="0" applyNumberFormat="1" applyFont="1" applyFill="1" applyBorder="1" applyAlignment="1">
      <x:alignment vertical="top" wrapText="1"/>
    </x:xf>
    <x:xf numFmtId="202" fontId="14" fillId="13" borderId="1" xfId="0" applyNumberFormat="1" applyFont="1" applyFill="1" applyBorder="1" applyAlignment="1">
      <x:alignment vertical="top" wrapText="1"/>
    </x:xf>
    <x:xf numFmtId="202" fontId="14" fillId="13" borderId="1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15" fillId="14" borderId="0" xfId="0" applyNumberFormat="1" applyFont="1" applyFill="1" applyBorder="1"/>
    <x:xf numFmtId="0" fontId="1" fillId="15" borderId="0" xfId="0" applyNumberFormat="1" applyFont="1" applyFill="1" applyBorder="1" applyAlignment="1">
      <x:alignment vertical="center"/>
    </x:xf>
    <x:xf numFmtId="0" fontId="16" fillId="15" borderId="0" xfId="0" applyNumberFormat="1" applyFont="1" applyFill="1" applyBorder="1" applyAlignment="1">
      <x:alignment vertical="center"/>
    </x:xf>
    <x:xf numFmtId="0" fontId="7" fillId="1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0" fontId="17" fillId="0" borderId="3" xfId="0" applyNumberFormat="1" applyFont="1" applyFill="1" applyBorder="1" applyAlignment="1">
      <x:alignment vertical="center" wrapText="1"/>
    </x:xf>
    <x:xf numFmtId="200" fontId="17" fillId="0" borderId="3" xfId="0" applyNumberFormat="1" applyFont="1" applyFill="1" applyBorder="1" applyAlignment="1">
      <x:alignment vertical="center" wrapText="1"/>
    </x:xf>
    <x:xf numFmtId="203" fontId="17" fillId="0" borderId="3" xfId="0" applyNumberFormat="1" applyFont="1" applyFill="1" applyBorder="1" applyAlignment="1">
      <x:alignment vertical="center" wrapText="1"/>
    </x:xf>
    <x:xf numFmtId="205" fontId="3" fillId="0" borderId="1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15" fillId="14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 wrapText="1"/>
    </x:xf>
    <x:xf numFmtId="200" fontId="17" fillId="0" borderId="0" xfId="0" applyNumberFormat="1" applyFont="1" applyFill="1" applyBorder="1" applyAlignment="1">
      <x:alignment vertical="center" wrapText="1"/>
    </x:xf>
    <x:xf numFmtId="200" fontId="9" fillId="3" xfId="0" applyNumberFormat="1" applyFont="1" applyFill="1" applyBorder="0" applyAlignment="1">
      <x:alignment horizontal="center" vertical="center" wrapText="1"/>
    </x:xf>
    <x:xf numFmtId="0" fontId="9" fillId="3" xfId="0" applyNumberFormat="1" applyFont="1" applyFill="1" applyBorder="0" applyAlignment="1">
      <x:alignment horizontal="center" vertical="center" wrapText="1"/>
    </x:xf>
    <x:xf numFmtId="0" fontId="9" fillId="16" xfId="0" applyNumberFormat="1" applyFont="1" applyFill="1" applyBorder="0" applyAlignment="1">
      <x:alignment horizontal="center" vertical="center" wrapText="1"/>
    </x:xf>
    <x:xf numFmtId="200" fontId="9" fillId="16" xfId="0" applyNumberFormat="1" applyFont="1" applyFill="1" applyBorder="0" applyAlignment="1">
      <x:alignment horizontal="center" vertical="center" wrapText="1"/>
    </x:xf>
    <x:xf numFmtId="0" fontId="0" fillId="16" borderId="0" xfId="0" applyNumberFormat="1" applyFont="1" applyFill="1" applyBorder="1" applyAlignment="1">
      <x:alignment wrapText="1"/>
    </x:xf>
    <x:xf numFmtId="0" fontId="18" fillId="16" xfId="0" applyNumberFormat="1" applyFont="1" applyFill="1" applyBorder="0" applyAlignment="1">
      <x:alignment horizontal="center" vertical="center" wrapText="1"/>
    </x:xf>
    <x:xf numFmtId="200" fontId="18" fillId="16" xfId="0" applyNumberFormat="1" applyFont="1" applyFill="1" applyBorder="0" applyAlignment="1">
      <x:alignment horizontal="center" vertical="center" wrapText="1"/>
    </x:xf>
    <x:xf numFmtId="0" fontId="17" fillId="16" borderId="0" xfId="0" applyNumberFormat="1" applyFont="1" applyFill="1" applyBorder="1" applyAlignment="1">
      <x:alignment wrapText="1"/>
    </x:xf>
    <x:xf numFmtId="202" fontId="3" fillId="17" borderId="1" xfId="0" applyNumberFormat="1" applyFont="1" applyFill="1" applyBorder="1" applyAlignment="1">
      <x:alignment vertical="top" wrapText="1"/>
    </x:xf>
    <x:xf numFmtId="202" fontId="3" fillId="17" borderId="2" xfId="0" applyNumberFormat="1" applyFont="1" applyFill="1" applyBorder="1" applyAlignment="1">
      <x:alignment vertical="top" wrapText="1"/>
    </x:xf>
    <x:xf numFmtId="202" fontId="14" fillId="17" borderId="1" xfId="0" applyNumberFormat="1" applyFont="1" applyFill="1" applyBorder="1" applyAlignment="1">
      <x:alignment horizontal="center" vertical="top" wrapText="1"/>
    </x:xf>
    <x:xf numFmtId="204" fontId="13" fillId="17" borderId="1" xfId="0" applyNumberFormat="1" applyFont="1" applyFill="1" applyBorder="1" applyAlignment="1">
      <x:alignment horizontal="center" vertical="center" wrapText="1"/>
    </x:xf>
    <x:xf numFmtId="202" fontId="0" fillId="17" borderId="0" xfId="0" applyNumberFormat="1" applyFont="1" applyFill="1" applyBorder="1"/>
    <x:xf numFmtId="202" fontId="15" fillId="17" borderId="0" xfId="0" applyNumberFormat="1" applyFont="1" applyFill="1" applyBorder="1"/>
    <x:xf numFmtId="202" fontId="13" fillId="17" borderId="1" xfId="0" applyNumberFormat="1" applyFont="1" applyFill="1" applyBorder="1" applyAlignment="1">
      <x:alignment horizontal="center" vertical="center" wrapText="1"/>
    </x:xf>
    <x:xf numFmtId="202" fontId="3" fillId="18" borderId="1" xfId="0" applyNumberFormat="1" applyFont="1" applyFill="1" applyBorder="1" applyAlignment="1">
      <x:alignment vertical="top" wrapText="1"/>
    </x:xf>
    <x:xf numFmtId="202" fontId="0" fillId="18" borderId="0" xfId="0" applyNumberFormat="1" applyFont="1" applyFill="1" applyBorder="1"/>
    <x:xf numFmtId="201" fontId="19" fillId="5" borderId="1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0" fillId="19" borderId="0" xfId="0" applyNumberFormat="1" applyFont="1" applyFill="1" applyBorder="1"/>
    <x:xf numFmtId="0" fontId="21" fillId="19" borderId="0" xfId="0" applyNumberFormat="1" applyFont="1" applyFill="1" applyBorder="1"/>
    <x:xf numFmtId="0" fontId="0" fillId="17" borderId="0" xfId="0" applyNumberFormat="1" applyFont="1" applyFill="1" applyBorder="1"/>
    <x:xf numFmtId="0" fontId="0" fillId="20" borderId="0" xfId="0" applyNumberFormat="1" applyFont="1" applyFill="1" applyBorder="1"/>
    <x:xf numFmtId="0" fontId="0" fillId="21" borderId="0" xfId="0" applyNumberFormat="1" applyFont="1" applyFill="1" applyBorder="1"/>
    <x:xf numFmtId="0" fontId="0" fillId="22" borderId="0" xfId="0" applyNumberFormat="1" applyFont="1" applyFill="1" applyBorder="1"/>
    <x:xf numFmtId="0" fontId="22" fillId="17" borderId="0" xfId="0" applyNumberFormat="1" applyFont="1" applyFill="1" applyBorder="1"/>
    <x:xf numFmtId="0" fontId="22" fillId="20" borderId="0" xfId="0" applyNumberFormat="1" applyFont="1" applyFill="1" applyBorder="1"/>
    <x:xf numFmtId="0" fontId="22" fillId="21" borderId="0" xfId="0" applyNumberFormat="1" applyFont="1" applyFill="1" applyBorder="1"/>
    <x:xf numFmtId="0" fontId="22" fillId="22" borderId="0" xfId="0" applyNumberFormat="1" applyFont="1" applyFill="1" applyBorder="1"/>
    <x:xf numFmtId="0" fontId="22" fillId="17" borderId="0" xfId="0" applyNumberFormat="1" applyFont="1" applyFill="1" applyBorder="1" applyAlignment="1">
      <x:alignment wrapText="1"/>
    </x:xf>
    <x:xf numFmtId="0" fontId="22" fillId="20" borderId="0" xfId="0" applyNumberFormat="1" applyFont="1" applyFill="1" applyBorder="1" applyAlignment="1">
      <x:alignment wrapText="1"/>
    </x:xf>
    <x:xf numFmtId="0" fontId="22" fillId="21" borderId="0" xfId="0" applyNumberFormat="1" applyFont="1" applyFill="1" applyBorder="1" applyAlignment="1">
      <x:alignment wrapText="1"/>
    </x:xf>
    <x:xf numFmtId="0" fontId="22" fillId="22" borderId="0" xfId="0" applyNumberFormat="1" applyFont="1" applyFill="1" applyBorder="1" applyAlignment="1">
      <x:alignment wrapText="1"/>
    </x:xf>
    <x:xf numFmtId="0" fontId="22" fillId="17" borderId="0" xfId="0" applyNumberFormat="1" applyFont="1" applyFill="1" applyBorder="1" applyAlignment="1">
      <x:alignment vertical="center" wrapText="1"/>
    </x:xf>
    <x:xf numFmtId="0" fontId="22" fillId="20" borderId="0" xfId="0" applyNumberFormat="1" applyFont="1" applyFill="1" applyBorder="1" applyAlignment="1">
      <x:alignment vertical="center" wrapText="1"/>
    </x:xf>
    <x:xf numFmtId="0" fontId="22" fillId="21" borderId="0" xfId="0" applyNumberFormat="1" applyFont="1" applyFill="1" applyBorder="1" applyAlignment="1">
      <x:alignment vertical="center" wrapText="1"/>
    </x:xf>
    <x:xf numFmtId="0" fontId="22" fillId="22" borderId="0" xfId="0" applyNumberFormat="1" applyFont="1" applyFill="1" applyBorder="1" applyAlignment="1">
      <x:alignment vertical="center" wrapText="1"/>
    </x:xf>
    <x:xf numFmtId="0" fontId="21" fillId="19" borderId="3" xfId="0" applyNumberFormat="1" applyFont="1" applyFill="1" applyBorder="1"/>
    <x:xf numFmtId="0" fontId="22" fillId="17" borderId="3" xfId="0" applyNumberFormat="1" applyFont="1" applyFill="1" applyBorder="1" applyAlignment="1">
      <x:alignment vertical="center" wrapText="1"/>
    </x:xf>
    <x:xf numFmtId="0" fontId="22" fillId="20" borderId="3" xfId="0" applyNumberFormat="1" applyFont="1" applyFill="1" applyBorder="1" applyAlignment="1">
      <x:alignment vertical="center" wrapText="1"/>
    </x:xf>
    <x:xf numFmtId="0" fontId="22" fillId="21" borderId="3" xfId="0" applyNumberFormat="1" applyFont="1" applyFill="1" applyBorder="1" applyAlignment="1">
      <x:alignment vertical="center" wrapText="1"/>
    </x:xf>
    <x:xf numFmtId="0" fontId="22" fillId="22" borderId="3" xfId="0" applyNumberFormat="1" applyFont="1" applyFill="1" applyBorder="1" applyAlignment="1">
      <x:alignment vertical="center" wrapText="1"/>
    </x:xf>
    <x:xf numFmtId="200" fontId="22" fillId="17" borderId="3" xfId="0" applyNumberFormat="1" applyFont="1" applyFill="1" applyBorder="1" applyAlignment="1">
      <x:alignment vertical="center" wrapText="1"/>
    </x:xf>
    <x:xf numFmtId="200" fontId="22" fillId="20" borderId="3" xfId="0" applyNumberFormat="1" applyFont="1" applyFill="1" applyBorder="1" applyAlignment="1">
      <x:alignment vertical="center" wrapText="1"/>
    </x:xf>
    <x:xf numFmtId="200" fontId="22" fillId="21" borderId="3" xfId="0" applyNumberFormat="1" applyFont="1" applyFill="1" applyBorder="1" applyAlignment="1">
      <x:alignment vertical="center" wrapText="1"/>
    </x:xf>
    <x:xf numFmtId="200" fontId="22" fillId="22" borderId="3" xfId="0" applyNumberFormat="1" applyFont="1" applyFill="1" applyBorder="1" applyAlignment="1">
      <x:alignment vertical="center" wrapText="1"/>
    </x:xf>
    <x:xf numFmtId="206" fontId="22" fillId="17" borderId="3" xfId="0" applyNumberFormat="1" applyFont="1" applyFill="1" applyBorder="1" applyAlignment="1">
      <x:alignment vertical="center" wrapText="1"/>
    </x:xf>
    <x:xf numFmtId="206" fontId="22" fillId="20" borderId="3" xfId="0" applyNumberFormat="1" applyFont="1" applyFill="1" applyBorder="1" applyAlignment="1">
      <x:alignment vertical="center" wrapText="1"/>
    </x:xf>
    <x:xf numFmtId="206" fontId="22" fillId="21" borderId="3" xfId="0" applyNumberFormat="1" applyFont="1" applyFill="1" applyBorder="1" applyAlignment="1">
      <x:alignment vertical="center" wrapText="1"/>
    </x:xf>
    <x:xf numFmtId="206" fontId="22" fillId="22" borderId="3" xfId="0" applyNumberFormat="1" applyFont="1" applyFill="1" applyBorder="1" applyAlignment="1">
      <x:alignment vertical="center" wrapText="1"/>
    </x:xf>
    <x:xf numFmtId="0" fontId="23" fillId="0" borderId="0" xfId="0" applyNumberFormat="1" applyFont="1" applyFill="1" applyBorder="1"/>
    <x:xf numFmtId="200" fontId="23" fillId="0" borderId="0" xfId="0" applyNumberFormat="1" applyFont="1" applyFill="1" applyBorder="1"/>
    <x:xf numFmtId="0" fontId="23" fillId="0" borderId="0" xfId="0" applyNumberFormat="1" applyFont="1" applyFill="1" applyBorder="1" applyAlignment="1">
      <x:alignment wrapText="1"/>
    </x:xf>
    <x:xf numFmtId="200" fontId="23" fillId="0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vertical="center" wrapText="1"/>
    </x:xf>
    <x:xf numFmtId="200" fontId="23" fillId="0" borderId="0" xfId="0" applyNumberFormat="1" applyFont="1" applyFill="1" applyBorder="1" applyAlignment="1">
      <x:alignment vertical="center" wrapText="1"/>
    </x:xf>
    <x:xf numFmtId="0" fontId="23" fillId="0" borderId="4" xfId="0" applyNumberFormat="1" applyFont="1" applyFill="1" applyBorder="1" applyAlignment="1">
      <x:alignment vertical="center" wrapText="1"/>
    </x:xf>
    <x:xf numFmtId="200" fontId="23" fillId="0" borderId="4" xfId="0" applyNumberFormat="1" applyFont="1" applyFill="1" applyBorder="1" applyAlignment="1">
      <x:alignment vertical="center" wrapText="1"/>
    </x:xf>
    <x:xf numFmtId="203" fontId="23" fillId="0" borderId="4" xfId="0" applyNumberFormat="1" applyFont="1" applyFill="1" applyBorder="1" applyAlignment="1">
      <x:alignment vertical="center" wrapText="1"/>
    </x:xf>
    <x:xf numFmtId="0" fontId="23" fillId="0" borderId="0" xfId="0" applyNumberFormat="1" applyFont="1" applyFill="1" applyBorder="1" applyAlignment="1">
      <x:alignment vertical="center"/>
    </x:xf>
    <x:xf numFmtId="205" fontId="23" fillId="0" borderId="0" xfId="0" applyNumberFormat="1" applyFont="1" applyFill="1" applyBorder="1" applyAlignment="1">
      <x:alignment vertical="center" wrapText="1"/>
    </x:xf>
    <x:xf numFmtId="202" fontId="2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5"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ill>
        <x:patternFill>
          <x:bgColor rgb="FF3D8DFF"/>
        </x:patternFill>
      </x:fill>
    </x:dxf>
    <x:dxf>
      <x:fill>
        <x:patternFill>
          <x:bgColor rgb="FFF4B740"/>
        </x:patternFill>
      </x:fill>
    </x:dxf>
    <x:dxf>
      <x:fill>
        <x:patternFill>
          <x:bgColor rgb="FF9CB0C3"/>
        </x:patternFill>
      </x:fill>
    </x:dxf>
    <x:dxf>
      <x:fill>
        <x:patternFill>
          <x:bgColor rgb="FFE45C72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ill>
        <x:patternFill>
          <x:bgColor rgb="FF3D8DFF"/>
        </x:patternFill>
      </x:fill>
    </x:dxf>
    <x:dxf>
      <x:fill>
        <x:patternFill>
          <x:bgColor rgb="FFF4B740"/>
        </x:patternFill>
      </x:fill>
    </x:dxf>
    <x:dxf>
      <x:fill>
        <x:patternFill>
          <x:bgColor rgb="FF9CB0C3"/>
        </x:patternFill>
      </x:fill>
    </x:dxf>
    <x:dxf>
      <x:fill>
        <x:patternFill>
          <x:bgColor rgb="FFE45C72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  <x:color rgb="FF146CAA"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ill>
        <x:patternFill>
          <x:bgColor rgb="FF3D8DFF"/>
        </x:patternFill>
      </x:fill>
    </x:dxf>
    <x:dxf>
      <x:font>
        <x:b/>
        <x:color rgb="FF146CAA"/>
      </x:font>
      <x:fill>
        <x:patternFill>
          <x:bgColor rgb="FFDDF4FF"/>
        </x:patternFill>
      </x:fill>
    </x:dxf>
    <x:dxf>
      <x:fill>
        <x:patternFill>
          <x:bgColor rgb="FFF4B740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E45C72"/>
        </x:patternFill>
      </x:fill>
    </x:dxf>
    <x:dxf>
      <x:fill>
        <x:patternFill>
          <x:bgColor rgb="FF9CB0C3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ill>
        <x:patternFill patternType="solid">
          <x:bgColor rgb="FFDDF4EA"/>
        </x:patternFill>
      </x:fill>
    </x:dxf>
    <x:dxf>
      <x:fill>
        <x:patternFill patternType="solid">
          <x:bgColor rgb="FFFFF3CD"/>
        </x:patternFill>
      </x:fill>
    </x:dxf>
    <x:dxf>
      <x:fill>
        <x:patternFill patternType="solid">
          <x:bgColor rgb="FF3AB588"/>
        </x:patternFill>
      </x:fill>
    </x:dxf>
    <x:dxf>
      <x:fill>
        <x:patternFill patternType="solid">
          <x:bgColor rgb="FFDDF4EA"/>
        </x:patternFill>
      </x:fill>
    </x:dxf>
    <x:dxf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f8711aa8564a92" /><Relationship Type="http://schemas.openxmlformats.org/officeDocument/2006/relationships/theme" Target="/xl/theme/theme1.xml" Id="R5f058cc2f73b4b56" /><Relationship Type="http://schemas.openxmlformats.org/officeDocument/2006/relationships/sharedStrings" Target="/xl/sharedStrings.xml" Id="R5d27c820be634345" /><Relationship Type="http://schemas.openxmlformats.org/officeDocument/2006/relationships/worksheet" Target="/xl/worksheets/sheet1.xml" Id="Rfae9835becb8450b" /><Relationship Type="http://schemas.openxmlformats.org/officeDocument/2006/relationships/worksheet" Target="/xl/worksheets/sheet2.xml" Id="Rcc138e90d38c4223" /><Relationship Type="http://schemas.openxmlformats.org/officeDocument/2006/relationships/worksheet" Target="/xl/worksheets/sheet3.xml" Id="Rece9c63eb99b474b" /><Relationship Type="http://schemas.openxmlformats.org/officeDocument/2006/relationships/worksheet" Target="/xl/worksheets/sheet4.xml" Id="Rb23053566ea54a1e" /><Relationship Type="http://schemas.openxmlformats.org/officeDocument/2006/relationships/worksheet" Target="/xl/worksheets/sheet5.xml" Id="R4409eae8f3b14581" /><Relationship Type="http://schemas.openxmlformats.org/officeDocument/2006/relationships/worksheet" Target="/xl/worksheets/sheet6.xml" Id="R36c7a497fcca41ea" /><Relationship Type="http://schemas.openxmlformats.org/officeDocument/2006/relationships/worksheet" Target="/xl/worksheets/sheet7.xml" Id="R3c0be833ae7743ce" /><Relationship Type="http://schemas.openxmlformats.org/officeDocument/2006/relationships/worksheet" Target="/xl/worksheets/sheet8.xml" Id="Ra9d7cdee84c44778" /><Relationship Type="http://schemas.openxmlformats.org/officeDocument/2006/relationships/worksheet" Target="/xl/worksheets/sheet9.xml" Id="R31109ef89c3b47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ba3d9ef1e2e4be3" /><Relationship Type="http://schemas.openxmlformats.org/officeDocument/2006/relationships/chart" Target="/xl/drawings/charts/chart2.xml" Id="R0758e9560ba64e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distribution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'Executive Summary'!$A$12:$A$15</c:f>
              <c:strCache>
                <c:ptCount val="0"/>
              </c:strCache>
            </c:strRef>
          </c:cat>
          <c:val>
            <c:numRef>
              <c:f>'Executive Summary'!$B$12:$B$15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 record load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'Executive Summary'!$D$12:$D$14</c:f>
              <c:strCache>
                <c:ptCount val="0"/>
              </c:strCache>
            </c:strRef>
          </c:cat>
          <c:val>
            <c:numRef>
              <c:f>'Executive Summary'!$E$12:$E$14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a3d9ef1e2e4be3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22</xdr:col>
      <xdr:colOff>0</xdr:colOff>
      <xdr:row>15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58e9560ba64ee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DSWBS" displayName="FDSWBS" ref="A3:S55" headerRowCount="1" totalsRowCount="0" totalsRowShown="0">
  <x:autoFilter ref="A3:S55"/>
  <x:tableColumns count="19">
    <x:tableColumn id="1" name="WBS ID"/>
    <x:tableColumn id="2" name="Title"/>
    <x:tableColumn id="3" name="Phase"/>
    <x:tableColumn id="4" name="Category"/>
    <x:tableColumn id="5" name="Type"/>
    <x:tableColumn id="6" name="Priority"/>
    <x:tableColumn id="7" name="Status"/>
    <x:tableColumn id="8" name="Plan Start"/>
    <x:tableColumn id="9" name="Plan End"/>
    <x:tableColumn id="10" name="Calendar Days"/>
    <x:tableColumn id="11" name="Lead Workdays"/>
    <x:tableColumn id="12" name="Lead"/>
    <x:tableColumn id="13" name="Support"/>
    <x:tableColumn id="14" name="Dependencies / Decisions"/>
    <x:tableColumn id="15" name="Risks"/>
    <x:tableColumn id="16" name="Description / Exit Criteria"/>
    <x:tableColumn id="17" name="Schedule Note"/>
    <x:tableColumn id="18" name="Source"/>
    <x:tableColumn id="19" name="Schedule Heal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c7c1f5aa66d47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29d88d539946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58" hidden="0" customWidth="1"/>
    <x:col min="4" max="4" width="16" hidden="0" customWidth="1"/>
    <x:col min="5" max="5" width="3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34" customHeight="1">
      <x:c r="A1" s="79" t="str">
        <x:v>FDS v3.1.19 · Executive Schedule Summary (CANDIDATE)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</x:row>
    <x:row r="2">
      <x:c r="B2"/>
      <x:c r="D2"/>
    </x:row>
    <x:row r="3">
      <x:c r="A3" s="9" t="str">
        <x:v>Metric</x:v>
      </x:c>
      <x:c r="B3" s="9" t="str">
        <x:v>Value</x:v>
      </x:c>
      <x:c r="D3" s="9" t="str">
        <x:v>Current gate / control</x:v>
      </x:c>
      <x:c r="E3" s="9" t="str">
        <x:v>Result</x:v>
      </x:c>
    </x:row>
    <x:row r="4">
      <x:c r="A4" s="13" t="str">
        <x:v>As of</x:v>
      </x:c>
      <x:c r="B4" s="19" t="n">
        <x:v>46282</x:v>
      </x:c>
      <x:c r="D4" s="13" t="str">
        <x:v>G0 Design Freeze</x:v>
      </x:c>
      <x:c r="E4" s="13" t="str">
        <x:v>FULL PASS / Done</x:v>
      </x:c>
    </x:row>
    <x:row r="5">
      <x:c r="A5" s="13" t="str">
        <x:v>Canonical version</x:v>
      </x:c>
      <x:c r="B5" s="13" t="str">
        <x:v>3.1.19 CANDIDATE</x:v>
      </x:c>
      <x:c r="D5" s="13" t="str">
        <x:v>G1 Target</x:v>
      </x:c>
      <x:c r="E5" s="19" t="n">
        <x:v>46282</x:v>
      </x:c>
    </x:row>
    <x:row r="6">
      <x:c r="A6" s="13" t="str">
        <x:v>Planning records</x:v>
      </x:c>
      <x:c r="B6" s="13" t="n">
        <x:f>COUNTA(WBS!A4:A61)</x:f>
        <x:v>58</x:v>
      </x:c>
      <x:c r="D6" s="13" t="str">
        <x:v>G2 Target</x:v>
      </x:c>
      <x:c r="E6" s="19" t="n">
        <x:v>46286</x:v>
      </x:c>
    </x:row>
    <x:row r="7">
      <x:c r="A7" s="13" t="str">
        <x:v>Tasks + CR</x:v>
      </x:c>
      <x:c r="B7" s="13" t="n">
        <x:f>COUNTIF(WBS!E4:E61,"Task")+COUNTIF(WBS!E4:E61,"Change Request")</x:f>
        <x:v>34</x:v>
      </x:c>
      <x:c r="D7" s="13" t="str">
        <x:v>G3 Target</x:v>
      </x:c>
      <x:c r="E7" s="19" t="n">
        <x:v>46287</x:v>
      </x:c>
    </x:row>
    <x:row r="8">
      <x:c r="A8" s="13" t="str">
        <x:v>Milestones</x:v>
      </x:c>
      <x:c r="B8" s="13" t="n">
        <x:f>COUNTIF(WBS!E4:E61,"Milestone")</x:f>
        <x:v>13</x:v>
      </x:c>
      <x:c r="D8" s="13" t="str">
        <x:v>ICR-D-NET-01-01</x:v>
      </x:c>
      <x:c r="E8" s="13" t="str">
        <x:v>In Progress / Plan 09-21; actual pending</x:v>
      </x:c>
    </x:row>
    <x:row r="9">
      <x:c r="A9" t="str">
        <x:v>All records / Milestone</x:v>
      </x:c>
      <x:c r="B9" t="str">
        <x:v>67 / 67</x:v>
      </x:c>
      <x:c r="D9" s="67" t="str">
        <x:v>CR-P1-ANS-01-01</x:v>
      </x:c>
      <x:c r="E9" s="67" t="str">
        <x:v>Done / 2026-09-07</x:v>
      </x:c>
    </x:row>
    <x:row r="11">
      <x:c r="A11" s="9" t="str">
        <x:v>Status</x:v>
      </x:c>
      <x:c r="B11" s="9" t="str">
        <x:v>Count</x:v>
      </x:c>
      <x:c r="D11" s="9" t="str">
        <x:v>Lead</x:v>
      </x:c>
      <x:c r="E11" s="9" t="str">
        <x:v>Records</x:v>
      </x:c>
    </x:row>
    <x:row r="12">
      <x:c r="A12" s="13" t="str">
        <x:v>Done</x:v>
      </x:c>
      <x:c r="B12" s="13" t="n">
        <x:f>COUNTIF(WBS!$G$4:$G$61,A12)</x:f>
        <x:v>9</x:v>
      </x:c>
      <x:c r="D12" s="13" t="str">
        <x:v>이권욱</x:v>
      </x:c>
      <x:c r="E12" s="13" t="n">
        <x:f>COUNTIF(WBS!$L$4:$L$61,D12)</x:f>
        <x:v>30</x:v>
      </x:c>
    </x:row>
    <x:row r="13">
      <x:c r="A13" s="13" t="str">
        <x:v>In Progress</x:v>
      </x:c>
      <x:c r="B13" s="13" t="n">
        <x:f>COUNTIF(WBS!$G$4:$G$61,A13)</x:f>
        <x:v>11</x:v>
      </x:c>
      <x:c r="D13" s="13" t="str">
        <x:v>이하영</x:v>
      </x:c>
      <x:c r="E13" s="13" t="n">
        <x:f>COUNTIF(WBS!$L$4:$L$61,D13)</x:f>
        <x:v>16</x:v>
      </x:c>
    </x:row>
    <x:row r="14">
      <x:c r="A14" s="13" t="str">
        <x:v>In Review</x:v>
      </x:c>
      <x:c r="B14" s="13" t="n">
        <x:f>COUNTIF(WBS!$G$4:$G$61,A14)</x:f>
        <x:v>0</x:v>
      </x:c>
      <x:c r="D14" s="13" t="str">
        <x:v>이재환</x:v>
      </x:c>
      <x:c r="E14" s="13" t="n">
        <x:f>COUNTIF(WBS!$L$4:$L$61,D14)</x:f>
        <x:v>12</x:v>
      </x:c>
    </x:row>
    <x:row r="15">
      <x:c r="A15" s="13" t="str">
        <x:v>To Do</x:v>
      </x:c>
      <x:c r="B15" s="13" t="n">
        <x:f>COUNTIF(WBS!$G$4:$G$61,A15)</x:f>
        <x:v>38</x:v>
      </x:c>
    </x:row>
    <x:row r="18">
      <x:c r="A18" s="20" t="str">
        <x:v>Lead decisions / schedule alerts</x:v>
      </x:c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</x:row>
    <x:row r="19">
      <x:c r="A19" s="9" t="str">
        <x:v>Priority</x:v>
      </x:c>
      <x:c r="B19" s="9" t="str">
        <x:v>Decision / Alert</x:v>
      </x:c>
      <x:c r="C19" s="9" t="str">
        <x:v>Impact</x:v>
      </x:c>
      <x:c r="D19" s="9" t="str">
        <x:v>Owner</x:v>
      </x:c>
    </x:row>
    <x:row r="20" ht="38" customHeight="1">
      <x:c r="A20" s="13" t="str">
        <x:v>P0</x:v>
      </x:c>
      <x:c r="B20" s="13" t="str">
        <x:v>ICR-D-NET-01-01 end date</x:v>
      </x:c>
      <x:c r="C20" s="13" t="str">
        <x:v>계획 09-21; 실제 인수 미완료</x:v>
      </x:c>
      <x:c r="D20" s="13" t="str">
        <x:v>이권욱</x:v>
      </x:c>
    </x:row>
    <x:row r="21" ht="38" customHeight="1">
      <x:c r="A21" s="13" t="str">
        <x:v>P0</x:v>
      </x:c>
      <x:c r="B21" s="13" t="str">
        <x:v>Management return route</x:v>
      </x:c>
      <x:c r="C21" s="13" t="str">
        <x:v>monitor01/db01/harbor01/edge01 path evidence pending</x:v>
      </x:c>
      <x:c r="D21" s="13" t="str">
        <x:v>이권욱</x:v>
      </x:c>
    </x:row>
    <x:row r="22" ht="38" customHeight="1">
      <x:c r="A22" s="13" t="str">
        <x:v>P0</x:v>
      </x:c>
      <x:c r="B22" s="13" t="str">
        <x:v>Phase 1 review calendar</x:v>
      </x:c>
      <x:c r="C22" s="13" t="str">
        <x:v>09-22 오후 평일 Review 결정 Done; 실제 Review 별도</x:v>
      </x:c>
      <x:c r="D22" s="13" t="str">
        <x:v>이권욱</x:v>
      </x:c>
    </x:row>
    <x:row r="23" ht="38" customHeight="1">
      <x:c r="A23" s="13" t="str">
        <x:v>P1</x:v>
      </x:c>
      <x:c r="B23" s="13" t="str">
        <x:v>Phase 2 review calendar</x:v>
      </x:c>
      <x:c r="C23" s="13" t="str">
        <x:v>2026-10-24 is Saturday; D24 pending</x:v>
      </x:c>
      <x:c r="D23" s="13" t="str">
        <x:v>이권욱</x:v>
      </x:c>
    </x:row>
    <x:row r="24" ht="38" customHeight="1">
      <x:c r="A24" s="13" t="str">
        <x:v>P1</x:v>
      </x:c>
      <x:c r="B24" s="13" t="str">
        <x:v>Evidence placeholders</x:v>
      </x:c>
      <x:c r="C24" s="13" t="str">
        <x:v>Slides 11/12 are not completion evidence</x:v>
      </x:c>
      <x:c r="D24" s="13" t="str">
        <x:v>이재환</x:v>
      </x:c>
    </x:row>
    <x:row r="25" ht="34" customHeight="1">
      <x:c r="A25" s="60" t="str">
        <x:v>P0</x:v>
      </x:c>
      <x:c r="B25" s="45" t="str">
        <x:v>Calendar history: 2026-09-04</x:v>
      </x:c>
      <x:c r="C25" s="45" t="str">
        <x:v>이력 보존; 현재 계획은 WBS/각 Gate 행 참조</x:v>
      </x:c>
      <x:c r="D25" s="45" t="str">
        <x:v>이권욱</x:v>
      </x:c>
    </x:row>
    <x:row r="26" ht="30" customHeight="1">
      <x:c r="A26" s="71" t="str">
        <x:v>P0</x:v>
      </x:c>
      <x:c r="B26" s="71" t="str">
        <x:v>Calendar history: 2026-09-08</x:v>
      </x:c>
      <x:c r="C26" s="71" t="str">
        <x:v>P1-K8S/P1-HBR/P1-SEC Lead gap; ICR/P1-APP/P1-CICD support gap; no automatic rebaseline</x:v>
      </x:c>
      <x:c r="D26" s="71" t="str">
        <x:v>이권욱</x:v>
      </x:c>
    </x:row>
    <x:row r="27" ht="40" customHeight="1">
      <x:c r="A27" t="str">
        <x:v>P0</x:v>
      </x:c>
      <x:c r="B27" t="str">
        <x:v>Gate targets: G1 09-17 / G2 09-21 / G3 09-22</x:v>
      </x:c>
      <x:c r="C27" s="67" t="str">
        <x:v>Recommendation; evidence gates unchanged. Close 09-23 remains conditional.</x:v>
      </x:c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</x:row>
    <x:row r="28" ht="40" customHeight="1">
      <x:c r="A28" t="str">
        <x:v>P1</x:v>
      </x:c>
      <x:c r="B28" t="str">
        <x:v>P1 enhancements deferred</x:v>
      </x:c>
      <x:c r="C28" s="67" t="str">
        <x:v>MON-02 / DR-02 / HA-02: implementation dates TBD; handoff 09-23, replan decision 09-28.</x:v>
      </x:c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</x:row>
    <x:row r="29" ht="44" customHeight="1">
      <x:c r="A29" t="str">
        <x:v>P0</x:v>
      </x:c>
      <x:c r="B29" t="str">
        <x:v>Calendar history: 2026-09-10</x:v>
      </x:c>
      <x:c r="C29" s="67" t="str">
        <x:v>Existing SEC window: 5→4 days. New window through 09-21: 10 available days; not remaining effort.</x:v>
      </x:c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</x:row>
  </x:sheetData>
  <x:mergeCells>
    <x:mergeCell ref="A1:V1"/>
    <x:mergeCell ref="A18:V18"/>
  </x:mergeCells>
  <x:pageMargins left="0.7" right="0.7" top="0.75" bottom="0.75" header="0.3" footer="0.3"/>
  <x:drawing xmlns:r="http://schemas.openxmlformats.org/officeDocument/2006/relationships" r:id="R5c7c1f5aa66d47d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13" hidden="0" customWidth="1"/>
    <x:col min="4" max="4" width="28" hidden="0" customWidth="1"/>
    <x:col min="5" max="5" width="16" hidden="0" customWidth="1"/>
    <x:col min="6" max="6" width="10" hidden="0" customWidth="1"/>
    <x:col min="7" max="7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4" hidden="0" customWidth="1"/>
    <x:col min="13" max="13" width="20" hidden="0" customWidth="1"/>
    <x:col min="14" max="14" width="30" hidden="0" customWidth="1"/>
    <x:col min="15" max="15" width="22" hidden="0" customWidth="1"/>
    <x:col min="16" max="16" width="55" hidden="0" customWidth="1"/>
    <x:col min="17" max="17" width="56" hidden="0" customWidth="1"/>
    <x:col min="18" max="18" width="46" hidden="0" customWidth="1"/>
    <x:col min="19" max="19" width="16" hidden="0" customWidth="1"/>
  </x:cols>
  <x:sheetData>
    <x:row r="1" ht="34" customHeight="1">
      <x:c r="A1" s="79" t="str">
        <x:v>FDS v3.1.19 · WBS (CANDIDATE)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  <x:c r="M1" s="79"/>
      <x:c r="N1" s="79"/>
      <x:c r="O1" s="79"/>
      <x:c r="P1" s="79"/>
      <x:c r="Q1" s="79"/>
      <x:c r="R1" s="79"/>
      <x:c r="S1" s="79"/>
    </x:row>
    <x:row r="2">
      <x:c r="A2" s="17" t="str">
        <x:v>As of</x:v>
      </x:c>
      <x:c r="B2" s="18" t="n">
        <x:v>46282</x:v>
      </x:c>
      <x:c r="C2" s="17" t="str">
        <x:v>Canonical</x:v>
      </x:c>
      <x:c r="D2" s="17" t="str">
        <x:v>3.1.18 RELEASED / Fast Tracking</x:v>
      </x:c>
      <x:c r="E2" s="17" t="str">
        <x:v>Records</x:v>
      </x:c>
      <x:c r="F2" s="17" t="n">
        <x:f>COUNTA(A4:A61)</x:f>
        <x:v>58</x:v>
      </x:c>
      <x:c r="G2" s="17" t="str"/>
      <x:c r="H2" s="17" t="str"/>
      <x:c r="I2" s="17" t="str"/>
      <x:c r="J2" s="17" t="str"/>
      <x:c r="K2" s="17" t="str"/>
      <x:c r="L2" s="17" t="str"/>
      <x:c r="M2" s="17" t="str"/>
      <x:c r="N2" s="17" t="str"/>
      <x:c r="O2" s="17" t="str"/>
      <x:c r="P2" s="17" t="str"/>
      <x:c r="Q2" s="17" t="str"/>
      <x:c r="R2" s="17" t="str"/>
      <x:c r="S2" s="17" t="str"/>
    </x:row>
    <x:row r="3">
      <x:c r="A3" s="9" t="str">
        <x:v>WBS ID</x:v>
      </x:c>
      <x:c r="B3" s="9" t="str">
        <x:v>Title</x:v>
      </x:c>
      <x:c r="C3" s="9" t="str">
        <x:v>Phase</x:v>
      </x:c>
      <x:c r="D3" s="9" t="str">
        <x:v>Category</x:v>
      </x:c>
      <x:c r="E3" s="9" t="str">
        <x:v>Type</x:v>
      </x:c>
      <x:c r="F3" s="9" t="str">
        <x:v>Priority</x:v>
      </x:c>
      <x:c r="G3" s="9" t="str">
        <x:v>Status</x:v>
      </x:c>
      <x:c r="H3" s="9" t="str">
        <x:v>Plan Start</x:v>
      </x:c>
      <x:c r="I3" s="9" t="str">
        <x:v>Plan End</x:v>
      </x:c>
      <x:c r="J3" s="9" t="str">
        <x:v>Calendar Days</x:v>
      </x:c>
      <x:c r="K3" s="9" t="str">
        <x:v>Lead Workdays</x:v>
      </x:c>
      <x:c r="L3" s="9" t="str">
        <x:v>Lead</x:v>
      </x:c>
      <x:c r="M3" s="9" t="str">
        <x:v>Support</x:v>
      </x:c>
      <x:c r="N3" s="9" t="str">
        <x:v>Dependencies / Decisions</x:v>
      </x:c>
      <x:c r="O3" s="9" t="str">
        <x:v>Risks</x:v>
      </x:c>
      <x:c r="P3" s="9" t="str">
        <x:v>Description / Exit Criteria</x:v>
      </x:c>
      <x:c r="Q3" s="9" t="str">
        <x:v>Schedule Note</x:v>
      </x:c>
      <x:c r="R3" s="9" t="str">
        <x:v>Source</x:v>
      </x:c>
      <x:c r="S3" s="9" t="str">
        <x:v>Schedule Health</x:v>
      </x:c>
    </x:row>
    <x:row r="4" ht="44" customHeight="1">
      <x:c r="A4" s="13" t="str">
        <x:v>D-SEC-01</x:v>
      </x:c>
      <x:c r="B4" s="13" t="str">
        <x:v>Security Design Scope / Approval Review</x:v>
      </x:c>
      <x:c r="C4" s="13" t="str">
        <x:v>Design</x:v>
      </x:c>
      <x:c r="D4" s="13" t="str">
        <x:v>Security / Governance</x:v>
      </x:c>
      <x:c r="E4" s="13" t="str">
        <x:v>Decision</x:v>
      </x:c>
      <x:c r="F4" s="13" t="str">
        <x:v>P0</x:v>
      </x:c>
      <x:c r="G4" s="13" t="str">
        <x:v>Done</x:v>
      </x:c>
      <x:c r="H4" s="19" t="n">
        <x:v>46260</x:v>
      </x:c>
      <x:c r="I4" s="19" t="n">
        <x:v>46266</x:v>
      </x:c>
      <x:c r="J4" s="61" t="n">
        <x:f>IF(OR(H4="",I4=""),"",I4-H4+1)</x:f>
        <x:v>7</x:v>
      </x:c>
      <x:c r="K4" s="61" t="n">
        <x:f>IF(OR(H4="",I4=""),"",NETWORKDAYS(H4,I4,'Sources &amp; Change Log'!$J$2:$J$5)-COUNTIFS('Team Calendar'!$A$5:$A$12,L4,'Team Calendar'!$C$5:$C$12,"&gt;="&amp;H4,'Team Calendar'!$C$5:$C$12,"&lt;="&amp;I4,'Team Calendar'!$F$5:$F$12,"Personal absence"))</x:f>
        <x:v>4</x:v>
      </x:c>
      <x:c r="L4" s="13" t="str">
        <x:v>이하영</x:v>
      </x:c>
      <x:c r="M4" s="13" t="str">
        <x:v>이권욱, 이재환</x:v>
      </x:c>
      <x:c r="N4" s="13" t="str">
        <x:v>D17; D28</x:v>
      </x:c>
      <x:c r="O4" s="13" t="str">
        <x:v>RISK-05; RISK-07</x:v>
      </x:c>
      <x:c r="P4" s="13" t="str">
        <x:v>승인권자 지정, D-SEC-01 검토 범위·산출물·Exit Criteria 승인, P1-SEC-01과의 경계 승인, 요구사항과 검증 증적 연결 후 Done 판정</x:v>
      </x:c>
      <x:c r="Q4" s="13" t="str">
        <x:v>v3.1.14 최종 승인·정본 반영 완료. 구현은 P1-SEC-01로 이관.</x:v>
      </x:c>
      <x:c r="R4" s="13" t="str">
        <x:v>https://github.com/321Team/fds-project-baseline/issues/7</x:v>
      </x:c>
      <x:c r="S4" s="13" t="str">
        <x:f>IF(G4="Done","Done",IF(I4="","End TBD",IF(I4&lt;'Executive Summary'!$B$4,"Overdue",IF(H4&gt;'Executive Summary'!$B$4,"Upcoming","Active window"))))</x:f>
        <x:v>Done</x:v>
      </x:c>
    </x:row>
    <x:row r="5" ht="44" customHeight="1">
      <x:c r="A5" s="13" t="str">
        <x:v>MS-G0-01</x:v>
      </x:c>
      <x:c r="B5" s="13" t="str">
        <x:v>G0 Design Freeze</x:v>
      </x:c>
      <x:c r="C5" s="13" t="str">
        <x:v>Design</x:v>
      </x:c>
      <x:c r="D5" s="13" t="str">
        <x:v>Milestone / Design Freeze</x:v>
      </x:c>
      <x:c r="E5" s="13" t="str">
        <x:v>Milestone</x:v>
      </x:c>
      <x:c r="F5" s="13" t="str">
        <x:v>P0</x:v>
      </x:c>
      <x:c r="G5" s="13" t="str">
        <x:v>Done</x:v>
      </x:c>
      <x:c r="H5" s="19" t="n">
        <x:v>46260</x:v>
      </x:c>
      <x:c r="I5" s="19" t="n">
        <x:v>46266</x:v>
      </x:c>
      <x:c r="J5" s="61" t="n">
        <x:f>IF(OR(H5="",I5=""),"",I5-H5+1)</x:f>
        <x:v>7</x:v>
      </x:c>
      <x:c r="K5" s="61" t="n">
        <x:f>IF(OR(H5="",I5=""),"",NETWORKDAYS(H5,I5,'Sources &amp; Change Log'!$J$2:$J$5)-COUNTIFS('Team Calendar'!$A$5:$A$12,L5,'Team Calendar'!$C$5:$C$12,"&gt;="&amp;H5,'Team Calendar'!$C$5:$C$12,"&lt;="&amp;I5,'Team Calendar'!$F$5:$F$12,"Personal absence"))</x:f>
        <x:v>5</x:v>
      </x:c>
      <x:c r="L5" s="13" t="str">
        <x:v>이권욱</x:v>
      </x:c>
      <x:c r="M5" s="13" t="str">
        <x:v>이하영, 이재환</x:v>
      </x:c>
      <x:c r="N5" s="13" t="str">
        <x:v>D17; D28; D32; D34; D35</x:v>
      </x:c>
      <x:c r="O5" s="13" t="str">
        <x:v>RISK-05; RISK-07</x:v>
      </x:c>
      <x:c r="P5" s="13" t="str">
        <x:v>D-ARC-01·D-NET-01·D-WBS-01·D-SEC-01 승인과 정본 Evidence를 확인하고 G0 FULL PASS 기록 확보</x:v>
      </x:c>
      <x:c r="Q5" s="13" t="str">
        <x:v>G0 Design Freeze FULL PASS (2026-09-01).</x:v>
      </x:c>
      <x:c r="R5" s="13" t="str">
        <x:v>https://github.com/321Team/fds-project-baseline/issues/8</x:v>
      </x:c>
      <x:c r="S5" s="13" t="str">
        <x:f>IF(G5="Done","Done",IF(I5="","End TBD",IF(I5&lt;'Executive Summary'!$B$4,"Overdue",IF(H5&gt;'Executive Summary'!$B$4,"Upcoming","Active window"))))</x:f>
        <x:v>Done</x:v>
      </x:c>
    </x:row>
    <x:row r="6" ht="44" customHeight="1">
      <x:c r="A6" s="13" t="str">
        <x:v>P1-LB-01</x:v>
      </x:c>
      <x:c r="B6" s="13" t="str">
        <x:v>Kubernetes API Load Balancer</x:v>
      </x:c>
      <x:c r="C6" s="13" t="str">
        <x:v>Phase 1</x:v>
      </x:c>
      <x:c r="D6" s="13" t="str">
        <x:v>Infrastructure / Load Balancer</x:v>
      </x:c>
      <x:c r="E6" s="13" t="str">
        <x:v>Task</x:v>
      </x:c>
      <x:c r="F6" s="13" t="str">
        <x:v>P0</x:v>
      </x:c>
      <x:c r="G6" s="13" t="str">
        <x:v>In Progress</x:v>
      </x:c>
      <x:c r="H6" s="19" t="n">
        <x:v>46261</x:v>
      </x:c>
      <x:c r="I6" s="19" t="n">
        <x:v>46282</x:v>
      </x:c>
      <x:c r="J6" s="61" t="n">
        <x:f>IF(OR(H6="",I6=""),"",I6-H6+1)</x:f>
        <x:v>22</x:v>
      </x:c>
      <x:c r="K6" s="61" t="n">
        <x:f>IF(OR(H6="",I6=""),"",NETWORKDAYS(H6,I6,'Sources &amp; Change Log'!$J$2:$J$5)-COUNTIFS('Team Calendar'!$A$5:$A$12,L6,'Team Calendar'!$C$5:$C$12,"&gt;="&amp;H6,'Team Calendar'!$C$5:$C$12,"&lt;="&amp;I6,'Team Calendar'!$F$5:$F$12,"Personal absence"))</x:f>
        <x:v>16</x:v>
      </x:c>
      <x:c r="L6" s="13" t="str">
        <x:v>이권욱</x:v>
      </x:c>
      <x:c r="M6" s="13" t="str">
        <x:v>이하영</x:v>
      </x:c>
      <x:c r="N6" s="13" t="str">
        <x:v>D02; D05; D27; D31; D34; D35</x:v>
      </x:c>
      <x:c r="O6" s="13" t="str">
        <x:v>RISK-02; RISK-03; RISK-04</x:v>
      </x:c>
      <x:c r="P6" s="13" t="str">
        <x:v>IF-11/IF-11A/IF-06A Source Allowlist, `.109:6443→.102~.104:6443` Stage A Listener/Handoff와 Stage B Backend Health/API/Failover Evidence</x:v>
      </x:c>
      <x:c r="Q6" s="13" t="str">
        <x:v>Stage B는 3CP API 기동 후 검증하며 09-17 G1 인수에 연결한다. 실제 상태·완료 판정은 유지한다. 세부 배정: Fast Track Plan 시트.</x:v>
      </x:c>
      <x:c r="R6" s="13" t="str">
        <x:v>https://github.com/321Team/fds-project-baseline/issues/9</x:v>
      </x:c>
      <x:c r="S6" s="13" t="str">
        <x:f>IF(G6="Done","Done",IF(I6="",IF(F6="P1","Deferred P1","End TBD"),IF(I6&lt;'Executive Summary'!$B$4,"Overdue",IF(H6&gt;'Executive Summary'!$B$4,"Upcoming","Active window"))))</x:f>
        <x:v>Active window</x:v>
      </x:c>
    </x:row>
    <x:row r="7" ht="44" customHeight="1">
      <x:c r="A7" s="13" t="str">
        <x:v>P1-K8S-01</x:v>
      </x:c>
      <x:c r="B7" s="13" t="str">
        <x:v>kubeadm 3CP + 3Worker / Calico</x:v>
      </x:c>
      <x:c r="C7" s="13" t="str">
        <x:v>Phase 1</x:v>
      </x:c>
      <x:c r="D7" s="13" t="str">
        <x:v>Kubernetes / Platform</x:v>
      </x:c>
      <x:c r="E7" s="13" t="str">
        <x:v>Task</x:v>
      </x:c>
      <x:c r="F7" s="13" t="str">
        <x:v>P0</x:v>
      </x:c>
      <x:c r="G7" s="13" t="str">
        <x:v>In Progress</x:v>
      </x:c>
      <x:c r="H7" s="19" t="n">
        <x:v>46261</x:v>
      </x:c>
      <x:c r="I7" s="19" t="n">
        <x:v>46282</x:v>
      </x:c>
      <x:c r="J7" s="61" t="n">
        <x:f>IF(OR(H7="",I7=""),"",I7-H7+1)</x:f>
        <x:v>22</x:v>
      </x:c>
      <x:c r="K7" s="61" t="n">
        <x:f>IF(OR(H7="",I7=""),"",NETWORKDAYS(H7,I7,'Sources &amp; Change Log'!$J$2:$J$5)-COUNTIFS('Team Calendar'!$A$5:$A$12,L7,'Team Calendar'!$C$5:$C$12,"&gt;="&amp;H7,'Team Calendar'!$C$5:$C$12,"&lt;="&amp;I7,'Team Calendar'!$F$5:$F$12,"Personal absence"))</x:f>
        <x:v>13</x:v>
      </x:c>
      <x:c r="L7" s="13" t="str">
        <x:v>이하영</x:v>
      </x:c>
      <x:c r="M7" s="13" t="str">
        <x:v>이권욱</x:v>
      </x:c>
      <x:c r="N7" s="13" t="str">
        <x:v>D01; D02; D05; D27; D31; D34; D35</x:v>
      </x:c>
      <x:c r="O7" s="13" t="str">
        <x:v>RISK-02; RISK-03; RISK-04; RISK-07; RISK-14</x:v>
      </x:c>
      <x:c r="P7" s="13" t="str">
        <x:v>LB Stage A 확인, 6개 Node의 보호 공백 없는 firewalld→named HEP/GNP 전환, containerd/kubelet·SELinux·identity·Port Matrix, BGP Disabled+VXLANCrossSubnet Calico, 6/6 Ready, CoreDNS, static local PV Evidence</x:v>
      </x:c>
      <x:c r="Q7" s="13" t="str">
        <x:v>09-11 CP1, 09-14 CP2/3·Worker, 09-15 NTP·Calico, 09-17 증적 인수를 조건부 목표로 둔다. 실제 상태·완료 판정은 유지한다. 세부 배정: Fast Track Plan 시트.</x:v>
      </x:c>
      <x:c r="R7" s="13" t="str">
        <x:v>https://github.com/321Team/fds-project-baseline/issues/10</x:v>
      </x:c>
      <x:c r="S7" s="13" t="str">
        <x:f>IF(G7="Done","Done",IF(I7="",IF(F7="P1","Deferred P1","End TBD"),IF(I7&lt;'Executive Summary'!$B$4,"Overdue",IF(H7&gt;'Executive Summary'!$B$4,"Upcoming","Active window"))))</x:f>
        <x:v>Active window</x:v>
      </x:c>
    </x:row>
    <x:row r="8" ht="44" customHeight="1">
      <x:c r="A8" s="13" t="str">
        <x:v>P1-DB-01</x:v>
      </x:c>
      <x:c r="B8" s="13" t="str">
        <x:v>PostgreSQL External VM</x:v>
      </x:c>
      <x:c r="C8" s="13" t="str">
        <x:v>Phase 1</x:v>
      </x:c>
      <x:c r="D8" s="13" t="str">
        <x:v>Data / Database</x:v>
      </x:c>
      <x:c r="E8" s="13" t="str">
        <x:v>Task</x:v>
      </x:c>
      <x:c r="F8" s="13" t="str">
        <x:v>P0</x:v>
      </x:c>
      <x:c r="G8" s="13" t="str">
        <x:v>In Progress</x:v>
      </x:c>
      <x:c r="H8" s="19" t="n">
        <x:v>46262</x:v>
      </x:c>
      <x:c r="I8" s="19" t="n">
        <x:v>46282</x:v>
      </x:c>
      <x:c r="J8" s="61" t="n">
        <x:f>IF(OR(H8="",I8=""),"",I8-H8+1)</x:f>
        <x:v>21</x:v>
      </x:c>
      <x:c r="K8" s="61" t="n">
        <x:f>IF(OR(H8="",I8=""),"",NETWORKDAYS(H8,I8,'Sources &amp; Change Log'!$J$2:$J$5)-COUNTIFS('Team Calendar'!$A$5:$A$12,L8,'Team Calendar'!$C$5:$C$12,"&gt;="&amp;H8,'Team Calendar'!$C$5:$C$12,"&lt;="&amp;I8,'Team Calendar'!$F$5:$F$12,"Personal absence"))</x:f>
        <x:v>10</x:v>
      </x:c>
      <x:c r="L8" s="13" t="str">
        <x:v>이재환</x:v>
      </x:c>
      <x:c r="M8" s="13" t="str">
        <x:v>이권욱</x:v>
      </x:c>
      <x:c r="N8" s="13" t="str">
        <x:v>D04; D05</x:v>
      </x:c>
      <x:c r="O8" s="13" t="str">
        <x:v>RISK-04; RISK-07; RISK-09</x:v>
      </x:c>
      <x:c r="P8" s="13" t="str">
        <x:v>db01 10.1.93.55:5432 구축, Schema/Migration 적용, transaction-api 승인 Source 접속·저장·조회 및 접근차단 Evidence 확보</x:v>
      </x:c>
      <x:c r="Q8" s="13" t="str">
        <x:v>09-11 이재환의 고정 Source·Schema·검증/복구 절차 인계가 선행돼야 한다. 기존 Support 이권욱이 부재 중 검증을 지원하며 실제 인수 권한은 기존 통제를 따른다. 실제 상태·완료 판정은 유지한다. 세부 배정: Fast Track Plan 시트.</x:v>
      </x:c>
      <x:c r="R8" s="13" t="str">
        <x:v>https://github.com/321Team/fds-project-baseline/issues/11</x:v>
      </x:c>
      <x:c r="S8" s="13" t="str">
        <x:f>IF(G8="Done","Done",IF(I8="",IF(F8="P1","Deferred P1","End TBD"),IF(I8&lt;'Executive Summary'!$B$4,"Overdue",IF(H8&gt;'Executive Summary'!$B$4,"Upcoming","Active window"))))</x:f>
        <x:v>Active window</x:v>
      </x:c>
    </x:row>
    <x:row r="9" ht="44" customHeight="1">
      <x:c r="A9" s="13" t="str">
        <x:v>P1-DNS-01</x:v>
      </x:c>
      <x:c r="B9" s="13" t="str">
        <x:v>Internal DNS Primary/Secondary</x:v>
      </x:c>
      <x:c r="C9" s="13" t="str">
        <x:v>Phase 1</x:v>
      </x:c>
      <x:c r="D9" s="13" t="str">
        <x:v>DNS / Supporting Service</x:v>
      </x:c>
      <x:c r="E9" s="13" t="str">
        <x:v>Task</x:v>
      </x:c>
      <x:c r="F9" s="13" t="str">
        <x:v>P1</x:v>
      </x:c>
      <x:c r="G9" s="13" t="str">
        <x:v>Done</x:v>
      </x:c>
      <x:c r="H9" s="19" t="n">
        <x:v>46262</x:v>
      </x:c>
      <x:c r="I9" s="19" t="n">
        <x:v>46268</x:v>
      </x:c>
      <x:c r="J9" s="61" t="n">
        <x:f>IF(OR(H9="",I9=""),"",I9-H9+1)</x:f>
        <x:v>7</x:v>
      </x:c>
      <x:c r="K9" s="61" t="n">
        <x:f>IF(OR(H9="",I9=""),"",NETWORKDAYS(H9,I9,'Sources &amp; Change Log'!$J$2:$J$5)-COUNTIFS('Team Calendar'!$A$5:$A$12,L9,'Team Calendar'!$C$5:$C$12,"&gt;="&amp;H9,'Team Calendar'!$C$5:$C$12,"&lt;="&amp;I9,'Team Calendar'!$F$5:$F$12,"Personal absence"))</x:f>
        <x:v>5</x:v>
      </x:c>
      <x:c r="L9" s="13" t="str">
        <x:v>이권욱</x:v>
      </x:c>
      <x:c r="M9" s="13" t="str">
        <x:v>이하영</x:v>
      </x:c>
      <x:c r="N9" s="13" t="str">
        <x:v>D08; D09; D34; D35</x:v>
      </x:c>
      <x:c r="O9" s="13" t="str">
        <x:v>RISK-02; RISK-04; RISK-07</x:v>
      </x:c>
      <x:c r="P9" s="13" t="str">
        <x:v>Primary/Secondary·TSIG·제한 Query/Recursion·Failover Evidence와 k8s-api-lb01 `.109` Resolver/ACL/IPSet 검증 및 Support Review 승인</x:v>
      </x:c>
      <x:c r="Q9" s="13" t="str">
        <x:v>기술 검증·Support Review·.109 ACL/Resolver/Failover Delta 확인 완료. 2026-09-03 Done 승인.</x:v>
      </x:c>
      <x:c r="R9" s="13" t="str">
        <x:v>https://github.com/321Team/fds-project-baseline/issues/12</x:v>
      </x:c>
      <x:c r="S9" s="13" t="str">
        <x:f>IF(G9="Done","Done",IF(I9="","End TBD",IF(I9&lt;'Executive Summary'!$B$4,"Overdue",IF(H9&gt;'Executive Summary'!$B$4,"Upcoming","Active window"))))</x:f>
        <x:v>Done</x:v>
      </x:c>
    </x:row>
    <x:row r="10" ht="44" customHeight="1">
      <x:c r="A10" s="13" t="str">
        <x:v>P1-HBR-01</x:v>
      </x:c>
      <x:c r="B10" s="13" t="str">
        <x:v>Harbor / Trivy Registry</x:v>
      </x:c>
      <x:c r="C10" s="13" t="str">
        <x:v>Phase 1</x:v>
      </x:c>
      <x:c r="D10" s="13" t="str">
        <x:v>Registry / Supply Chain</x:v>
      </x:c>
      <x:c r="E10" s="13" t="str">
        <x:v>Task</x:v>
      </x:c>
      <x:c r="F10" s="13" t="str">
        <x:v>P0</x:v>
      </x:c>
      <x:c r="G10" s="13" t="str">
        <x:v>In Progress</x:v>
      </x:c>
      <x:c r="H10" s="19" t="n">
        <x:v>46265</x:v>
      </x:c>
      <x:c r="I10" s="19" t="n">
        <x:v>46282</x:v>
      </x:c>
      <x:c r="J10" s="61" t="n">
        <x:f>IF(OR(H10="",I10=""),"",I10-H10+1)</x:f>
        <x:v>18</x:v>
      </x:c>
      <x:c r="K10" s="61" t="n">
        <x:f>IF(OR(H10="",I10=""),"",NETWORKDAYS(H10,I10,'Sources &amp; Change Log'!$J$2:$J$5)-COUNTIFS('Team Calendar'!$A$5:$A$12,L10,'Team Calendar'!$C$5:$C$12,"&gt;="&amp;H10,'Team Calendar'!$C$5:$C$12,"&lt;="&amp;I10,'Team Calendar'!$F$5:$F$12,"Personal absence"))</x:f>
        <x:v>12</x:v>
      </x:c>
      <x:c r="L10" s="13" t="str">
        <x:v>이하영</x:v>
      </x:c>
      <x:c r="M10" s="13" t="str">
        <x:v>이권욱</x:v>
      </x:c>
      <x:c r="N10" s="13" t="str">
        <x:v>D04; D17; D19; D35</x:v>
      </x:c>
      <x:c r="O10" s="13" t="str">
        <x:v>RISK-04; RISK-06; RISK-07</x:v>
      </x:c>
      <x:c r="P10" s="13" t="str">
        <x:v>harbor01 `.54:443`, Private CA Trust, 최소권한 Robot Account, IF-09 Runner Push·IF-10 Worker Pull/Pod Start, 비승인 Push/Pull DENY, Trivy/Digest/Evidence PASS</x:v>
      </x:c>
      <x:c r="Q10" s="13" t="str">
        <x:v>Harbor 준비는 CP 후속과 병행하고 09-16 CI Scan Digest까지 4/4 대조 후 09-17 인수 목표다. 실제 상태·완료 판정은 유지한다. 세부 배정: Fast Track Plan 시트.</x:v>
      </x:c>
      <x:c r="R10" s="13" t="str">
        <x:v>https://github.com/321Team/fds-project-baseline/issues/13</x:v>
      </x:c>
      <x:c r="S10" s="13" t="str">
        <x:f>IF(G10="Done","Done",IF(I10="",IF(F10="P1","Deferred P1","End TBD"),IF(I10&lt;'Executive Summary'!$B$4,"Overdue",IF(H10&gt;'Executive Summary'!$B$4,"Upcoming","Active window"))))</x:f>
        <x:v>Active window</x:v>
      </x:c>
    </x:row>
    <x:row r="11" ht="44" customHeight="1">
      <x:c r="A11" s="13" t="str">
        <x:v>ICR-D-NET-01-01</x:v>
      </x:c>
      <x:c r="B11" s="13" t="str">
        <x:v>Kubernetes Node Host Firewall / Monitoring Route</x:v>
      </x:c>
      <x:c r="C11" s="13" t="str">
        <x:v>Phase 1</x:v>
      </x:c>
      <x:c r="D11" s="13" t="str">
        <x:v>Network / Interface Change Control</x:v>
      </x:c>
      <x:c r="E11" s="13" t="str">
        <x:v>Change Request</x:v>
      </x:c>
      <x:c r="F11" s="13" t="str">
        <x:v>P0</x:v>
      </x:c>
      <x:c r="G11" s="13" t="str">
        <x:v>In Progress</x:v>
      </x:c>
      <x:c r="H11" s="19" t="n">
        <x:v>46266</x:v>
      </x:c>
      <x:c r="I11" s="19" t="n">
        <x:v>46286</x:v>
      </x:c>
      <x:c r="J11" s="61" t="n">
        <x:f>IF(OR(H11="",I11=""),"",I11-H11+1)</x:f>
        <x:v>21</x:v>
      </x:c>
      <x:c r="K11" s="61" t="n">
        <x:f>IF(OR(H11="",I11=""),"",NETWORKDAYS(H11,I11,'Sources &amp; Change Log'!$J$2:$J$5)-COUNTIFS('Team Calendar'!$A$5:$A$12,L11,'Team Calendar'!$C$5:$C$12,"&gt;="&amp;H11,'Team Calendar'!$C$5:$C$12,"&lt;="&amp;I11,'Team Calendar'!$F$5:$F$12,"Personal absence"))</x:f>
        <x:v>15</x:v>
      </x:c>
      <x:c r="L11" s="13" t="str">
        <x:v>이권욱</x:v>
      </x:c>
      <x:c r="M11" s="13" t="str">
        <x:v>이하영, 이재환</x:v>
      </x:c>
      <x:c r="N11" s="13" t="str">
        <x:v>D17; D18; D33; D34; D35</x:v>
      </x:c>
      <x:c r="O11" s="13" t="str">
        <x:v>RISK-04; RISK-07</x:v>
      </x:c>
      <x:c r="P11" s="13" t="str">
        <x:v>Kubernetes 6개 Node의 보호 공백 없는 firewalld→Calico named HEP/GNP 전환, 30080/9100/10250 최소 허용, 관리망 반환 경로와 IF-06B 정합화, Positive/Negative/Regression/Reboot/Rollback 및 무결성 Evidence 완료</x:v>
      </x:c>
      <x:c r="Q11" s="13" t="str">
        <x:v>09-21은 권장 Plan End이며 실제 종료일 확정이나 AC 완료가 아니다. 기존 End TBD 이력은 보존한다. CP→Worker·NTP·IF-16을 먼저, IF-06B·Negative/Reboot/Rollback·보호 인계를 후속 검증한다. 실제 상태·완료 판정은 유지한다. 세부 배정: Fast Track Plan 시트.</x:v>
      </x:c>
      <x:c r="R11" s="13" t="str">
        <x:v>https://github.com/321Team/fds-project-baseline/issues/14</x:v>
      </x:c>
      <x:c r="S11" s="13" t="str">
        <x:f>IF(G11="Done","Done",IF(I11="",IF(F11="P1","Deferred P1","End TBD"),IF(I11&lt;'Executive Summary'!$B$4,"Overdue",IF(H11&gt;'Executive Summary'!$B$4,"Upcoming","Active window"))))</x:f>
        <x:v>Active window</x:v>
      </x:c>
    </x:row>
    <x:row r="12" ht="58" customHeight="1">
      <x:c r="A12" s="13" t="str">
        <x:v>CR-P1-ANS-01-01</x:v>
      </x:c>
      <x:c r="B12" s="13" t="str">
        <x:v>Ansible Kubernetes Node DNS Resolver 변경</x:v>
      </x:c>
      <x:c r="C12" s="13" t="str">
        <x:v>Phase 1</x:v>
      </x:c>
      <x:c r="D12" s="13" t="str">
        <x:v>Automation / DNS Client</x:v>
      </x:c>
      <x:c r="E12" s="13" t="str">
        <x:v>Change Request</x:v>
      </x:c>
      <x:c r="F12" s="13" t="str">
        <x:v>P1</x:v>
      </x:c>
      <x:c r="G12" s="13" t="str">
        <x:v>Done</x:v>
      </x:c>
      <x:c r="H12" s="19" t="n">
        <x:v>46269</x:v>
      </x:c>
      <x:c r="I12" s="19" t="n">
        <x:v>46272</x:v>
      </x:c>
      <x:c r="J12" s="61" t="n">
        <x:f>IF(OR(H12="",I12=""),"",I12-H12+1)</x:f>
        <x:v>4</x:v>
      </x:c>
      <x:c r="K12" s="61" t="n">
        <x:f>IF(OR(H12="",I12=""),"",NETWORKDAYS(H12,I12,'Sources &amp; Change Log'!$J$2:$J$5)-COUNTIFS('Team Calendar'!$A$5:$A$12,L12,'Team Calendar'!$C$5:$C$12,"&gt;="&amp;H12,'Team Calendar'!$C$5:$C$12,"&lt;="&amp;I12,'Team Calendar'!$F$5:$F$12,"Personal absence"))</x:f>
        <x:v>2</x:v>
      </x:c>
      <x:c r="L12" s="13" t="str">
        <x:v>이권욱</x:v>
      </x:c>
      <x:c r="M12" s="13" t="str">
        <x:v>이하영</x:v>
      </x:c>
      <x:c r="N12" s="13" t="str">
        <x:v>D08; D09; D34; D35</x:v>
      </x:c>
      <x:c r="O12" s="13" t="str">
        <x:v>RISK-02; RISK-04; RISK-07</x:v>
      </x:c>
      <x:c r="P12" s="13" t="str">
        <x:v>Kubernetes 6개 Node의 DNS 전환, 검색 도메인·API FQDN/Short Name·외부 DNS·직접 질의·서비스 회귀·멱등성·Rollback·Evidence 무결성 및 Support Review 완료</x:v>
      </x:c>
      <x:c r="Q12" s="13" t="str">
        <x:v>2026-09-07 Runtime·멱등성·회귀·Rollback·무결성 증적과 이하영 승인 리뷰를 완료하고 이권욱 수동 승인으로 PR #1을 병합했다. GitHub Actions 실행은 0건이므로 CI PASS로 기록하지 않는다. v3.1.17의 `In Review` 표시는 발행 시점 스냅샷이며 다음 정본에서 `Done`으로 동기화한다.</x:v>
      </x:c>
      <x:c r="R12" s="13" t="str">
        <x:v>https://github.com/321Team/fds-project-baseline/issues/58</x:v>
      </x:c>
      <x:c r="S12" s="13" t="str">
        <x:f>IF(G12="Done","Done",IF(I12="","End TBD",IF(I12&lt;'Executive Summary'!$B$4,"Overdue",IF(H12&gt;'Executive Summary'!$B$4,"Upcoming","Active window"))))</x:f>
        <x:v>Done</x:v>
      </x:c>
    </x:row>
    <x:row r="13" ht="44" customHeight="1">
      <x:c r="A13" s="13" t="str">
        <x:v>P1-APP-01</x:v>
      </x:c>
      <x:c r="B13" s="13" t="str">
        <x:v>transaction-api / fds-engine</x:v>
      </x:c>
      <x:c r="C13" s="13" t="str">
        <x:v>Phase 1</x:v>
      </x:c>
      <x:c r="D13" s="13" t="str">
        <x:v>Application / MSA</x:v>
      </x:c>
      <x:c r="E13" s="13" t="str">
        <x:v>Task</x:v>
      </x:c>
      <x:c r="F13" s="13" t="str">
        <x:v>P0</x:v>
      </x:c>
      <x:c r="G13" s="13" t="str">
        <x:v>In Progress</x:v>
      </x:c>
      <x:c r="H13" s="19" t="n">
        <x:v>46266</x:v>
      </x:c>
      <x:c r="I13" s="19" t="n">
        <x:v>46283</x:v>
      </x:c>
      <x:c r="J13" s="61" t="n">
        <x:f>IF(OR(H13="",I13=""),"",I13-H13+1)</x:f>
        <x:v>18</x:v>
      </x:c>
      <x:c r="K13" s="61" t="n">
        <x:f>IF(OR(H13="",I13=""),"",NETWORKDAYS(H13,I13,'Sources &amp; Change Log'!$J$2:$J$5)-COUNTIFS('Team Calendar'!$A$5:$A$12,L13,'Team Calendar'!$C$5:$C$12,"&gt;="&amp;H13,'Team Calendar'!$C$5:$C$12,"&lt;="&amp;I13,'Team Calendar'!$F$5:$F$12,"Personal absence"))</x:f>
        <x:v>9</x:v>
      </x:c>
      <x:c r="L13" s="13" t="str">
        <x:v>이재환</x:v>
      </x:c>
      <x:c r="M13" s="13" t="str">
        <x:v>이하영</x:v>
      </x:c>
      <x:c r="N13" s="13" t="str">
        <x:v>D03; D04; D18; D27; D31; D34</x:v>
      </x:c>
      <x:c r="O13" s="13" t="str">
        <x:v>RISK-07; RISK-09</x:v>
      </x:c>
      <x:c r="P13" s="13" t="str">
        <x:v>2개 Deployment/Service, 업무 8000/8001·metrics 9091/9090, `/livez`·`/readyz`, DB/FDS 장애정책, Resource, local endpoint topology, Contract/E2E Evidence</x:v>
      </x:c>
      <x:c r="Q13" s="13" t="str">
        <x:v>09-11 인계 및 사전 검증, 09-18 복귀 후 정본 Runtime 통합. 휴가 중 미승인 업무 계약·Schema 변경은 중단한다. 실제 상태·완료 판정은 유지한다. 세부 배정: Fast Track Plan 시트.</x:v>
      </x:c>
      <x:c r="R13" s="13" t="str">
        <x:v>https://github.com/321Team/fds-project-baseline/issues/15</x:v>
      </x:c>
      <x:c r="S13" s="13" t="str">
        <x:f>IF(G13="Done","Done",IF(I13="",IF(F13="P1","Deferred P1","End TBD"),IF(I13&lt;'Executive Summary'!$B$4,"Overdue",IF(H13&gt;'Executive Summary'!$B$4,"Upcoming","Active window"))))</x:f>
        <x:v>Active window</x:v>
      </x:c>
    </x:row>
    <x:row r="14" ht="44" customHeight="1">
      <x:c r="A14" s="13" t="str">
        <x:v>P1-CICD-01</x:v>
      </x:c>
      <x:c r="B14" s="13" t="str">
        <x:v>GitHub Actions / Self-hosted Runner Delivery</x:v>
      </x:c>
      <x:c r="C14" s="13" t="str">
        <x:v>Phase 1</x:v>
      </x:c>
      <x:c r="D14" s="13" t="str">
        <x:v>CI/CD / Supply Chain</x:v>
      </x:c>
      <x:c r="E14" s="13" t="str">
        <x:v>Task</x:v>
      </x:c>
      <x:c r="F14" s="13" t="str">
        <x:v>P0</x:v>
      </x:c>
      <x:c r="G14" s="13" t="str">
        <x:v>In Progress</x:v>
      </x:c>
      <x:c r="H14" s="19" t="n">
        <x:v>46266</x:v>
      </x:c>
      <x:c r="I14" s="19" t="n">
        <x:v>46283</x:v>
      </x:c>
      <x:c r="J14" s="61" t="n">
        <x:f>IF(OR(H14="",I14=""),"",I14-H14+1)</x:f>
        <x:v>18</x:v>
      </x:c>
      <x:c r="K14" s="61" t="n">
        <x:f>IF(OR(H14="",I14=""),"",NETWORKDAYS(H14,I14,'Sources &amp; Change Log'!$J$2:$J$5)-COUNTIFS('Team Calendar'!$A$5:$A$12,L14,'Team Calendar'!$C$5:$C$12,"&gt;="&amp;H14,'Team Calendar'!$C$5:$C$12,"&lt;="&amp;I14,'Team Calendar'!$F$5:$F$12,"Personal absence"))</x:f>
        <x:v>14</x:v>
      </x:c>
      <x:c r="L14" s="13" t="str">
        <x:v>이권욱</x:v>
      </x:c>
      <x:c r="M14" s="13" t="str">
        <x:v>이하영</x:v>
      </x:c>
      <x:c r="N14" s="13" t="str">
        <x:v>D03; D04; D19; D34; D35</x:v>
      </x:c>
      <x:c r="O14" s="13" t="str">
        <x:v>RISK-06; RISK-08</x:v>
      </x:c>
      <x:c r="P14" s="13" t="str">
        <x:v>GitHub→Runner→Test→Build→Trivy→Harbor→Kubernetes Deploy→Health/E2E 흐름과 실패 시 Deploy 차단 Evidence 확보; 승인 Digest와 이전 Digest 복구 추적</x:v>
      </x:c>
      <x:c r="Q14" s="13" t="str">
        <x:v>Runner/Workflow·Negative Gate 준비를 플랫폼 구축과 병행하고 승인된 플랫폼·Harbor가 준비된 뒤 배포한다. 실제 상태·완료 판정은 유지한다. 세부 배정: Fast Track Plan 시트.</x:v>
      </x:c>
      <x:c r="R14" s="13" t="str">
        <x:v>https://github.com/321Team/fds-project-baseline/issues/16</x:v>
      </x:c>
      <x:c r="S14" s="13" t="str">
        <x:f>IF(G14="Done","Done",IF(I14="",IF(F14="P1","Deferred P1","End TBD"),IF(I14&lt;'Executive Summary'!$B$4,"Overdue",IF(H14&gt;'Executive Summary'!$B$4,"Upcoming","Active window"))))</x:f>
        <x:v>Active window</x:v>
      </x:c>
    </x:row>
    <x:row r="15" ht="44" customHeight="1">
      <x:c r="A15" s="13" t="str">
        <x:v>P1-MON-01</x:v>
      </x:c>
      <x:c r="B15" s="13" t="str">
        <x:v>Kubernetes-Integrated Hybrid Monitoring 구축 및 검증</x:v>
      </x:c>
      <x:c r="C15" s="13" t="str">
        <x:v>Phase 1</x:v>
      </x:c>
      <x:c r="D15" s="13" t="str">
        <x:v>Monitoring / Observability</x:v>
      </x:c>
      <x:c r="E15" s="13" t="str">
        <x:v>Task</x:v>
      </x:c>
      <x:c r="F15" s="13" t="str">
        <x:v>P0</x:v>
      </x:c>
      <x:c r="G15" s="13" t="str">
        <x:v>In Progress</x:v>
      </x:c>
      <x:c r="H15" s="19" t="n">
        <x:v>46272</x:v>
      </x:c>
      <x:c r="I15" s="19" t="n">
        <x:v>46283</x:v>
      </x:c>
      <x:c r="J15" s="61" t="n">
        <x:f>IF(OR(H15="",I15=""),"",I15-H15+1)</x:f>
        <x:v>12</x:v>
      </x:c>
      <x:c r="K15" s="61" t="n">
        <x:f>IF(OR(H15="",I15=""),"",NETWORKDAYS(H15,I15,'Sources &amp; Change Log'!$J$2:$J$5)-COUNTIFS('Team Calendar'!$A$5:$A$12,L15,'Team Calendar'!$C$5:$C$12,"&gt;="&amp;H15,'Team Calendar'!$C$5:$C$12,"&lt;="&amp;I15,'Team Calendar'!$F$5:$F$12,"Personal absence"))</x:f>
        <x:v>6</x:v>
      </x:c>
      <x:c r="L15" s="13" t="str">
        <x:v>이재환</x:v>
      </x:c>
      <x:c r="M15" s="13" t="str">
        <x:v>이권욱</x:v>
      </x:c>
      <x:c r="N15" s="13" t="str">
        <x:v>D05; D14; D17; D19; D33; D34</x:v>
      </x:c>
      <x:c r="O15" s="13" t="str">
        <x:v>RISK-04; RISK-07</x:v>
      </x:c>
      <x:c r="P15" s="13" t="str">
        <x:v>Hybrid Monitoring의 Runtime Acceptance 14개와 필수 보조통제 2개, 구축·복구·Rollback Runbook 및 Support Review 증적 확보</x:v>
      </x:c>
      <x:c r="Q15" s="13" t="str">
        <x:v>09-11 Monitoring 인계, 부재 중 기존 Support의 준비·구현, 09-18 복귀 후 14개 AC+2개 보조통제 검증을 목표로 한다. 실제 상태·완료 판정은 유지한다. 세부 배정: Fast Track Plan 시트.</x:v>
      </x:c>
      <x:c r="R15" s="13" t="str">
        <x:v>https://github.com/321Team/fds-project-baseline/issues/17</x:v>
      </x:c>
      <x:c r="S15" s="13" t="str">
        <x:f>IF(G15="Done","Done",IF(I15="",IF(F15="P1","Deferred P1","End TBD"),IF(I15&lt;'Executive Summary'!$B$4,"Overdue",IF(H15&gt;'Executive Summary'!$B$4,"Upcoming","Active window"))))</x:f>
        <x:v>Active window</x:v>
      </x:c>
    </x:row>
    <x:row r="16" ht="44" customHeight="1">
      <x:c r="A16" s="13" t="str">
        <x:v>MS-G1-01</x:v>
      </x:c>
      <x:c r="B16" s="13" t="str">
        <x:v>G1 Infrastructure Ready</x:v>
      </x:c>
      <x:c r="C16" s="13" t="str">
        <x:v>Phase 1</x:v>
      </x:c>
      <x:c r="D16" s="13" t="str">
        <x:v>Milestone / Infrastructure</x:v>
      </x:c>
      <x:c r="E16" s="13" t="str">
        <x:v>Milestone</x:v>
      </x:c>
      <x:c r="F16" s="13" t="str">
        <x:v>P0</x:v>
      </x:c>
      <x:c r="G16" s="13" t="str">
        <x:v>To Do</x:v>
      </x:c>
      <x:c r="H16" s="19" t="n">
        <x:v>46282</x:v>
      </x:c>
      <x:c r="I16" s="19" t="n">
        <x:v>46282</x:v>
      </x:c>
      <x:c r="J16" s="61" t="n">
        <x:f>IF(OR(H16="",I16=""),"",I16-H16+1)</x:f>
        <x:v>1</x:v>
      </x:c>
      <x:c r="K16" s="61" t="n">
        <x:f>IF(OR(H16="",I16=""),"",NETWORKDAYS(H16,I16,'Sources &amp; Change Log'!$J$2:$J$5)-COUNTIFS('Team Calendar'!$A$5:$A$12,L16,'Team Calendar'!$C$5:$C$12,"&gt;="&amp;H16,'Team Calendar'!$C$5:$C$12,"&lt;="&amp;I16,'Team Calendar'!$F$5:$F$12,"Personal absence"))</x:f>
        <x:v>1</x:v>
      </x:c>
      <x:c r="L16" s="13" t="str">
        <x:v>이권욱</x:v>
      </x:c>
      <x:c r="M16" s="13" t="str">
        <x:v>이하영, 이재환</x:v>
      </x:c>
      <x:c r="N16" s="13" t="str">
        <x:v>D19; D25; D27</x:v>
      </x:c>
      <x:c r="O16" s="13" t="str">
        <x:v>RISK-02; RISK-03; RISK-04; RISK-06; RISK-07; RISK-08</x:v>
      </x:c>
      <x:c r="P16" s="13" t="str">
        <x:v>CentOS/containerd, Ansible Inventory/SSH/멱등성, 3CP+3Worker, API LB/Calico, Harbor/Runner/PostgreSQL, Node Connectivity와 Push/Pull 준비도 승인</x:v>
      </x:c>
      <x:c r="Q16" s="13" t="str">
        <x:v>09-17 오후 조건부 인수 목표. 6대·API/LB·Calico·DB·Harbor·Runner 증적 미충족이면 PASS 불가. 실제 상태·완료 판정은 유지한다. 세부 배정: Fast Track Plan 시트.</x:v>
      </x:c>
      <x:c r="R16" s="13" t="str">
        <x:v>https://github.com/321Team/fds-project-baseline/issues/18</x:v>
      </x:c>
      <x:c r="S16" s="13" t="str">
        <x:f>IF(G16="Done","Done",IF(I16="",IF(F16="P1","Deferred P1","End TBD"),IF(I16&lt;'Executive Summary'!$B$4,"Overdue",IF(H16&gt;'Executive Summary'!$B$4,"Upcoming","Active window"))))</x:f>
        <x:v>Active window</x:v>
      </x:c>
    </x:row>
    <x:row r="17" ht="44" customHeight="1">
      <x:c r="A17" s="13" t="str">
        <x:v>P1-SEC-01</x:v>
      </x:c>
      <x:c r="B17" s="13" t="str">
        <x:v>Kubernetes Security Controls</x:v>
      </x:c>
      <x:c r="C17" s="13" t="str">
        <x:v>Phase 1</x:v>
      </x:c>
      <x:c r="D17" s="13" t="str">
        <x:v>Security / Kubernetes</x:v>
      </x:c>
      <x:c r="E17" s="13" t="str">
        <x:v>Task</x:v>
      </x:c>
      <x:c r="F17" s="13" t="str">
        <x:v>P0</x:v>
      </x:c>
      <x:c r="G17" s="13" t="str">
        <x:v>In Progress</x:v>
      </x:c>
      <x:c r="H17" s="19" t="n">
        <x:v>46269</x:v>
      </x:c>
      <x:c r="I17" s="19" t="n">
        <x:v>46286</x:v>
      </x:c>
      <x:c r="J17" s="61" t="n">
        <x:f>IF(OR(H17="",I17=""),"",I17-H17+1)</x:f>
        <x:v>18</x:v>
      </x:c>
      <x:c r="K17" s="61" t="n">
        <x:f>IF(OR(H17="",I17=""),"",NETWORKDAYS(H17,I17,'Sources &amp; Change Log'!$J$2:$J$5)-COUNTIFS('Team Calendar'!$A$5:$A$12,L17,'Team Calendar'!$C$5:$C$12,"&gt;="&amp;H17,'Team Calendar'!$C$5:$C$12,"&lt;="&amp;I17,'Team Calendar'!$F$5:$F$12,"Personal absence"))</x:f>
        <x:v>10</x:v>
      </x:c>
      <x:c r="L17" s="13" t="str">
        <x:v>이하영</x:v>
      </x:c>
      <x:c r="M17" s="13" t="str">
        <x:v>이권욱, 이재환</x:v>
      </x:c>
      <x:c r="N17" s="13" t="str">
        <x:v>D12; D17; D18; D19; D27; D31; D34</x:v>
      </x:c>
      <x:c r="O17" s="13" t="str">
        <x:v>RISK-06; RISK-07; RISK-08</x:v>
      </x:c>
      <x:c r="P17" s="13" t="str">
        <x:v>PSA/SecurityContext/Default Deny/RBAC/HEP-GNP/Secretbox/LimitRange/Probe와 `.50/32→30080` 포함 Positive·Negative·Rollback Evidence PASS</x:v>
      </x:c>
      <x:c r="Q17" s="13" t="str">
        <x:v>09-10 휴가 추가 후 기존 09-04~11 가용일은 4일. 권장 종료 09-21로 확장한 전체 계획창의 가용일은 10일이며 잔여 공수를 뜻하지 않는다. Runtime 검증은 플랫폼·앱 인수와 연계한다. 실제 상태·완료 판정은 유지한다. 세부 배정: Fast Track Plan 시트.</x:v>
      </x:c>
      <x:c r="R17" s="13" t="str">
        <x:v>https://github.com/321Team/fds-project-baseline/issues/19</x:v>
      </x:c>
      <x:c r="S17" s="13" t="str">
        <x:f>IF(G17="Done","Done",IF(I17="",IF(F17="P1","Deferred P1","End TBD"),IF(I17&lt;'Executive Summary'!$B$4,"Overdue",IF(H17&gt;'Executive Summary'!$B$4,"Upcoming","Active window"))))</x:f>
        <x:v>Active window</x:v>
      </x:c>
    </x:row>
    <x:row r="18" ht="44" customHeight="1">
      <x:c r="A18" s="13" t="str">
        <x:v>P1-E2E-01</x:v>
      </x:c>
      <x:c r="B18" s="13" t="str">
        <x:v>Initial / Final E2E &amp; Regression</x:v>
      </x:c>
      <x:c r="C18" s="13" t="str">
        <x:v>Phase 1</x:v>
      </x:c>
      <x:c r="D18" s="13" t="str">
        <x:v>QA / Integration Test</x:v>
      </x:c>
      <x:c r="E18" s="13" t="str">
        <x:v>Task</x:v>
      </x:c>
      <x:c r="F18" s="13" t="str">
        <x:v>P0</x:v>
      </x:c>
      <x:c r="G18" s="13" t="str">
        <x:v>To Do</x:v>
      </x:c>
      <x:c r="H18" s="19" t="n">
        <x:v>46276</x:v>
      </x:c>
      <x:c r="I18" s="19" t="n">
        <x:v>46287</x:v>
      </x:c>
      <x:c r="J18" s="61" t="n">
        <x:f>IF(OR(H18="",I18=""),"",I18-H18+1)</x:f>
        <x:v>12</x:v>
      </x:c>
      <x:c r="K18" s="61" t="n">
        <x:f>IF(OR(H18="",I18=""),"",NETWORKDAYS(H18,I18,'Sources &amp; Change Log'!$J$2:$J$5)-COUNTIFS('Team Calendar'!$A$5:$A$12,L18,'Team Calendar'!$C$5:$C$12,"&gt;="&amp;H18,'Team Calendar'!$C$5:$C$12,"&lt;="&amp;I18,'Team Calendar'!$F$5:$F$12,"Personal absence"))</x:f>
        <x:v>4</x:v>
      </x:c>
      <x:c r="L18" s="13" t="str">
        <x:v>이재환</x:v>
      </x:c>
      <x:c r="M18" s="13" t="str">
        <x:v>이권욱, 이하영</x:v>
      </x:c>
      <x:c r="N18" s="13" t="str">
        <x:v>D03; D05; D17; D18</x:v>
      </x:c>
      <x:c r="O18" s="13" t="str">
        <x:v>RISK-05; RISK-07; RISK-09</x:v>
      </x:c>
      <x:c r="P18" s="13" t="str">
        <x:v>Client→edge→transaction-api→fds-engine→PostgreSQL→Prometheus E2E, Rule·Negative·Regression PASS, Critical Issue 0 및 Evidence 승인</x:v>
      </x:c>
      <x:c r="Q18" s="13" t="str">
        <x:v>09-11은 케이스·명령·판정 기준 준비일, Runtime은 09-18 이후, 최종 회귀는 09-22 오전이다. 실제 상태·완료 판정은 유지한다. 세부 배정: Fast Track Plan 시트.</x:v>
      </x:c>
      <x:c r="R18" s="13" t="str">
        <x:v>https://github.com/321Team/fds-project-baseline/issues/20</x:v>
      </x:c>
      <x:c r="S18" s="13" t="str">
        <x:f>IF(G18="Done","Done",IF(I18="",IF(F18="P1","Deferred P1","End TBD"),IF(I18&lt;'Executive Summary'!$B$4,"Overdue",IF(H18&gt;'Executive Summary'!$B$4,"Upcoming","Active window"))))</x:f>
        <x:v>Active window</x:v>
      </x:c>
    </x:row>
    <x:row r="19" ht="44" customHeight="1">
      <x:c r="A19" s="13" t="str">
        <x:v>P1-DR-01</x:v>
      </x:c>
      <x:c r="B19" s="13" t="str">
        <x:v>PostgreSQL Backup / Restore</x:v>
      </x:c>
      <x:c r="C19" s="13" t="str">
        <x:v>Phase 1</x:v>
      </x:c>
      <x:c r="D19" s="13" t="str">
        <x:v>DR / Data Recovery</x:v>
      </x:c>
      <x:c r="E19" s="13" t="str">
        <x:v>Task</x:v>
      </x:c>
      <x:c r="F19" s="13" t="str">
        <x:v>P0</x:v>
      </x:c>
      <x:c r="G19" s="13" t="str">
        <x:v>To Do</x:v>
      </x:c>
      <x:c r="H19" s="19" t="n">
        <x:v>46276</x:v>
      </x:c>
      <x:c r="I19" s="19" t="n">
        <x:v>46286</x:v>
      </x:c>
      <x:c r="J19" s="61" t="n">
        <x:f>IF(OR(H19="",I19=""),"",I19-H19+1)</x:f>
        <x:v>11</x:v>
      </x:c>
      <x:c r="K19" s="61" t="n">
        <x:f>IF(OR(H19="",I19=""),"",NETWORKDAYS(H19,I19,'Sources &amp; Change Log'!$J$2:$J$5)-COUNTIFS('Team Calendar'!$A$5:$A$12,L19,'Team Calendar'!$C$5:$C$12,"&gt;="&amp;H19,'Team Calendar'!$C$5:$C$12,"&lt;="&amp;I19,'Team Calendar'!$F$5:$F$12,"Personal absence"))</x:f>
        <x:v>3</x:v>
      </x:c>
      <x:c r="L19" s="13" t="str">
        <x:v>이재환</x:v>
      </x:c>
      <x:c r="M19" s="13" t="str">
        <x:v>이권욱</x:v>
      </x:c>
      <x:c r="N19" s="13" t="str">
        <x:v>D04</x:v>
      </x:c>
      <x:c r="O19" s="13" t="str">
        <x:v>RISK-05; RISK-09</x:v>
      </x:c>
      <x:c r="P19" s="13" t="str">
        <x:v>pg_dump Backup, 승인된 초기화/격리 환경 Restore, Row/Rule 결과 정합성 및 Restore 후 Final E2E PASS와 Runbook 확보</x:v>
      </x:c>
      <x:c r="Q19" s="13" t="str">
        <x:v>09-11 복구 절차·격리 대상 준비, 실제 Restore 및 후속 E2E는 09-21 오후 전용 창에서 수행한다. 실제 상태·완료 판정은 유지한다. 세부 배정: Fast Track Plan 시트.</x:v>
      </x:c>
      <x:c r="R19" s="13" t="str">
        <x:v>https://github.com/321Team/fds-project-baseline/issues/21</x:v>
      </x:c>
      <x:c r="S19" s="13" t="str">
        <x:f>IF(G19="Done","Done",IF(I19="",IF(F19="P1","Deferred P1","End TBD"),IF(I19&lt;'Executive Summary'!$B$4,"Overdue",IF(H19&gt;'Executive Summary'!$B$4,"Upcoming","Active window"))))</x:f>
        <x:v>Active window</x:v>
      </x:c>
    </x:row>
    <x:row r="20" ht="44" customHeight="1">
      <x:c r="A20" s="13" t="str">
        <x:v>P1-HA-01</x:v>
      </x:c>
      <x:c r="B20" s="13" t="str">
        <x:v>Worker Drain Continuity</x:v>
      </x:c>
      <x:c r="C20" s="13" t="str">
        <x:v>Phase 1</x:v>
      </x:c>
      <x:c r="D20" s="13" t="str">
        <x:v>HA / Resilience</x:v>
      </x:c>
      <x:c r="E20" s="13" t="str">
        <x:v>Task</x:v>
      </x:c>
      <x:c r="F20" s="13" t="str">
        <x:v>P0</x:v>
      </x:c>
      <x:c r="G20" s="13" t="str">
        <x:v>To Do</x:v>
      </x:c>
      <x:c r="H20" s="19" t="n">
        <x:v>46276</x:v>
      </x:c>
      <x:c r="I20" s="19" t="n">
        <x:v>46286</x:v>
      </x:c>
      <x:c r="J20" s="61" t="n">
        <x:f>IF(OR(H20="",I20=""),"",I20-H20+1)</x:f>
        <x:v>11</x:v>
      </x:c>
      <x:c r="K20" s="61" t="n">
        <x:f>IF(OR(H20="",I20=""),"",NETWORKDAYS(H20,I20,'Sources &amp; Change Log'!$J$2:$J$5)-COUNTIFS('Team Calendar'!$A$5:$A$12,L20,'Team Calendar'!$C$5:$C$12,"&gt;="&amp;H20,'Team Calendar'!$C$5:$C$12,"&lt;="&amp;I20,'Team Calendar'!$F$5:$F$12,"Personal absence"))</x:f>
        <x:v>3</x:v>
      </x:c>
      <x:c r="L20" s="13" t="str">
        <x:v>이재환</x:v>
      </x:c>
      <x:c r="M20" s="13" t="str">
        <x:v>이하영</x:v>
      </x:c>
      <x:c r="N20" s="13" t="str">
        <x:v>D02; D03</x:v>
      </x:c>
      <x:c r="O20" s="13" t="str">
        <x:v>RISK-03; RISK-05; RISK-07</x:v>
      </x:c>
      <x:c r="P20" s="13" t="str">
        <x:v>FDS Replica 3개 Worker 분산, Worker Drain 중 승인된 서비스 지속 기준 충족, 복구·Uncordon 및 E2E Evidence 확보</x:v>
      </x:c>
      <x:c r="Q20" s="13" t="str">
        <x:v>09-11 Drain 케이스 준비, 3Worker 및 서비스 분산 확인 후 09-21 오전 전용 창에서 수행한다. 실제 상태·완료 판정은 유지한다. 세부 배정: Fast Track Plan 시트.</x:v>
      </x:c>
      <x:c r="R20" s="13" t="str">
        <x:v>https://github.com/321Team/fds-project-baseline/issues/22</x:v>
      </x:c>
      <x:c r="S20" s="13" t="str">
        <x:f>IF(G20="Done","Done",IF(I20="",IF(F20="P1","Deferred P1","End TBD"),IF(I20&lt;'Executive Summary'!$B$4,"Overdue",IF(H20&gt;'Executive Summary'!$B$4,"Upcoming","Active window"))))</x:f>
        <x:v>Active window</x:v>
      </x:c>
    </x:row>
    <x:row r="21" ht="44" customHeight="1">
      <x:c r="A21" s="13" t="str">
        <x:v>MS-G2-01</x:v>
      </x:c>
      <x:c r="B21" s="13" t="str">
        <x:v>G2 Security / Feature Ready</x:v>
      </x:c>
      <x:c r="C21" s="13" t="str">
        <x:v>Phase 1</x:v>
      </x:c>
      <x:c r="D21" s="13" t="str">
        <x:v>Milestone / Security &amp; Feature</x:v>
      </x:c>
      <x:c r="E21" s="13" t="str">
        <x:v>Milestone</x:v>
      </x:c>
      <x:c r="F21" s="13" t="str">
        <x:v>P0</x:v>
      </x:c>
      <x:c r="G21" s="13" t="str">
        <x:v>To Do</x:v>
      </x:c>
      <x:c r="H21" s="19" t="n">
        <x:v>46286</x:v>
      </x:c>
      <x:c r="I21" s="19" t="n">
        <x:v>46286</x:v>
      </x:c>
      <x:c r="J21" s="61" t="n">
        <x:f>IF(OR(H21="",I21=""),"",I21-H21+1)</x:f>
        <x:v>1</x:v>
      </x:c>
      <x:c r="K21" s="61" t="n">
        <x:f>IF(OR(H21="",I21=""),"",NETWORKDAYS(H21,I21,'Sources &amp; Change Log'!$J$2:$J$5)-COUNTIFS('Team Calendar'!$A$5:$A$12,L21,'Team Calendar'!$C$5:$C$12,"&gt;="&amp;H21,'Team Calendar'!$C$5:$C$12,"&lt;="&amp;I21,'Team Calendar'!$F$5:$F$12,"Personal absence"))</x:f>
        <x:v>1</x:v>
      </x:c>
      <x:c r="L21" s="13" t="str">
        <x:v>이하영</x:v>
      </x:c>
      <x:c r="M21" s="13" t="str">
        <x:v>이권욱, 이재환</x:v>
      </x:c>
      <x:c r="N21" s="13" t="str">
        <x:v>D17; D18; D19; D27</x:v>
      </x:c>
      <x:c r="O21" s="13" t="str">
        <x:v>RISK-05; RISK-06; RISK-07; RISK-08; RISK-09</x:v>
      </x:c>
      <x:c r="P21" s="13" t="str">
        <x:v>2-Service MSA, DB 저장, Security P0, CI/CD, Monitoring, Initial E2E/Negative Test/Worker Drain 준비도를 승인</x:v>
      </x:c>
      <x:c r="Q21" s="13" t="str">
        <x:v>09-21 오후 종료 시점 목표. 앱/보안/CI/Monitoring·초기 E2E/Negative/Drain 준비도와 해당 증적이 선행한다. 실제 상태·완료 판정은 유지한다. 세부 배정: Fast Track Plan 시트.</x:v>
      </x:c>
      <x:c r="R21" s="13" t="str">
        <x:v>https://github.com/321Team/fds-project-baseline/issues/23</x:v>
      </x:c>
      <x:c r="S21" s="13" t="str">
        <x:f>IF(G21="Done","Done",IF(I21="",IF(F21="P1","Deferred P1","End TBD"),IF(I21&lt;'Executive Summary'!$B$4,"Overdue",IF(H21&gt;'Executive Summary'!$B$4,"Upcoming","Active window"))))</x:f>
        <x:v>Upcoming</x:v>
      </x:c>
    </x:row>
    <x:row r="22" ht="44" customHeight="1">
      <x:c r="A22" s="13" t="str">
        <x:v>P1-DOC-01</x:v>
      </x:c>
      <x:c r="B22" s="13" t="str">
        <x:v>Architecture / Test / Runbook Freeze</x:v>
      </x:c>
      <x:c r="C22" s="13" t="str">
        <x:v>Phase 1</x:v>
      </x:c>
      <x:c r="D22" s="13" t="str">
        <x:v>PMO / Documentation</x:v>
      </x:c>
      <x:c r="E22" s="13" t="str">
        <x:v>Task</x:v>
      </x:c>
      <x:c r="F22" s="13" t="str">
        <x:v>P0</x:v>
      </x:c>
      <x:c r="G22" s="13" t="str">
        <x:v>To Do</x:v>
      </x:c>
      <x:c r="H22" s="19" t="n">
        <x:v>46276</x:v>
      </x:c>
      <x:c r="I22" s="19" t="n">
        <x:v>46287</x:v>
      </x:c>
      <x:c r="J22" s="61" t="n">
        <x:f>IF(OR(H22="",I22=""),"",I22-H22+1)</x:f>
        <x:v>12</x:v>
      </x:c>
      <x:c r="K22" s="61" t="n">
        <x:f>IF(OR(H22="",I22=""),"",NETWORKDAYS(H22,I22,'Sources &amp; Change Log'!$J$2:$J$5)-COUNTIFS('Team Calendar'!$A$5:$A$12,L22,'Team Calendar'!$C$5:$C$12,"&gt;="&amp;H22,'Team Calendar'!$C$5:$C$12,"&lt;="&amp;I22,'Team Calendar'!$F$5:$F$12,"Personal absence"))</x:f>
        <x:v>8</x:v>
      </x:c>
      <x:c r="L22" s="13" t="str">
        <x:v>이권욱</x:v>
      </x:c>
      <x:c r="M22" s="13" t="str">
        <x:v>이하영, 이재환</x:v>
      </x:c>
      <x:c r="N22" s="13" t="str">
        <x:v>D12; D20; D25</x:v>
      </x:c>
      <x:c r="O22" s="13" t="str">
        <x:v>RISK-05; RISK-13</x:v>
      </x:c>
      <x:c r="P22" s="13" t="str">
        <x:v>As-built Architecture, Test/Evidence Index, 구축·운영·복구 Runbook, P1 미완료 Known Issue의 풀네임 Owner·Due, Version/Source 및 Review 재현성 승인</x:v>
      </x:c>
      <x:c r="Q22" s="13" t="str">
        <x:v>구축 시 증적·Runbook을 병행 축적하고 09-22 오전 Final Evidence와 함께 동결한다. 실제 상태·완료 판정은 유지한다. 세부 배정: Fast Track Plan 시트.</x:v>
      </x:c>
      <x:c r="R22" s="13" t="str">
        <x:v>https://github.com/321Team/fds-project-baseline/issues/24</x:v>
      </x:c>
      <x:c r="S22" s="13" t="str">
        <x:f>IF(G22="Done","Done",IF(I22="",IF(F22="P1","Deferred P1","End TBD"),IF(I22&lt;'Executive Summary'!$B$4,"Overdue",IF(H22&gt;'Executive Summary'!$B$4,"Upcoming","Active window"))))</x:f>
        <x:v>Active window</x:v>
      </x:c>
    </x:row>
    <x:row r="23" ht="44" customHeight="1">
      <x:c r="A23" s="13" t="str">
        <x:v>P1-MON-02</x:v>
      </x:c>
      <x:c r="B23" s="13" t="str">
        <x:v>Dashboard / Alert Enhancement</x:v>
      </x:c>
      <x:c r="C23" s="13" t="str">
        <x:v>Phase 1</x:v>
      </x:c>
      <x:c r="D23" s="13" t="str">
        <x:v>Monitoring / Observability</x:v>
      </x:c>
      <x:c r="E23" s="13" t="str">
        <x:v>Task</x:v>
      </x:c>
      <x:c r="F23" s="13" t="str">
        <x:v>P1</x:v>
      </x:c>
      <x:c r="G23" s="13" t="str">
        <x:v>To Do</x:v>
      </x:c>
      <x:c r="H23" s="19"/>
      <x:c r="I23" s="19"/>
      <x:c r="J23" s="61" t="str">
        <x:f>IF(OR(H23="",I23=""),"",I23-H23+1)</x:f>
      </x:c>
      <x:c r="K23" s="61" t="str">
        <x:f>IF(OR(H23="",I23=""),"",NETWORKDAYS(H23,I23,'Sources &amp; Change Log'!$J$2:$J$5)-COUNTIFS('Team Calendar'!$A$5:$A$12,L23,'Team Calendar'!$C$5:$C$12,"&gt;="&amp;H23,'Team Calendar'!$C$5:$C$12,"&lt;="&amp;I23,'Team Calendar'!$F$5:$F$12,"Personal absence"))</x:f>
      </x:c>
      <x:c r="L23" s="13" t="str">
        <x:v>이재환</x:v>
      </x:c>
      <x:c r="M23" s="13" t="str">
        <x:v>이권욱, 이하영</x:v>
      </x:c>
      <x:c r="N23" s="13" t="str">
        <x:v>D25; D33</x:v>
      </x:c>
      <x:c r="O23" s="13" t="str">
        <x:v>RISK-05; RISK-07; RISK-09; RISK-14</x:v>
      </x:c>
      <x:c r="P23" s="13" t="str">
        <x:v>Prometheus 2 Replica·Alertmanager 3 Replica, PDB/TopologySpread, Dashboard/Alert·장기보존 고도화와 장애·복구·P0 회귀 Evidence 및 Review</x:v>
      </x:c>
      <x:c r="Q23" s="13" t="str">
        <x:v>P0 마감 보호를 위해 신규 구현을 유예하는 권장안이다. 기존 Lead·Type·Priority·AC·To Do는 유지한다. 09-23은 Known Issue/Owner 인계 기한, 09-28은 차기 착수·납기 결정 기한이며 구현 완료일은 TBD다. Phase 2 공수를 자동 배정하지 않는다. 실제 상태·완료 판정은 유지한다. 세부 배정: Fast Track Plan 시트.</x:v>
      </x:c>
      <x:c r="R23" s="13" t="str">
        <x:v>https://github.com/321Team/fds-project-baseline/issues/25</x:v>
      </x:c>
      <x:c r="S23" s="13" t="str">
        <x:f>IF(G23="Done","Done",IF(I23="",IF(F23="P1","Deferred P1","End TBD"),IF(I23&lt;'Executive Summary'!$B$4,"Overdue",IF(H23&gt;'Executive Summary'!$B$4,"Upcoming","Active window"))))</x:f>
        <x:v>Deferred P1</x:v>
      </x:c>
    </x:row>
    <x:row r="24" ht="44" customHeight="1">
      <x:c r="A24" s="13" t="str">
        <x:v>P1-DR-02</x:v>
      </x:c>
      <x:c r="B24" s="13" t="str">
        <x:v>Harbor / etcd Backup and Restore</x:v>
      </x:c>
      <x:c r="C24" s="13" t="str">
        <x:v>Phase 1</x:v>
      </x:c>
      <x:c r="D24" s="13" t="str">
        <x:v>DR / Platform Recovery</x:v>
      </x:c>
      <x:c r="E24" s="13" t="str">
        <x:v>Task</x:v>
      </x:c>
      <x:c r="F24" s="13" t="str">
        <x:v>P1</x:v>
      </x:c>
      <x:c r="G24" s="13" t="str">
        <x:v>To Do</x:v>
      </x:c>
      <x:c r="H24" s="19"/>
      <x:c r="I24" s="19"/>
      <x:c r="J24" s="61" t="str">
        <x:f>IF(OR(H24="",I24=""),"",I24-H24+1)</x:f>
      </x:c>
      <x:c r="K24" s="61" t="str">
        <x:f>IF(OR(H24="",I24=""),"",NETWORKDAYS(H24,I24,'Sources &amp; Change Log'!$J$2:$J$5)-COUNTIFS('Team Calendar'!$A$5:$A$12,L24,'Team Calendar'!$C$5:$C$12,"&gt;="&amp;H24,'Team Calendar'!$C$5:$C$12,"&lt;="&amp;I24,'Team Calendar'!$F$5:$F$12,"Personal absence"))</x:f>
      </x:c>
      <x:c r="L24" s="13" t="str">
        <x:v>이하영</x:v>
      </x:c>
      <x:c r="M24" s="13" t="str">
        <x:v>이권욱, 이재환</x:v>
      </x:c>
      <x:c r="N24" s="13" t="str">
        <x:v>D04; D25</x:v>
      </x:c>
      <x:c r="O24" s="13" t="str">
        <x:v>RISK-05; RISK-06; RISK-08; RISK-14</x:v>
      </x:c>
      <x:c r="P24" s="13" t="str">
        <x:v>Harbor Backup/Restore와 etcd Snapshot/Restore를 격리 대상에서 수행하고 무결성·복구·Runbook Evidence 확보</x:v>
      </x:c>
      <x:c r="Q24" s="13" t="str">
        <x:v>P0 마감 보호를 위해 신규 구현을 유예하는 권장안이다. 기존 Lead·Type·Priority·AC·To Do는 유지한다. 09-23은 Known Issue/Owner 인계 기한, 09-28은 차기 착수·납기 결정 기한이며 구현 완료일은 TBD다. Phase 2 공수를 자동 배정하지 않는다. 실제 상태·완료 판정은 유지한다. 세부 배정: Fast Track Plan 시트.</x:v>
      </x:c>
      <x:c r="R24" s="13" t="str">
        <x:v>https://github.com/321Team/fds-project-baseline/issues/26</x:v>
      </x:c>
      <x:c r="S24" s="13" t="str">
        <x:f>IF(G24="Done","Done",IF(I24="",IF(F24="P1","Deferred P1","End TBD"),IF(I24&lt;'Executive Summary'!$B$4,"Overdue",IF(H24&gt;'Executive Summary'!$B$4,"Upcoming","Active window"))))</x:f>
        <x:v>Deferred P1</x:v>
      </x:c>
    </x:row>
    <x:row r="25" ht="44" customHeight="1">
      <x:c r="A25" s="13" t="str">
        <x:v>P1-HA-02</x:v>
      </x:c>
      <x:c r="B25" s="13" t="str">
        <x:v>Platform Resilience P1 Validation</x:v>
      </x:c>
      <x:c r="C25" s="13" t="str">
        <x:v>Phase 1</x:v>
      </x:c>
      <x:c r="D25" s="13" t="str">
        <x:v>HA / Platform Resilience</x:v>
      </x:c>
      <x:c r="E25" s="13" t="str">
        <x:v>Task</x:v>
      </x:c>
      <x:c r="F25" s="13" t="str">
        <x:v>P1</x:v>
      </x:c>
      <x:c r="G25" s="13" t="str">
        <x:v>To Do</x:v>
      </x:c>
      <x:c r="H25" s="19"/>
      <x:c r="I25" s="19"/>
      <x:c r="J25" s="61" t="str">
        <x:f>IF(OR(H25="",I25=""),"",I25-H25+1)</x:f>
      </x:c>
      <x:c r="K25" s="61" t="str">
        <x:f>IF(OR(H25="",I25=""),"",NETWORKDAYS(H25,I25,'Sources &amp; Change Log'!$J$2:$J$5)-COUNTIFS('Team Calendar'!$A$5:$A$12,L25,'Team Calendar'!$C$5:$C$12,"&gt;="&amp;H25,'Team Calendar'!$C$5:$C$12,"&lt;="&amp;I25,'Team Calendar'!$F$5:$F$12,"Personal absence"))</x:f>
      </x:c>
      <x:c r="L25" s="13" t="str">
        <x:v>이하영</x:v>
      </x:c>
      <x:c r="M25" s="13" t="str">
        <x:v>이권욱, 이재환</x:v>
      </x:c>
      <x:c r="N25" s="13" t="str">
        <x:v>D02; D25</x:v>
      </x:c>
      <x:c r="O25" s="13" t="str">
        <x:v>RISK-03; RISK-05; RISK-07; RISK-14</x:v>
      </x:c>
      <x:c r="P25" s="13" t="str">
        <x:v>Rolling Update, Control Plane 1대 장애, PDB 및 TopologySpreadConstraint 검증 결과와 복구 Evidence 확보</x:v>
      </x:c>
      <x:c r="Q25" s="13" t="str">
        <x:v>P0 마감 보호를 위해 신규 구현을 유예하는 권장안이다. 기존 Lead·Type·Priority·AC·To Do는 유지한다. 09-23은 Known Issue/Owner 인계 기한, 09-28은 차기 착수·납기 결정 기한이며 구현 완료일은 TBD다. Phase 2 공수를 자동 배정하지 않는다. 실제 상태·완료 판정은 유지한다. 세부 배정: Fast Track Plan 시트.</x:v>
      </x:c>
      <x:c r="R25" s="13" t="str">
        <x:v>https://github.com/321Team/fds-project-baseline/issues/27</x:v>
      </x:c>
      <x:c r="S25" s="13" t="str">
        <x:f>IF(G25="Done","Done",IF(I25="",IF(F25="P1","Deferred P1","End TBD"),IF(I25&lt;'Executive Summary'!$B$4,"Overdue",IF(H25&gt;'Executive Summary'!$B$4,"Upcoming","Active window"))))</x:f>
        <x:v>Deferred P1</x:v>
      </x:c>
    </x:row>
    <x:row r="26" ht="44" customHeight="1">
      <x:c r="A26" s="13" t="str">
        <x:v>DEC-CAL-P1-01</x:v>
      </x:c>
      <x:c r="B26" s="13" t="str">
        <x:v>Phase 1 Weekend Review Decision</x:v>
      </x:c>
      <x:c r="C26" s="13" t="str">
        <x:v>Phase 1</x:v>
      </x:c>
      <x:c r="D26" s="13" t="str">
        <x:v>Schedule / Governance</x:v>
      </x:c>
      <x:c r="E26" s="13" t="str">
        <x:v>Decision</x:v>
      </x:c>
      <x:c r="F26" s="13" t="str">
        <x:v>P0</x:v>
      </x:c>
      <x:c r="G26" s="13" t="str">
        <x:v>Done</x:v>
      </x:c>
      <x:c r="H26" s="19" t="n">
        <x:v>46276</x:v>
      </x:c>
      <x:c r="I26" s="19" t="n">
        <x:v>46276</x:v>
      </x:c>
      <x:c r="J26" s="61" t="n">
        <x:f>IF(OR(H26="",I26=""),"",I26-H26+1)</x:f>
        <x:v>1</x:v>
      </x:c>
      <x:c r="K26" s="61" t="n">
        <x:f>IF(OR(H26="",I26=""),"",NETWORKDAYS(H26,I26,'Sources &amp; Change Log'!$J$2:$J$5)-COUNTIFS('Team Calendar'!$A$5:$A$12,L26,'Team Calendar'!$C$5:$C$12,"&gt;="&amp;H26,'Team Calendar'!$C$5:$C$12,"&lt;="&amp;I26,'Team Calendar'!$F$5:$F$12,"Personal absence"))</x:f>
        <x:v>1</x:v>
      </x:c>
      <x:c r="L26" s="13" t="str">
        <x:v>이권욱</x:v>
      </x:c>
      <x:c r="M26" s="13" t="str">
        <x:v>이하영, 이재환</x:v>
      </x:c>
      <x:c r="N26" s="13" t="str">
        <x:v>D20</x:v>
      </x:c>
      <x:c r="O26" s="13" t="str">
        <x:v>RISK-05; RISK-13</x:v>
      </x:c>
      <x:c r="P26" s="13" t="str">
        <x:v>09-20 일요일 Review 유지 또는 영업일 재배치, 참석자·승인권자·시간·대체일을 확정하고 WBS/Calendar 동기화</x:v>
      </x:c>
      <x:c r="Q26" s="13" t="str">
        <x:v>2026-09-22 오후 평일 Review로 확정. 발표자료 담당자별 상세 일정에 이권욱·이하영·이재환 Review 역할이 배정되어 있고 #29/#30/#31 일정도 09-22로 정렬됨. 사용자 확인을 일정 결정 승인 근거로 삼아 Done 처리한다. 실제 G3 PASS·Review 결과·Phase 1 Close 승인은 #29/#30/#31에서 별도 판정한다. 교육장 주말 작업 0 원칙 유지.</x:v>
      </x:c>
      <x:c r="R26" s="13" t="str">
        <x:v>https://github.com/321Team/fds-project-baseline/issues/28</x:v>
      </x:c>
      <x:c r="S26" s="13" t="str">
        <x:f>IF(G26="Done","Done",IF(I26="",IF(F26="P1","Deferred P1","End TBD"),IF(I26&lt;'Executive Summary'!$B$4,"Overdue",IF(H26&gt;'Executive Summary'!$B$4,"Upcoming","Active window"))))</x:f>
        <x:v>Done</x:v>
      </x:c>
    </x:row>
    <x:row r="27" ht="44" customHeight="1">
      <x:c r="A27" s="13" t="str">
        <x:v>MS-G3-01</x:v>
      </x:c>
      <x:c r="B27" s="13" t="str">
        <x:v>G3 Review Ready</x:v>
      </x:c>
      <x:c r="C27" s="13" t="str">
        <x:v>Phase 1</x:v>
      </x:c>
      <x:c r="D27" s="13" t="str">
        <x:v>Milestone / Review Readiness</x:v>
      </x:c>
      <x:c r="E27" s="13" t="str">
        <x:v>Milestone</x:v>
      </x:c>
      <x:c r="F27" s="13" t="str">
        <x:v>P0</x:v>
      </x:c>
      <x:c r="G27" s="13" t="str">
        <x:v>To Do</x:v>
      </x:c>
      <x:c r="H27" s="19" t="n">
        <x:v>46287</x:v>
      </x:c>
      <x:c r="I27" s="19" t="n">
        <x:v>46287</x:v>
      </x:c>
      <x:c r="J27" s="61" t="n">
        <x:f>IF(OR(H27="",I27=""),"",I27-H27+1)</x:f>
        <x:v>1</x:v>
      </x:c>
      <x:c r="K27" s="61" t="n">
        <x:f>IF(OR(H27="",I27=""),"",NETWORKDAYS(H27,I27,'Sources &amp; Change Log'!$J$2:$J$5)-COUNTIFS('Team Calendar'!$A$5:$A$12,L27,'Team Calendar'!$C$5:$C$12,"&gt;="&amp;H27,'Team Calendar'!$C$5:$C$12,"&lt;="&amp;I27,'Team Calendar'!$F$5:$F$12,"Personal absence"))</x:f>
        <x:v>1</x:v>
      </x:c>
      <x:c r="L27" s="13" t="str">
        <x:v>이권욱</x:v>
      </x:c>
      <x:c r="M27" s="13" t="str">
        <x:v>이하영, 이재환</x:v>
      </x:c>
      <x:c r="N27" s="13" t="str">
        <x:v>D20</x:v>
      </x:c>
      <x:c r="O27" s="13" t="str">
        <x:v>RISK-05; RISK-09; RISK-13</x:v>
      </x:c>
      <x:c r="P27" s="13" t="str">
        <x:v>Final E2E/Regression, Worker Drain, PostgreSQL Restore, Critical Issue 0, Architecture/Test/Runbook 준비도를 승인</x:v>
      </x:c>
      <x:c r="Q27" s="13" t="str">
        <x:v>09-22 오전 최종 회귀·Drain·Restore 증적·Critical Issue 0과 산출물 동결이 모두 충족될 때 인수한다. 실제 상태·완료 판정은 유지한다. 세부 배정: Fast Track Plan 시트.</x:v>
      </x:c>
      <x:c r="R27" s="13" t="str">
        <x:v>https://github.com/321Team/fds-project-baseline/issues/29</x:v>
      </x:c>
      <x:c r="S27" s="13" t="str">
        <x:f>IF(G27="Done","Done",IF(I27="",IF(F27="P1","Deferred P1","End TBD"),IF(I27&lt;'Executive Summary'!$B$4,"Overdue",IF(H27&gt;'Executive Summary'!$B$4,"Upcoming","Active window"))))</x:f>
        <x:v>Upcoming</x:v>
      </x:c>
    </x:row>
    <x:row r="28" ht="44" customHeight="1">
      <x:c r="A28" s="13" t="str">
        <x:v>P1-REV-01</x:v>
      </x:c>
      <x:c r="B28" s="13" t="str">
        <x:v>Phase 1 Review / Close Execution</x:v>
      </x:c>
      <x:c r="C28" s="13" t="str">
        <x:v>Phase 1</x:v>
      </x:c>
      <x:c r="D28" s="13" t="str">
        <x:v>PMO / Review</x:v>
      </x:c>
      <x:c r="E28" s="13" t="str">
        <x:v>Task</x:v>
      </x:c>
      <x:c r="F28" s="13" t="str">
        <x:v>P0</x:v>
      </x:c>
      <x:c r="G28" s="13" t="str">
        <x:v>To Do</x:v>
      </x:c>
      <x:c r="H28" s="19" t="n">
        <x:v>46287</x:v>
      </x:c>
      <x:c r="I28" s="19" t="n">
        <x:v>46288</x:v>
      </x:c>
      <x:c r="J28" s="61" t="n">
        <x:f>IF(OR(H28="",I28=""),"",I28-H28+1)</x:f>
        <x:v>2</x:v>
      </x:c>
      <x:c r="K28" s="61" t="n">
        <x:f>IF(OR(H28="",I28=""),"",NETWORKDAYS(H28,I28,'Sources &amp; Change Log'!$J$2:$J$5)-COUNTIFS('Team Calendar'!$A$5:$A$12,L28,'Team Calendar'!$C$5:$C$12,"&gt;="&amp;H28,'Team Calendar'!$C$5:$C$12,"&lt;="&amp;I28,'Team Calendar'!$F$5:$F$12,"Personal absence"))</x:f>
        <x:v>2</x:v>
      </x:c>
      <x:c r="L28" s="13" t="str">
        <x:v>이권욱</x:v>
      </x:c>
      <x:c r="M28" s="13" t="str">
        <x:v>이하영, 이재환</x:v>
      </x:c>
      <x:c r="N28" s="13" t="str">
        <x:v>D12; D20</x:v>
      </x:c>
      <x:c r="O28" s="13" t="str">
        <x:v>RISK-05; RISK-13</x:v>
      </x:c>
      <x:c r="P28" s="13" t="str">
        <x:v>G3 결과, Demo, P0 Evidence, Known Issue, P1 이관, Review Action을 승인하고 Phase 1 Close Sign-off 확보</x:v>
      </x:c>
      <x:c r="Q28" s="13" t="str">
        <x:v>09-22 오후 Review, 09-23 오전 보완·재시험, 오후 Close를 권장한다. 실제 상태·완료 판정은 유지한다. 세부 배정: Fast Track Plan 시트.</x:v>
      </x:c>
      <x:c r="R28" s="13" t="str">
        <x:v>https://github.com/321Team/fds-project-baseline/issues/30</x:v>
      </x:c>
      <x:c r="S28" s="13" t="str">
        <x:f>IF(G28="Done","Done",IF(I28="",IF(F28="P1","Deferred P1","End TBD"),IF(I28&lt;'Executive Summary'!$B$4,"Overdue",IF(H28&gt;'Executive Summary'!$B$4,"Upcoming","Active window"))))</x:f>
        <x:v>Upcoming</x:v>
      </x:c>
    </x:row>
    <x:row r="29" ht="44" customHeight="1">
      <x:c r="A29" s="13" t="str">
        <x:v>MS-P1-REVIEW-01</x:v>
      </x:c>
      <x:c r="B29" s="13" t="str">
        <x:v>Phase 1 Review</x:v>
      </x:c>
      <x:c r="C29" s="13" t="str">
        <x:v>Phase 1</x:v>
      </x:c>
      <x:c r="D29" s="13" t="str">
        <x:v>Milestone / Review</x:v>
      </x:c>
      <x:c r="E29" s="13" t="str">
        <x:v>Milestone</x:v>
      </x:c>
      <x:c r="F29" s="13" t="str">
        <x:v>P0</x:v>
      </x:c>
      <x:c r="G29" s="13" t="str">
        <x:v>To Do</x:v>
      </x:c>
      <x:c r="H29" s="19" t="n">
        <x:v>46287</x:v>
      </x:c>
      <x:c r="I29" s="19" t="n">
        <x:v>46287</x:v>
      </x:c>
      <x:c r="J29" s="61" t="n">
        <x:f>IF(OR(H29="",I29=""),"",I29-H29+1)</x:f>
        <x:v>1</x:v>
      </x:c>
      <x:c r="K29" s="61" t="n">
        <x:f>IF(OR(H29="",I29=""),"",NETWORKDAYS(H29,I29,'Sources &amp; Change Log'!$J$2:$J$5)-COUNTIFS('Team Calendar'!$A$5:$A$12,L29,'Team Calendar'!$C$5:$C$12,"&gt;="&amp;H29,'Team Calendar'!$C$5:$C$12,"&lt;="&amp;I29,'Team Calendar'!$F$5:$F$12,"Personal absence"))</x:f>
        <x:v>1</x:v>
      </x:c>
      <x:c r="L29" s="13" t="str">
        <x:v>이권욱</x:v>
      </x:c>
      <x:c r="M29" s="13" t="str">
        <x:v>이하영, 이재환</x:v>
      </x:c>
      <x:c r="N29" s="13" t="str">
        <x:v>D20</x:v>
      </x:c>
      <x:c r="O29" s="13" t="str">
        <x:v>RISK-05; RISK-13</x:v>
      </x:c>
      <x:c r="P29" s="13" t="str">
        <x:v>승인된 일정에 Demo/산출물/G3/Known Issue Review를 수행하고 Action 및 승인결과를 기록</x:v>
      </x:c>
      <x:c r="Q29" s="13" t="str">
        <x:v>기존 09-20 일요일 대신 09-22 화요일 오후. G3 통과와 참석자 확정이 필요하다. 실제 상태·완료 판정은 유지한다. 세부 배정: Fast Track Plan 시트.</x:v>
      </x:c>
      <x:c r="R29" s="13" t="str">
        <x:v>https://github.com/321Team/fds-project-baseline/issues/31</x:v>
      </x:c>
      <x:c r="S29" s="13" t="str">
        <x:f>IF(G29="Done","Done",IF(I29="",IF(F29="P1","Deferred P1","End TBD"),IF(I29&lt;'Executive Summary'!$B$4,"Overdue",IF(H29&gt;'Executive Summary'!$B$4,"Upcoming","Active window"))))</x:f>
        <x:v>Upcoming</x:v>
      </x:c>
    </x:row>
    <x:row r="30" ht="44" customHeight="1">
      <x:c r="A30" s="13" t="str">
        <x:v>MS-P1-CLOSE-01</x:v>
      </x:c>
      <x:c r="B30" s="13" t="str">
        <x:v>Phase 1 Close</x:v>
      </x:c>
      <x:c r="C30" s="13" t="str">
        <x:v>Phase 1</x:v>
      </x:c>
      <x:c r="D30" s="13" t="str">
        <x:v>Milestone / Close</x:v>
      </x:c>
      <x:c r="E30" s="13" t="str">
        <x:v>Milestone</x:v>
      </x:c>
      <x:c r="F30" s="13" t="str">
        <x:v>P0</x:v>
      </x:c>
      <x:c r="G30" s="13" t="str">
        <x:v>To Do</x:v>
      </x:c>
      <x:c r="H30" s="19" t="n">
        <x:v>46288</x:v>
      </x:c>
      <x:c r="I30" s="19" t="n">
        <x:v>46288</x:v>
      </x:c>
      <x:c r="J30" s="61" t="n">
        <x:f>IF(OR(H30="",I30=""),"",I30-H30+1)</x:f>
        <x:v>1</x:v>
      </x:c>
      <x:c r="K30" s="61" t="n">
        <x:f>IF(OR(H30="",I30=""),"",NETWORKDAYS(H30,I30,'Sources &amp; Change Log'!$J$2:$J$5)-COUNTIFS('Team Calendar'!$A$5:$A$12,L30,'Team Calendar'!$C$5:$C$12,"&gt;="&amp;H30,'Team Calendar'!$C$5:$C$12,"&lt;="&amp;I30,'Team Calendar'!$F$5:$F$12,"Personal absence"))</x:f>
        <x:v>1</x:v>
      </x:c>
      <x:c r="L30" s="13" t="str">
        <x:v>이권욱</x:v>
      </x:c>
      <x:c r="M30" s="13" t="str">
        <x:v>이하영, 이재환</x:v>
      </x:c>
      <x:c r="N30" s="13" t="str">
        <x:v>D20</x:v>
      </x:c>
      <x:c r="O30" s="13" t="str">
        <x:v>RISK-05; RISK-13</x:v>
      </x:c>
      <x:c r="P30" s="13" t="str">
        <x:v>Review Action 처리, P0 승인, P1/Known Issue Owner·Due 이관 및 Phase 1 Close Sign-off 확보</x:v>
      </x:c>
      <x:c r="Q30" s="13" t="str">
        <x:v>09-24~09-25 비근무 전에 종결한다.</x:v>
      </x:c>
      <x:c r="R30" s="13" t="str">
        <x:v>https://github.com/321Team/fds-project-baseline/issues/32</x:v>
      </x:c>
      <x:c r="S30" s="13" t="str">
        <x:f>IF(G30="Done","Done",IF(I30="","End TBD",IF(I30&lt;'Executive Summary'!$B$4,"Overdue",IF(H30&gt;'Executive Summary'!$B$4,"Upcoming","Active window"))))</x:f>
        <x:v>Upcoming</x:v>
      </x:c>
    </x:row>
    <x:row r="31" ht="44" customHeight="1">
      <x:c r="A31" s="13" t="str">
        <x:v>MS-P2-START-01</x:v>
      </x:c>
      <x:c r="B31" s="13" t="str">
        <x:v>Phase 2 Start</x:v>
      </x:c>
      <x:c r="C31" s="13" t="str">
        <x:v>Phase 2</x:v>
      </x:c>
      <x:c r="D31" s="13" t="str">
        <x:v>Milestone / Start</x:v>
      </x:c>
      <x:c r="E31" s="13" t="str">
        <x:v>Milestone</x:v>
      </x:c>
      <x:c r="F31" s="13" t="str">
        <x:v>P0</x:v>
      </x:c>
      <x:c r="G31" s="13" t="str">
        <x:v>To Do</x:v>
      </x:c>
      <x:c r="H31" s="19" t="n">
        <x:v>46293</x:v>
      </x:c>
      <x:c r="I31" s="19" t="n">
        <x:v>46293</x:v>
      </x:c>
      <x:c r="J31" s="61" t="n">
        <x:f>IF(OR(H31="",I31=""),"",I31-H31+1)</x:f>
        <x:v>1</x:v>
      </x:c>
      <x:c r="K31" s="61" t="n">
        <x:f>IF(OR(H31="",I31=""),"",NETWORKDAYS(H31,I31,'Sources &amp; Change Log'!$J$2:$J$5)-COUNTIFS('Team Calendar'!$A$5:$A$12,L31,'Team Calendar'!$C$5:$C$12,"&gt;="&amp;H31,'Team Calendar'!$C$5:$C$12,"&lt;="&amp;I31,'Team Calendar'!$F$5:$F$12,"Personal absence"))</x:f>
        <x:v>1</x:v>
      </x:c>
      <x:c r="L31" s="13" t="str">
        <x:v>이권욱</x:v>
      </x:c>
      <x:c r="M31" s="13" t="str">
        <x:v>이하영, 이재환</x:v>
      </x:c>
      <x:c r="N31" s="13" t="str">
        <x:v>D10; D21</x:v>
      </x:c>
      <x:c r="O31" s="13" t="str">
        <x:v>RISK-05; RISK-10; RISK-11</x:v>
      </x:c>
      <x:c r="P31" s="13" t="str">
        <x:v>Phase 1 Close, Phase 2 계정·권한·일정·P0 범위·OCI Go/No-Go 계획을 확인하고 착수 승인</x:v>
      </x:c>
      <x:c r="Q31" s="13" t="str">
        <x:v>09-24~09-25 비근무 후 첫 작업일에 착수한다.</x:v>
      </x:c>
      <x:c r="R31" s="13" t="str">
        <x:v>https://github.com/321Team/fds-project-baseline/issues/33</x:v>
      </x:c>
      <x:c r="S31" s="13" t="str">
        <x:f>IF(G31="Done","Done",IF(I31="","End TBD",IF(I31&lt;'Executive Summary'!$B$4,"Overdue",IF(H31&gt;'Executive Summary'!$B$4,"Upcoming","Active window"))))</x:f>
        <x:v>Upcoming</x:v>
      </x:c>
    </x:row>
    <x:row r="32" ht="44" customHeight="1">
      <x:c r="A32" s="13" t="str">
        <x:v>P2-ARC-01</x:v>
      </x:c>
      <x:c r="B32" s="13" t="str">
        <x:v>Hybrid / OCI / AWS / ROSA Architecture Freeze</x:v>
      </x:c>
      <x:c r="C32" s="13" t="str">
        <x:v>Phase 2</x:v>
      </x:c>
      <x:c r="D32" s="13" t="str">
        <x:v>Architecture / Hybrid Cloud</x:v>
      </x:c>
      <x:c r="E32" s="13" t="str">
        <x:v>Task</x:v>
      </x:c>
      <x:c r="F32" s="13" t="str">
        <x:v>P0</x:v>
      </x:c>
      <x:c r="G32" s="13" t="str">
        <x:v>To Do</x:v>
      </x:c>
      <x:c r="H32" s="19" t="n">
        <x:v>46293</x:v>
      </x:c>
      <x:c r="I32" s="19" t="n">
        <x:v>46293</x:v>
      </x:c>
      <x:c r="J32" s="61" t="n">
        <x:f>IF(OR(H32="",I32=""),"",I32-H32+1)</x:f>
        <x:v>1</x:v>
      </x:c>
      <x:c r="K32" s="61" t="n">
        <x:f>IF(OR(H32="",I32=""),"",NETWORKDAYS(H32,I32,'Sources &amp; Change Log'!$J$2:$J$5)-COUNTIFS('Team Calendar'!$A$5:$A$12,L32,'Team Calendar'!$C$5:$C$12,"&gt;="&amp;H32,'Team Calendar'!$C$5:$C$12,"&lt;="&amp;I32,'Team Calendar'!$F$5:$F$12,"Personal absence"))</x:f>
        <x:v>1</x:v>
      </x:c>
      <x:c r="L32" s="13" t="str">
        <x:v>이권욱</x:v>
      </x:c>
      <x:c r="M32" s="13" t="str">
        <x:v>이하영, 이재환</x:v>
      </x:c>
      <x:c r="N32" s="13" t="str">
        <x:v>D10; D21; D22; D23; D25; D26</x:v>
      </x:c>
      <x:c r="O32" s="13" t="str">
        <x:v>RISK-10; RISK-11; RISK-12; RISK-14; RISK-15</x:v>
      </x:c>
      <x:c r="P32" s="13" t="str">
        <x:v>OCI Relay·AWS VPC/VPN·ROSA·On-Prem 연계 Architecture, Interface IF-17~IF-20, Security, Decision, Exit Criteria Freeze 승인</x:v>
      </x:c>
      <x:c r="Q32" s="13" t="str">
        <x:v>MS-P2-START-01 직후 완료하며 Phase 2 모든 구현 티켓이 참조하는 Phase 2 OCI/AWS/ROSA Design의 권위 Source를 생성한다.</x:v>
      </x:c>
      <x:c r="R32" s="13" t="str">
        <x:v>https://github.com/321Team/fds-project-baseline/issues/34</x:v>
      </x:c>
      <x:c r="S32" s="13" t="str">
        <x:f>IF(G32="Done","Done",IF(I32="","End TBD",IF(I32&lt;'Executive Summary'!$B$4,"Overdue",IF(H32&gt;'Executive Summary'!$B$4,"Upcoming","Active window"))))</x:f>
        <x:v>Upcoming</x:v>
      </x:c>
    </x:row>
    <x:row r="33" ht="44" customHeight="1">
      <x:c r="A33" s="13" t="str">
        <x:v>P2-IAC-01</x:v>
      </x:c>
      <x:c r="B33" s="13" t="str">
        <x:v>AWS / ROSA Terraform IaC</x:v>
      </x:c>
      <x:c r="C33" s="13" t="str">
        <x:v>Phase 2</x:v>
      </x:c>
      <x:c r="D33" s="13" t="str">
        <x:v>Cloud / Terraform</x:v>
      </x:c>
      <x:c r="E33" s="13" t="str">
        <x:v>Task</x:v>
      </x:c>
      <x:c r="F33" s="13" t="str">
        <x:v>P0</x:v>
      </x:c>
      <x:c r="G33" s="13" t="str">
        <x:v>To Do</x:v>
      </x:c>
      <x:c r="H33" s="19" t="n">
        <x:v>46293</x:v>
      </x:c>
      <x:c r="I33" s="19" t="n">
        <x:v>46303</x:v>
      </x:c>
      <x:c r="J33" s="61" t="n">
        <x:f>IF(OR(H33="",I33=""),"",I33-H33+1)</x:f>
        <x:v>11</x:v>
      </x:c>
      <x:c r="K33" s="61" t="n">
        <x:f>IF(OR(H33="",I33=""),"",NETWORKDAYS(H33,I33,'Sources &amp; Change Log'!$J$2:$J$5)-COUNTIFS('Team Calendar'!$A$5:$A$12,L33,'Team Calendar'!$C$5:$C$12,"&gt;="&amp;H33,'Team Calendar'!$C$5:$C$12,"&lt;="&amp;I33,'Team Calendar'!$F$5:$F$12,"Personal absence"))</x:f>
        <x:v>8</x:v>
      </x:c>
      <x:c r="L33" s="13" t="str">
        <x:v>이권욱</x:v>
      </x:c>
      <x:c r="M33" s="13" t="str">
        <x:v>이하영</x:v>
      </x:c>
      <x:c r="N33" s="13" t="str">
        <x:v>D10; D21; D25</x:v>
      </x:c>
      <x:c r="O33" s="13" t="str">
        <x:v>RISK-10; RISK-11; RISK-12</x:v>
      </x:c>
      <x:c r="P33" s="13" t="str">
        <x:v>AWS VPC 10.20.0.0/16, ROSA 선행 인프라와 IAM/OIDC 최소권한의 Terraform fmt/validate/plan/apply, State·Secret 통제 및 G4 Evidence 확보</x:v>
      </x:c>
      <x:c r="Q33" s="13" t="str">
        <x:v>10-05는 비근무일이다. OCI Go/No-Go 결과에 따라 VPN 입력과 경로를 갱신한다.</x:v>
      </x:c>
      <x:c r="R33" s="13" t="str">
        <x:v>https://github.com/321Team/fds-project-baseline/issues/35</x:v>
      </x:c>
      <x:c r="S33" s="13" t="str">
        <x:f>IF(G33="Done","Done",IF(I33="","End TBD",IF(I33&lt;'Executive Summary'!$B$4,"Overdue",IF(H33&gt;'Executive Summary'!$B$4,"Upcoming","Active window"))))</x:f>
        <x:v>Upcoming</x:v>
      </x:c>
    </x:row>
    <x:row r="34" ht="44" customHeight="1">
      <x:c r="A34" s="13" t="str">
        <x:v>P2-OCI-01</x:v>
      </x:c>
      <x:c r="B34" s="13" t="str">
        <x:v>OCI Relay Go / No-Go</x:v>
      </x:c>
      <x:c r="C34" s="13" t="str">
        <x:v>Phase 2</x:v>
      </x:c>
      <x:c r="D34" s="13" t="str">
        <x:v>Milestone / Hybrid Network</x:v>
      </x:c>
      <x:c r="E34" s="13" t="str">
        <x:v>Decision</x:v>
      </x:c>
      <x:c r="F34" s="13" t="str">
        <x:v>P0</x:v>
      </x:c>
      <x:c r="G34" s="13" t="str">
        <x:v>To Do</x:v>
      </x:c>
      <x:c r="H34" s="19" t="n">
        <x:v>46293</x:v>
      </x:c>
      <x:c r="I34" s="19" t="n">
        <x:v>46297</x:v>
      </x:c>
      <x:c r="J34" s="61" t="n">
        <x:f>IF(OR(H34="",I34=""),"",I34-H34+1)</x:f>
        <x:v>5</x:v>
      </x:c>
      <x:c r="K34" s="61" t="n">
        <x:f>IF(OR(H34="",I34=""),"",NETWORKDAYS(H34,I34,'Sources &amp; Change Log'!$J$2:$J$5)-COUNTIFS('Team Calendar'!$A$5:$A$12,L34,'Team Calendar'!$C$5:$C$12,"&gt;="&amp;H34,'Team Calendar'!$C$5:$C$12,"&lt;="&amp;I34,'Team Calendar'!$F$5:$F$12,"Personal absence"))</x:f>
        <x:v>5</x:v>
      </x:c>
      <x:c r="L34" s="13" t="str">
        <x:v>이권욱</x:v>
      </x:c>
      <x:c r="M34" s="13" t="str">
        <x:v>이하영</x:v>
      </x:c>
      <x:c r="N34" s="13" t="str">
        <x:v>D10; D21</x:v>
      </x:c>
      <x:c r="O34" s="13" t="str">
        <x:v>RISK-10; RISK-12</x:v>
      </x:c>
      <x:c r="P34" s="13" t="str">
        <x:v>OCI Relay 가능성·권한·Public Endpoint·IPsec/NAT-T·Route를 검증하고 Primary 또는 승인 Fallback 경로를 선택</x:v>
      </x:c>
      <x:c r="Q34" s="13" t="str">
        <x:v>10-02 Go/No-Go를 넘기지 않는다. No-Go 시 Vendor Endpoint→AWS EC2+EIP Relay→Overlay 순으로 승인된 Fallback을 선택한다.</x:v>
      </x:c>
      <x:c r="R34" s="13" t="str">
        <x:v>https://github.com/321Team/fds-project-baseline/issues/36</x:v>
      </x:c>
      <x:c r="S34" s="13" t="str">
        <x:f>IF(G34="Done","Done",IF(I34="","End TBD",IF(I34&lt;'Executive Summary'!$B$4,"Overdue",IF(H34&gt;'Executive Summary'!$B$4,"Upcoming","Active window"))))</x:f>
        <x:v>Upcoming</x:v>
      </x:c>
    </x:row>
    <x:row r="35" ht="44" customHeight="1">
      <x:c r="A35" s="13" t="str">
        <x:v>P2-VPN-01</x:v>
      </x:c>
      <x:c r="B35" s="13" t="str">
        <x:v>OCI Relay / AWS Site-to-Site VPN</x:v>
      </x:c>
      <x:c r="C35" s="13" t="str">
        <x:v>Phase 2</x:v>
      </x:c>
      <x:c r="D35" s="13" t="str">
        <x:v>Hybrid Network / VPN</x:v>
      </x:c>
      <x:c r="E35" s="13" t="str">
        <x:v>Task</x:v>
      </x:c>
      <x:c r="F35" s="13" t="str">
        <x:v>P0</x:v>
      </x:c>
      <x:c r="G35" s="13" t="str">
        <x:v>To Do</x:v>
      </x:c>
      <x:c r="H35" s="19" t="n">
        <x:v>46296</x:v>
      </x:c>
      <x:c r="I35" s="19" t="n">
        <x:v>46303</x:v>
      </x:c>
      <x:c r="J35" s="61" t="n">
        <x:f>IF(OR(H35="",I35=""),"",I35-H35+1)</x:f>
        <x:v>8</x:v>
      </x:c>
      <x:c r="K35" s="61" t="n">
        <x:f>IF(OR(H35="",I35=""),"",NETWORKDAYS(H35,I35,'Sources &amp; Change Log'!$J$2:$J$5)-COUNTIFS('Team Calendar'!$A$5:$A$12,L35,'Team Calendar'!$C$5:$C$12,"&gt;="&amp;H35,'Team Calendar'!$C$5:$C$12,"&lt;="&amp;I35,'Team Calendar'!$F$5:$F$12,"Personal absence"))</x:f>
        <x:v>5</x:v>
      </x:c>
      <x:c r="L35" s="13" t="str">
        <x:v>이권욱</x:v>
      </x:c>
      <x:c r="M35" s="13" t="str">
        <x:v>이하영</x:v>
      </x:c>
      <x:c r="N35" s="13" t="str">
        <x:v>D10; D21</x:v>
      </x:c>
      <x:c r="O35" s="13" t="str">
        <x:v>RISK-04; RISK-10; RISK-12</x:v>
      </x:c>
      <x:c r="P35" s="13" t="str">
        <x:v>승인 Transit 경로의 Tunnel UP, On-Prem↔VPC Route, UDP 500/4500/IPsec, Source·승인 TCP Path 및 장애 Evidence 확보</x:v>
      </x:c>
      <x:c r="Q35" s="13" t="str">
        <x:v>10-05는 비근무일이다. OCI No-Go 시 D21에서 승인된 Fallback만 사용한다.</x:v>
      </x:c>
      <x:c r="R35" s="13" t="str">
        <x:v>https://github.com/321Team/fds-project-baseline/issues/37</x:v>
      </x:c>
      <x:c r="S35" s="13" t="str">
        <x:f>IF(G35="Done","Done",IF(I35="","End TBD",IF(I35&lt;'Executive Summary'!$B$4,"Overdue",IF(H35&gt;'Executive Summary'!$B$4,"Upcoming","Active window"))))</x:f>
        <x:v>Upcoming</x:v>
      </x:c>
    </x:row>
    <x:row r="36" ht="44" customHeight="1">
      <x:c r="A36" s="13" t="str">
        <x:v>P2-ROSA-01</x:v>
      </x:c>
      <x:c r="B36" s="13" t="str">
        <x:v>ROSA Platform / Security</x:v>
      </x:c>
      <x:c r="C36" s="13" t="str">
        <x:v>Phase 2</x:v>
      </x:c>
      <x:c r="D36" s="13" t="str">
        <x:v>OpenShift / ROSA</x:v>
      </x:c>
      <x:c r="E36" s="13" t="str">
        <x:v>Task</x:v>
      </x:c>
      <x:c r="F36" s="13" t="str">
        <x:v>P0</x:v>
      </x:c>
      <x:c r="G36" s="13" t="str">
        <x:v>To Do</x:v>
      </x:c>
      <x:c r="H36" s="19" t="n">
        <x:v>46301</x:v>
      </x:c>
      <x:c r="I36" s="19" t="n">
        <x:v>46311</x:v>
      </x:c>
      <x:c r="J36" s="61" t="n">
        <x:f>IF(OR(H36="",I36=""),"",I36-H36+1)</x:f>
        <x:v>11</x:v>
      </x:c>
      <x:c r="K36" s="61" t="n">
        <x:f>IF(OR(H36="",I36=""),"",NETWORKDAYS(H36,I36,'Sources &amp; Change Log'!$J$2:$J$5)-COUNTIFS('Team Calendar'!$A$5:$A$12,L36,'Team Calendar'!$C$5:$C$12,"&gt;="&amp;H36,'Team Calendar'!$C$5:$C$12,"&lt;="&amp;I36,'Team Calendar'!$F$5:$F$12,"Personal absence"))</x:f>
        <x:v>8</x:v>
      </x:c>
      <x:c r="L36" s="13" t="str">
        <x:v>이하영</x:v>
      </x:c>
      <x:c r="M36" s="13" t="str">
        <x:v>이권욱</x:v>
      </x:c>
      <x:c r="N36" s="13" t="str">
        <x:v>D10; D12; D17; D21</x:v>
      </x:c>
      <x:c r="O36" s="13" t="str">
        <x:v>RISK-07; RISK-10; RISK-11; RISK-12</x:v>
      </x:c>
      <x:c r="P36" s="13" t="str">
        <x:v>ROSA Cluster Ready, Namespace/RBAC/NetworkPolicy/SecurityContext, Hybrid Route 및 Application 배포 선행조건과 G5 Evidence 확보</x:v>
      </x:c>
      <x:c r="Q36" s="13" t="str">
        <x:v>10-09는 비근무일이다. 계정·Quota·리전 전제는 G4 이전에 확인하고 Cluster 범위를 최소화한다.</x:v>
      </x:c>
      <x:c r="R36" s="13" t="str">
        <x:v>https://github.com/321Team/fds-project-baseline/issues/38</x:v>
      </x:c>
      <x:c r="S36" s="13" t="str">
        <x:f>IF(G36="Done","Done",IF(I36="","End TBD",IF(I36&lt;'Executive Summary'!$B$4,"Overdue",IF(H36&gt;'Executive Summary'!$B$4,"Upcoming","Active window"))))</x:f>
        <x:v>Upcoming</x:v>
      </x:c>
    </x:row>
    <x:row r="37" ht="44" customHeight="1">
      <x:c r="A37" s="13" t="str">
        <x:v>MS-G4-01</x:v>
      </x:c>
      <x:c r="B37" s="13" t="str">
        <x:v>G4 Cloud / VPN Ready</x:v>
      </x:c>
      <x:c r="C37" s="13" t="str">
        <x:v>Phase 2</x:v>
      </x:c>
      <x:c r="D37" s="13" t="str">
        <x:v>Milestone / Cloud &amp; VPN</x:v>
      </x:c>
      <x:c r="E37" s="13" t="str">
        <x:v>Milestone</x:v>
      </x:c>
      <x:c r="F37" s="13" t="str">
        <x:v>P0</x:v>
      </x:c>
      <x:c r="G37" s="13" t="str">
        <x:v>To Do</x:v>
      </x:c>
      <x:c r="H37" s="19" t="n">
        <x:v>46303</x:v>
      </x:c>
      <x:c r="I37" s="19" t="n">
        <x:v>46303</x:v>
      </x:c>
      <x:c r="J37" s="61" t="n">
        <x:f>IF(OR(H37="",I37=""),"",I37-H37+1)</x:f>
        <x:v>1</x:v>
      </x:c>
      <x:c r="K37" s="61" t="n">
        <x:f>IF(OR(H37="",I37=""),"",NETWORKDAYS(H37,I37,'Sources &amp; Change Log'!$J$2:$J$5)-COUNTIFS('Team Calendar'!$A$5:$A$12,L37,'Team Calendar'!$C$5:$C$12,"&gt;="&amp;H37,'Team Calendar'!$C$5:$C$12,"&lt;="&amp;I37,'Team Calendar'!$F$5:$F$12,"Personal absence"))</x:f>
        <x:v>1</x:v>
      </x:c>
      <x:c r="L37" s="13" t="str">
        <x:v>이권욱</x:v>
      </x:c>
      <x:c r="M37" s="13" t="str">
        <x:v>이하영</x:v>
      </x:c>
      <x:c r="N37" s="13" t="str">
        <x:v>D21</x:v>
      </x:c>
      <x:c r="O37" s="13" t="str">
        <x:v>RISK-10; RISK-11; RISK-12</x:v>
      </x:c>
      <x:c r="P37" s="13" t="str">
        <x:v>Terraform 인프라, 승인 Transit/VPN, Route/Security, ROSA 선행조건 및 승인 TCP 경로 준비도 승인</x:v>
      </x:c>
      <x:c r="Q37" s="13" t="str">
        <x:v>10-05 비근무를 반영한다. OCI No-Go 시 승인 Fallback 기준으로 판정한다.</x:v>
      </x:c>
      <x:c r="R37" s="13" t="str">
        <x:v>https://github.com/321Team/fds-project-baseline/issues/39</x:v>
      </x:c>
      <x:c r="S37" s="13" t="str">
        <x:f>IF(G37="Done","Done",IF(I37="","End TBD",IF(I37&lt;'Executive Summary'!$B$4,"Overdue",IF(H37&gt;'Executive Summary'!$B$4,"Upcoming","Active window"))))</x:f>
        <x:v>Upcoming</x:v>
      </x:c>
    </x:row>
    <x:row r="38" ht="44" customHeight="1">
      <x:c r="A38" s="13" t="str">
        <x:v>DEC-P2-DNS-01</x:v>
      </x:c>
      <x:c r="B38" s="13" t="str">
        <x:v>Hybrid DNS Scope Decision</x:v>
      </x:c>
      <x:c r="C38" s="13" t="str">
        <x:v>Phase 2</x:v>
      </x:c>
      <x:c r="D38" s="13" t="str">
        <x:v>Architecture / DNS</x:v>
      </x:c>
      <x:c r="E38" s="13" t="str">
        <x:v>Decision</x:v>
      </x:c>
      <x:c r="F38" s="13" t="str">
        <x:v>P1</x:v>
      </x:c>
      <x:c r="G38" s="13" t="str">
        <x:v>To Do</x:v>
      </x:c>
      <x:c r="H38" s="19" t="n">
        <x:v>46307</x:v>
      </x:c>
      <x:c r="I38" s="19" t="n">
        <x:v>46311</x:v>
      </x:c>
      <x:c r="J38" s="61" t="n">
        <x:f>IF(OR(H38="",I38=""),"",I38-H38+1)</x:f>
        <x:v>5</x:v>
      </x:c>
      <x:c r="K38" s="61" t="n">
        <x:f>IF(OR(H38="",I38=""),"",NETWORKDAYS(H38,I38,'Sources &amp; Change Log'!$J$2:$J$5)-COUNTIFS('Team Calendar'!$A$5:$A$12,L38,'Team Calendar'!$C$5:$C$12,"&gt;="&amp;H38,'Team Calendar'!$C$5:$C$12,"&lt;="&amp;I38,'Team Calendar'!$F$5:$F$12,"Personal absence"))</x:f>
        <x:v>5</x:v>
      </x:c>
      <x:c r="L38" s="13" t="str">
        <x:v>이권욱</x:v>
      </x:c>
      <x:c r="M38" s="13" t="str">
        <x:v>이하영</x:v>
      </x:c>
      <x:c r="N38" s="13" t="str">
        <x:v>D11; D23</x:v>
      </x:c>
      <x:c r="O38" s="13" t="str">
        <x:v>RISK-10; RISK-12</x:v>
      </x:c>
      <x:c r="P38" s="13" t="str">
        <x:v>P0 IP Endpoint 유지 또는 Hybrid DNS P1 적용을 확정하고 Resolver/Forwarding/Zone/Route/테스트·Cancelled 결정 근거를 승인</x:v>
      </x:c>
      <x:c r="Q38" s="13" t="str">
        <x:v>Hybrid P0 E2E는 IP Endpoint를 허용하므로 본 P1 결정 미완료가 G5/G6를 자동 차단하지 않는다.</x:v>
      </x:c>
      <x:c r="R38" s="13" t="str">
        <x:v>https://github.com/321Team/fds-project-baseline/issues/40</x:v>
      </x:c>
      <x:c r="S38" s="13" t="str">
        <x:f>IF(G38="Done","Done",IF(I38="","End TBD",IF(I38&lt;'Executive Summary'!$B$4,"Overdue",IF(H38&gt;'Executive Summary'!$B$4,"Upcoming","Active window"))))</x:f>
        <x:v>Upcoming</x:v>
      </x:c>
    </x:row>
    <x:row r="39" ht="44" customHeight="1">
      <x:c r="A39" s="13" t="str">
        <x:v>DEC-P2-OP-01</x:v>
      </x:c>
      <x:c r="B39" s="13" t="str">
        <x:v>Operator Supply Chain Scope Decision</x:v>
      </x:c>
      <x:c r="C39" s="13" t="str">
        <x:v>Phase 2</x:v>
      </x:c>
      <x:c r="D39" s="13" t="str">
        <x:v>Architecture / Operator Supply Chain</x:v>
      </x:c>
      <x:c r="E39" s="13" t="str">
        <x:v>Decision</x:v>
      </x:c>
      <x:c r="F39" s="13" t="str">
        <x:v>P1</x:v>
      </x:c>
      <x:c r="G39" s="13" t="str">
        <x:v>To Do</x:v>
      </x:c>
      <x:c r="H39" s="19" t="n">
        <x:v>46307</x:v>
      </x:c>
      <x:c r="I39" s="19" t="n">
        <x:v>46311</x:v>
      </x:c>
      <x:c r="J39" s="61" t="n">
        <x:f>IF(OR(H39="",I39=""),"",I39-H39+1)</x:f>
        <x:v>5</x:v>
      </x:c>
      <x:c r="K39" s="61" t="n">
        <x:f>IF(OR(H39="",I39=""),"",NETWORKDAYS(H39,I39,'Sources &amp; Change Log'!$J$2:$J$5)-COUNTIFS('Team Calendar'!$A$5:$A$12,L39,'Team Calendar'!$C$5:$C$12,"&gt;="&amp;H39,'Team Calendar'!$C$5:$C$12,"&lt;="&amp;I39,'Team Calendar'!$F$5:$F$12,"Personal absence"))</x:f>
        <x:v>5</x:v>
      </x:c>
      <x:c r="L39" s="13" t="str">
        <x:v>이하영</x:v>
      </x:c>
      <x:c r="M39" s="13" t="str">
        <x:v>이권욱, 이재환</x:v>
      </x:c>
      <x:c r="N39" s="13" t="str">
        <x:v>D22; D26</x:v>
      </x:c>
      <x:c r="O39" s="13" t="str">
        <x:v>RISK-06; RISK-11; RISK-15</x:v>
      </x:c>
      <x:c r="P39" s="13" t="str">
        <x:v>ROSA Operator 공급망을 Direct Catalog 또는 oc-mirror/Harbor/Custom CatalogSource 중 하나로 결정하고 구현·N/A 기준 승인</x:v>
      </x:c>
      <x:c r="Q39" s="13" t="str">
        <x:v>D26에서 Direct Catalog 선택 시 P2-OP-01은 Cancelled 처리하고, Mirror 선택 시 P2-OP-01을 활성화한다.</x:v>
      </x:c>
      <x:c r="R39" s="13" t="str">
        <x:v>https://github.com/321Team/fds-project-baseline/issues/41</x:v>
      </x:c>
      <x:c r="S39" s="13" t="str">
        <x:f>IF(G39="Done","Done",IF(I39="","End TBD",IF(I39&lt;'Executive Summary'!$B$4,"Overdue",IF(H39&gt;'Executive Summary'!$B$4,"Upcoming","Active window"))))</x:f>
        <x:v>Upcoming</x:v>
      </x:c>
    </x:row>
    <x:row r="40" ht="44" customHeight="1">
      <x:c r="A40" s="13" t="str">
        <x:v>DEC-P2-REG-01</x:v>
      </x:c>
      <x:c r="B40" s="13" t="str">
        <x:v>ROSA Image Registry Source Decision</x:v>
      </x:c>
      <x:c r="C40" s="13" t="str">
        <x:v>Phase 2</x:v>
      </x:c>
      <x:c r="D40" s="13" t="str">
        <x:v>Architecture / Registry</x:v>
      </x:c>
      <x:c r="E40" s="13" t="str">
        <x:v>Decision</x:v>
      </x:c>
      <x:c r="F40" s="13" t="str">
        <x:v>P0</x:v>
      </x:c>
      <x:c r="G40" s="13" t="str">
        <x:v>To Do</x:v>
      </x:c>
      <x:c r="H40" s="19" t="n">
        <x:v>46307</x:v>
      </x:c>
      <x:c r="I40" s="19" t="n">
        <x:v>46311</x:v>
      </x:c>
      <x:c r="J40" s="61" t="n">
        <x:f>IF(OR(H40="",I40=""),"",I40-H40+1)</x:f>
        <x:v>5</x:v>
      </x:c>
      <x:c r="K40" s="61" t="n">
        <x:f>IF(OR(H40="",I40=""),"",NETWORKDAYS(H40,I40,'Sources &amp; Change Log'!$J$2:$J$5)-COUNTIFS('Team Calendar'!$A$5:$A$12,L40,'Team Calendar'!$C$5:$C$12,"&gt;="&amp;H40,'Team Calendar'!$C$5:$C$12,"&lt;="&amp;I40,'Team Calendar'!$F$5:$F$12,"Personal absence"))</x:f>
        <x:v>5</x:v>
      </x:c>
      <x:c r="L40" s="13" t="str">
        <x:v>이하영</x:v>
      </x:c>
      <x:c r="M40" s="13" t="str">
        <x:v>이권욱, 이재환</x:v>
      </x:c>
      <x:c r="N40" s="13" t="str">
        <x:v>D22</x:v>
      </x:c>
      <x:c r="O40" s="13" t="str">
        <x:v>RISK-06; RISK-10; RISK-11; RISK-12</x:v>
      </x:c>
      <x:c r="P40" s="13" t="str">
        <x:v>ROSA Image Source를 On-Prem Harbor 또는 승인 Cloud Registry로 확정하고 Route·TLS·Credential·비용·Fallback을 승인</x:v>
      </x:c>
      <x:c r="Q40" s="13" t="str">
        <x:v>기준선의 ROSA→Harbor는 Optional이다. P2-APP-01 최종 Image 경로 전 10-16까지 확정한다.</x:v>
      </x:c>
      <x:c r="R40" s="13" t="str">
        <x:v>https://github.com/321Team/fds-project-baseline/issues/42</x:v>
      </x:c>
      <x:c r="S40" s="13" t="str">
        <x:f>IF(G40="Done","Done",IF(I40="","End TBD",IF(I40&lt;'Executive Summary'!$B$4,"Overdue",IF(H40&gt;'Executive Summary'!$B$4,"Upcoming","Active window"))))</x:f>
        <x:v>Upcoming</x:v>
      </x:c>
    </x:row>
    <x:row r="41" ht="44" customHeight="1">
      <x:c r="A41" s="13" t="str">
        <x:v>P2-APP-01</x:v>
      </x:c>
      <x:c r="B41" s="13" t="str">
        <x:v>ROSA Application Deployment</x:v>
      </x:c>
      <x:c r="C41" s="13" t="str">
        <x:v>Phase 2</x:v>
      </x:c>
      <x:c r="D41" s="13" t="str">
        <x:v>Application / OpenShift</x:v>
      </x:c>
      <x:c r="E41" s="13" t="str">
        <x:v>Task</x:v>
      </x:c>
      <x:c r="F41" s="13" t="str">
        <x:v>P0</x:v>
      </x:c>
      <x:c r="G41" s="13" t="str">
        <x:v>To Do</x:v>
      </x:c>
      <x:c r="H41" s="19" t="n">
        <x:v>46307</x:v>
      </x:c>
      <x:c r="I41" s="19" t="n">
        <x:v>46311</x:v>
      </x:c>
      <x:c r="J41" s="61" t="n">
        <x:f>IF(OR(H41="",I41=""),"",I41-H41+1)</x:f>
        <x:v>5</x:v>
      </x:c>
      <x:c r="K41" s="61" t="n">
        <x:f>IF(OR(H41="",I41=""),"",NETWORKDAYS(H41,I41,'Sources &amp; Change Log'!$J$2:$J$5)-COUNTIFS('Team Calendar'!$A$5:$A$12,L41,'Team Calendar'!$C$5:$C$12,"&gt;="&amp;H41,'Team Calendar'!$C$5:$C$12,"&lt;="&amp;I41,'Team Calendar'!$F$5:$F$12,"Personal absence"))</x:f>
        <x:v>5</x:v>
      </x:c>
      <x:c r="L41" s="13" t="str">
        <x:v>이재환</x:v>
      </x:c>
      <x:c r="M41" s="13" t="str">
        <x:v>이하영</x:v>
      </x:c>
      <x:c r="N41" s="13" t="str">
        <x:v>D03; D22</x:v>
      </x:c>
      <x:c r="O41" s="13" t="str">
        <x:v>RISK-06; RISK-07; RISK-11</x:v>
      </x:c>
      <x:c r="P41" s="13" t="str">
        <x:v>Phase 1과 동일한 transaction-api/fds-engine Image/Contract를 ROSA에 배포하고 Route/Health/Rule 기본검증 PASS</x:v>
      </x:c>
      <x:c r="Q41" s="13" t="str">
        <x:v>Image Source는 D22 결정에 따르며 Harbor 사용을 사전 가정하지 않는다. Manifest/Image 계약은 P2-CICD-01의 Runner 기반 ROSA Delivery에 연결한다.</x:v>
      </x:c>
      <x:c r="R41" s="13" t="str">
        <x:v>https://github.com/321Team/fds-project-baseline/issues/43</x:v>
      </x:c>
      <x:c r="S41" s="13" t="str">
        <x:f>IF(G41="Done","Done",IF(I41="","End TBD",IF(I41&lt;'Executive Summary'!$B$4,"Overdue",IF(H41&gt;'Executive Summary'!$B$4,"Upcoming","Active window"))))</x:f>
        <x:v>Upcoming</x:v>
      </x:c>
    </x:row>
    <x:row r="42" ht="44" customHeight="1">
      <x:c r="A42" s="13" t="str">
        <x:v>P2-OADP-01</x:v>
      </x:c>
      <x:c r="B42" s="13" t="str">
        <x:v>OADP / S3 Backup</x:v>
      </x:c>
      <x:c r="C42" s="13" t="str">
        <x:v>Phase 2</x:v>
      </x:c>
      <x:c r="D42" s="13" t="str">
        <x:v>Backup / OpenShift</x:v>
      </x:c>
      <x:c r="E42" s="13" t="str">
        <x:v>Task</x:v>
      </x:c>
      <x:c r="F42" s="13" t="str">
        <x:v>P0</x:v>
      </x:c>
      <x:c r="G42" s="13" t="str">
        <x:v>To Do</x:v>
      </x:c>
      <x:c r="H42" s="19" t="n">
        <x:v>46310</x:v>
      </x:c>
      <x:c r="I42" s="19" t="n">
        <x:v>46317</x:v>
      </x:c>
      <x:c r="J42" s="61" t="n">
        <x:f>IF(OR(H42="",I42=""),"",I42-H42+1)</x:f>
        <x:v>8</x:v>
      </x:c>
      <x:c r="K42" s="61" t="n">
        <x:f>IF(OR(H42="",I42=""),"",NETWORKDAYS(H42,I42,'Sources &amp; Change Log'!$J$2:$J$5)-COUNTIFS('Team Calendar'!$A$5:$A$12,L42,'Team Calendar'!$C$5:$C$12,"&gt;="&amp;H42,'Team Calendar'!$C$5:$C$12,"&lt;="&amp;I42,'Team Calendar'!$F$5:$F$12,"Personal absence"))</x:f>
        <x:v>6</x:v>
      </x:c>
      <x:c r="L42" s="13" t="str">
        <x:v>이하영</x:v>
      </x:c>
      <x:c r="M42" s="13" t="str">
        <x:v>이권욱</x:v>
      </x:c>
      <x:c r="N42" s="13" t="str">
        <x:v>D12</x:v>
      </x:c>
      <x:c r="O42" s="13" t="str">
        <x:v>RISK-11; RISK-12</x:v>
      </x:c>
      <x:c r="P42" s="13" t="str">
        <x:v>OADP→S3 443, Backup 대상·Credential·Schedule, Restore 또는 승인 복구검증과 Evidence 확보</x:v>
      </x:c>
      <x:c r="Q42" s="13" t="str">
        <x:v>Backup 생성만으로 DONE 처리하지 않고 Restore 또는 승인된 복구 검증이 필요하다.</x:v>
      </x:c>
      <x:c r="R42" s="13" t="str">
        <x:v>https://github.com/321Team/fds-project-baseline/issues/44</x:v>
      </x:c>
      <x:c r="S42" s="13" t="str">
        <x:f>IF(G42="Done","Done",IF(I42="","End TBD",IF(I42&lt;'Executive Summary'!$B$4,"Overdue",IF(H42&gt;'Executive Summary'!$B$4,"Upcoming","Active window"))))</x:f>
        <x:v>Upcoming</x:v>
      </x:c>
    </x:row>
    <x:row r="43" ht="44" customHeight="1">
      <x:c r="A43" s="13" t="str">
        <x:v>MS-G5-01</x:v>
      </x:c>
      <x:c r="B43" s="13" t="str">
        <x:v>G5 ROSA Application Ready</x:v>
      </x:c>
      <x:c r="C43" s="13" t="str">
        <x:v>Phase 2</x:v>
      </x:c>
      <x:c r="D43" s="13" t="str">
        <x:v>Milestone / ROSA Application</x:v>
      </x:c>
      <x:c r="E43" s="13" t="str">
        <x:v>Milestone</x:v>
      </x:c>
      <x:c r="F43" s="13" t="str">
        <x:v>P0</x:v>
      </x:c>
      <x:c r="G43" s="13" t="str">
        <x:v>To Do</x:v>
      </x:c>
      <x:c r="H43" s="19" t="n">
        <x:v>46311</x:v>
      </x:c>
      <x:c r="I43" s="19" t="n">
        <x:v>46311</x:v>
      </x:c>
      <x:c r="J43" s="61" t="n">
        <x:f>IF(OR(H43="",I43=""),"",I43-H43+1)</x:f>
        <x:v>1</x:v>
      </x:c>
      <x:c r="K43" s="61" t="n">
        <x:f>IF(OR(H43="",I43=""),"",NETWORKDAYS(H43,I43,'Sources &amp; Change Log'!$J$2:$J$5)-COUNTIFS('Team Calendar'!$A$5:$A$12,L43,'Team Calendar'!$C$5:$C$12,"&gt;="&amp;H43,'Team Calendar'!$C$5:$C$12,"&lt;="&amp;I43,'Team Calendar'!$F$5:$F$12,"Personal absence"))</x:f>
        <x:v>1</x:v>
      </x:c>
      <x:c r="L43" s="13" t="str">
        <x:v>이하영</x:v>
      </x:c>
      <x:c r="M43" s="13" t="str">
        <x:v>이권욱, 이재환</x:v>
      </x:c>
      <x:c r="N43" s="13" t="str">
        <x:v>D22; D23; D25; D26</x:v>
      </x:c>
      <x:c r="O43" s="13" t="str">
        <x:v>RISK-06; RISK-07; RISK-11; RISK-12</x:v>
      </x:c>
      <x:c r="P43" s="13" t="str">
        <x:v>ROSA Platform/Security, P2-CICD-01 Runner 기반 Delivery, transaction-api/fds-engine Health·Rule Smoke Test와 Registry/DNS/Operator Decision 상태 승인</x:v>
      </x:c>
      <x:c r="Q43" s="13" t="str">
        <x:v>Registry는 D22, Hybrid DNS는 D23을 따른다. D23 미적용은 P0 IP Endpoint 사용 시 Non-blocker다.</x:v>
      </x:c>
      <x:c r="R43" s="13" t="str">
        <x:v>https://github.com/321Team/fds-project-baseline/issues/45</x:v>
      </x:c>
      <x:c r="S43" s="13" t="str">
        <x:f>IF(G43="Done","Done",IF(I43="","End TBD",IF(I43&lt;'Executive Summary'!$B$4,"Overdue",IF(H43&gt;'Executive Summary'!$B$4,"Upcoming","Active window"))))</x:f>
        <x:v>Upcoming</x:v>
      </x:c>
    </x:row>
    <x:row r="44" ht="44" customHeight="1">
      <x:c r="A44" s="13" t="str">
        <x:v>P2-CICD-01</x:v>
      </x:c>
      <x:c r="B44" s="13" t="str">
        <x:v>Runner to ROSA Delivery</x:v>
      </x:c>
      <x:c r="C44" s="13" t="str">
        <x:v>Phase 2</x:v>
      </x:c>
      <x:c r="D44" s="13" t="str">
        <x:v>CI/CD / OpenShift Delivery</x:v>
      </x:c>
      <x:c r="E44" s="13" t="str">
        <x:v>Task</x:v>
      </x:c>
      <x:c r="F44" s="13" t="str">
        <x:v>P0</x:v>
      </x:c>
      <x:c r="G44" s="13" t="str">
        <x:v>To Do</x:v>
      </x:c>
      <x:c r="H44" s="19" t="n">
        <x:v>46311</x:v>
      </x:c>
      <x:c r="I44" s="19" t="n">
        <x:v>46311</x:v>
      </x:c>
      <x:c r="J44" s="61" t="n">
        <x:f>IF(OR(H44="",I44=""),"",I44-H44+1)</x:f>
        <x:v>1</x:v>
      </x:c>
      <x:c r="K44" s="61" t="n">
        <x:f>IF(OR(H44="",I44=""),"",NETWORKDAYS(H44,I44,'Sources &amp; Change Log'!$J$2:$J$5)-COUNTIFS('Team Calendar'!$A$5:$A$12,L44,'Team Calendar'!$C$5:$C$12,"&gt;="&amp;H44,'Team Calendar'!$C$5:$C$12,"&lt;="&amp;I44,'Team Calendar'!$F$5:$F$12,"Personal absence"))</x:f>
        <x:v>1</x:v>
      </x:c>
      <x:c r="L44" s="13" t="str">
        <x:v>이권욱</x:v>
      </x:c>
      <x:c r="M44" s="13" t="str">
        <x:v>이하영, 이재환</x:v>
      </x:c>
      <x:c r="N44" s="13" t="str">
        <x:v>D22; D25</x:v>
      </x:c>
      <x:c r="O44" s="13" t="str">
        <x:v>RISK-06; RISK-08; RISK-11; RISK-14</x:v>
      </x:c>
      <x:c r="P44" s="13" t="str">
        <x:v>GitHub→Self-hosted Runner→승인 Registry→ROSA Deploy→Health/Rule Smoke Test 흐름과 실패 시 배포차단 Evidence 확보</x:v>
      </x:c>
      <x:c r="Q44" s="13" t="str">
        <x:v>P2-ROSA-01과 P2-APP-01의 Manifest/Image 계약을 사용하고 Registry는 D22 결과를 따른다. G5 ROSA Application Ready에 연결한다. 2026-09-11 사용자 지시에 따라 End를 G5 목표 2026-10-16으로 앞당겼다. Start 10/16 유지, Calendar Days/Working Days 1/1. 선행 작업과 가용성에 따라 조정 가능한 계획이며 Runtime 완료 판정은 아니다.</x:v>
      </x:c>
      <x:c r="R44" s="13" t="str">
        <x:v>https://github.com/321Team/fds-project-baseline/issues/46</x:v>
      </x:c>
      <x:c r="S44" s="13" t="str">
        <x:f>IF(G44="Done","Done",IF(I44="","End TBD",IF(I44&lt;'Executive Summary'!$B$4,"Overdue",IF(H44&gt;'Executive Summary'!$B$4,"Upcoming","Active window"))))</x:f>
        <x:v>Upcoming</x:v>
      </x:c>
    </x:row>
    <x:row r="45" ht="44" customHeight="1">
      <x:c r="A45" s="13" t="str">
        <x:v>P2-HYB-01</x:v>
      </x:c>
      <x:c r="B45" s="13" t="str">
        <x:v>Hybrid DB / Registry Integration</x:v>
      </x:c>
      <x:c r="C45" s="13" t="str">
        <x:v>Phase 2</x:v>
      </x:c>
      <x:c r="D45" s="13" t="str">
        <x:v>Hybrid Integration</x:v>
      </x:c>
      <x:c r="E45" s="13" t="str">
        <x:v>Task</x:v>
      </x:c>
      <x:c r="F45" s="13" t="str">
        <x:v>P0</x:v>
      </x:c>
      <x:c r="G45" s="13" t="str">
        <x:v>To Do</x:v>
      </x:c>
      <x:c r="H45" s="19" t="n">
        <x:v>46311</x:v>
      </x:c>
      <x:c r="I45" s="19" t="n">
        <x:v>46317</x:v>
      </x:c>
      <x:c r="J45" s="61" t="n">
        <x:f>IF(OR(H45="",I45=""),"",I45-H45+1)</x:f>
        <x:v>7</x:v>
      </x:c>
      <x:c r="K45" s="61" t="n">
        <x:f>IF(OR(H45="",I45=""),"",NETWORKDAYS(H45,I45,'Sources &amp; Change Log'!$J$2:$J$5)-COUNTIFS('Team Calendar'!$A$5:$A$12,L45,'Team Calendar'!$C$5:$C$12,"&gt;="&amp;H45,'Team Calendar'!$C$5:$C$12,"&lt;="&amp;I45,'Team Calendar'!$F$5:$F$12,"Personal absence"))</x:f>
        <x:v>5</x:v>
      </x:c>
      <x:c r="L45" s="13" t="str">
        <x:v>이재환</x:v>
      </x:c>
      <x:c r="M45" s="13" t="str">
        <x:v>이권욱, 이하영</x:v>
      </x:c>
      <x:c r="N45" s="13" t="str">
        <x:v>D21; D22; D23</x:v>
      </x:c>
      <x:c r="O45" s="13" t="str">
        <x:v>RISK-09; RISK-10; RISK-11; RISK-12</x:v>
      </x:c>
      <x:c r="P45" s="13" t="str">
        <x:v>ROSA→On-Prem db01 .55:5432와 승인 Registry 경로의 Route·Security·Source·Application 통합 검증 PASS</x:v>
      </x:c>
      <x:c r="Q45" s="13" t="str">
        <x:v>Harbor는 D22에 따라 사용 또는 Cancelled 처리한다. Hybrid DNS는 D23에 따라 적용 또는 IP Endpoint로 검증한다.</x:v>
      </x:c>
      <x:c r="R45" s="13" t="str">
        <x:v>https://github.com/321Team/fds-project-baseline/issues/47</x:v>
      </x:c>
      <x:c r="S45" s="13" t="str">
        <x:f>IF(G45="Done","Done",IF(I45="","End TBD",IF(I45&lt;'Executive Summary'!$B$4,"Overdue",IF(H45&gt;'Executive Summary'!$B$4,"Upcoming","Active window"))))</x:f>
        <x:v>Upcoming</x:v>
      </x:c>
    </x:row>
    <x:row r="46" ht="44" customHeight="1">
      <x:c r="A46" s="13" t="str">
        <x:v>P2-DNS-01</x:v>
      </x:c>
      <x:c r="B46" s="13" t="str">
        <x:v>Hybrid DNS Implementation Conditional</x:v>
      </x:c>
      <x:c r="C46" s="13" t="str">
        <x:v>Phase 2</x:v>
      </x:c>
      <x:c r="D46" s="13" t="str">
        <x:v>DNS / Hybrid Integration</x:v>
      </x:c>
      <x:c r="E46" s="13" t="str">
        <x:v>Task</x:v>
      </x:c>
      <x:c r="F46" s="13" t="str">
        <x:v>P1</x:v>
      </x:c>
      <x:c r="G46" s="13" t="str">
        <x:v>To Do</x:v>
      </x:c>
      <x:c r="H46" s="19" t="n">
        <x:v>46314</x:v>
      </x:c>
      <x:c r="I46" s="19" t="n">
        <x:v>46315</x:v>
      </x:c>
      <x:c r="J46" s="61" t="n">
        <x:f>IF(OR(H46="",I46=""),"",I46-H46+1)</x:f>
        <x:v>2</x:v>
      </x:c>
      <x:c r="K46" s="61" t="n">
        <x:f>IF(OR(H46="",I46=""),"",NETWORKDAYS(H46,I46,'Sources &amp; Change Log'!$J$2:$J$5)-COUNTIFS('Team Calendar'!$A$5:$A$12,L46,'Team Calendar'!$C$5:$C$12,"&gt;="&amp;H46,'Team Calendar'!$C$5:$C$12,"&lt;="&amp;I46,'Team Calendar'!$F$5:$F$12,"Personal absence"))</x:f>
        <x:v>2</x:v>
      </x:c>
      <x:c r="L46" s="13" t="str">
        <x:v>이권욱</x:v>
      </x:c>
      <x:c r="M46" s="13" t="str">
        <x:v>이하영, 이재환</x:v>
      </x:c>
      <x:c r="N46" s="13" t="str">
        <x:v>D11; D23</x:v>
      </x:c>
      <x:c r="O46" s="13" t="str">
        <x:v>RISK-10; RISK-12; RISK-15</x:v>
      </x:c>
      <x:c r="P46" s="13" t="str">
        <x:v>D23이 Hybrid DNS를 선택한 경우 Resolver/Conditional Forwarding/Route/Query Test PASS; IP Endpoint 유지 시 Cancelled 결정 근거 승인</x:v>
      </x:c>
      <x:c r="Q46" s="13" t="str">
        <x:v>DEC-P2-DNS-01 / D23 결정 결과가 미구현이면 Status=Cancelled와 결정 근거를 기록한다. 구현 시 Hybrid E2E IP Endpoint에 대한 영향을 검증한다.</x:v>
      </x:c>
      <x:c r="R46" s="13" t="str">
        <x:v>https://github.com/321Team/fds-project-baseline/issues/48</x:v>
      </x:c>
      <x:c r="S46" s="13" t="str">
        <x:f>IF(G46="Done","Done",IF(I46="","End TBD",IF(I46&lt;'Executive Summary'!$B$4,"Overdue",IF(H46&gt;'Executive Summary'!$B$4,"Upcoming","Active window"))))</x:f>
        <x:v>Upcoming</x:v>
      </x:c>
    </x:row>
    <x:row r="47" ht="44" customHeight="1">
      <x:c r="A47" s="13" t="str">
        <x:v>P2-DOC-01</x:v>
      </x:c>
      <x:c r="B47" s="13" t="str">
        <x:v>Cloud / Hybrid Deliverable Freeze</x:v>
      </x:c>
      <x:c r="C47" s="13" t="str">
        <x:v>Phase 2</x:v>
      </x:c>
      <x:c r="D47" s="13" t="str">
        <x:v>PMO / Documentation</x:v>
      </x:c>
      <x:c r="E47" s="13" t="str">
        <x:v>Task</x:v>
      </x:c>
      <x:c r="F47" s="13" t="str">
        <x:v>P0</x:v>
      </x:c>
      <x:c r="G47" s="13" t="str">
        <x:v>To Do</x:v>
      </x:c>
      <x:c r="H47" s="19" t="n">
        <x:v>46314</x:v>
      </x:c>
      <x:c r="I47" s="19" t="n">
        <x:v>46318</x:v>
      </x:c>
      <x:c r="J47" s="61" t="n">
        <x:f>IF(OR(H47="",I47=""),"",I47-H47+1)</x:f>
        <x:v>5</x:v>
      </x:c>
      <x:c r="K47" s="61" t="n">
        <x:f>IF(OR(H47="",I47=""),"",NETWORKDAYS(H47,I47,'Sources &amp; Change Log'!$J$2:$J$5)-COUNTIFS('Team Calendar'!$A$5:$A$12,L47,'Team Calendar'!$C$5:$C$12,"&gt;="&amp;H47,'Team Calendar'!$C$5:$C$12,"&lt;="&amp;I47,'Team Calendar'!$F$5:$F$12,"Personal absence"))</x:f>
        <x:v>5</x:v>
      </x:c>
      <x:c r="L47" s="13" t="str">
        <x:v>이권욱</x:v>
      </x:c>
      <x:c r="M47" s="13" t="str">
        <x:v>이하영, 이재환</x:v>
      </x:c>
      <x:c r="N47" s="13" t="str">
        <x:v>D12; D21; D22; D23; D24; D25; D26</x:v>
      </x:c>
      <x:c r="O47" s="13" t="str">
        <x:v>RISK-10; RISK-11; RISK-12; RISK-13</x:v>
      </x:c>
      <x:c r="P47" s="13" t="str">
        <x:v>Terraform/ROSA/VPN/Hybrid Architecture, CI/CD, Test/Evidence, Backup/Recovery Runbook, D22/D23/D26 Decision, Known Issue 및 Deliverable Freeze 승인</x:v>
      </x:c>
      <x:c r="Q47" s="13" t="str">
        <x:v>10-23 Deliverable Freeze와 DEC-CAL-P2-01을 함께 완료한다.</x:v>
      </x:c>
      <x:c r="R47" s="13" t="str">
        <x:v>https://github.com/321Team/fds-project-baseline/issues/49</x:v>
      </x:c>
      <x:c r="S47" s="13" t="str">
        <x:f>IF(G47="Done","Done",IF(I47="","End TBD",IF(I47&lt;'Executive Summary'!$B$4,"Overdue",IF(H47&gt;'Executive Summary'!$B$4,"Upcoming","Active window"))))</x:f>
        <x:v>Upcoming</x:v>
      </x:c>
    </x:row>
    <x:row r="48" ht="44" customHeight="1">
      <x:c r="A48" s="13" t="str">
        <x:v>P2-E2E-01</x:v>
      </x:c>
      <x:c r="B48" s="13" t="str">
        <x:v>Hybrid E2E / Regression</x:v>
      </x:c>
      <x:c r="C48" s="13" t="str">
        <x:v>Phase 2</x:v>
      </x:c>
      <x:c r="D48" s="13" t="str">
        <x:v>QA / Hybrid E2E</x:v>
      </x:c>
      <x:c r="E48" s="13" t="str">
        <x:v>Task</x:v>
      </x:c>
      <x:c r="F48" s="13" t="str">
        <x:v>P0</x:v>
      </x:c>
      <x:c r="G48" s="13" t="str">
        <x:v>To Do</x:v>
      </x:c>
      <x:c r="H48" s="19" t="n">
        <x:v>46314</x:v>
      </x:c>
      <x:c r="I48" s="19" t="n">
        <x:v>46317</x:v>
      </x:c>
      <x:c r="J48" s="61" t="n">
        <x:f>IF(OR(H48="",I48=""),"",I48-H48+1)</x:f>
        <x:v>4</x:v>
      </x:c>
      <x:c r="K48" s="61" t="n">
        <x:f>IF(OR(H48="",I48=""),"",NETWORKDAYS(H48,I48,'Sources &amp; Change Log'!$J$2:$J$5)-COUNTIFS('Team Calendar'!$A$5:$A$12,L48,'Team Calendar'!$C$5:$C$12,"&gt;="&amp;H48,'Team Calendar'!$C$5:$C$12,"&lt;="&amp;I48,'Team Calendar'!$F$5:$F$12,"Personal absence"))</x:f>
        <x:v>4</x:v>
      </x:c>
      <x:c r="L48" s="13" t="str">
        <x:v>이재환</x:v>
      </x:c>
      <x:c r="M48" s="13" t="str">
        <x:v>이권욱, 이하영</x:v>
      </x:c>
      <x:c r="N48" s="13" t="str">
        <x:v>D21; D22; D23</x:v>
      </x:c>
      <x:c r="O48" s="13" t="str">
        <x:v>RISK-09; RISK-10; RISK-11; RISK-12</x:v>
      </x:c>
      <x:c r="P48" s="13" t="str">
        <x:v>ROSA transaction-api→fds-engine→On-Prem PostgreSQL Hybrid E2E, Rule/Negative/Recovery Regression PASS와 Critical Issue 0</x:v>
      </x:c>
      <x:c r="Q48" s="13" t="str">
        <x:v>IP Endpoint와 Registry N/A 여부는 승인 Decision 결과를 Expected에 반영한다.</x:v>
      </x:c>
      <x:c r="R48" s="13" t="str">
        <x:v>https://github.com/321Team/fds-project-baseline/issues/50</x:v>
      </x:c>
      <x:c r="S48" s="13" t="str">
        <x:f>IF(G48="Done","Done",IF(I48="","End TBD",IF(I48&lt;'Executive Summary'!$B$4,"Overdue",IF(H48&gt;'Executive Summary'!$B$4,"Upcoming","Active window"))))</x:f>
        <x:v>Upcoming</x:v>
      </x:c>
    </x:row>
    <x:row r="49" ht="44" customHeight="1">
      <x:c r="A49" s="13" t="str">
        <x:v>P2-OP-01</x:v>
      </x:c>
      <x:c r="B49" s="13" t="str">
        <x:v>Operator Supply Chain Implementation Conditional</x:v>
      </x:c>
      <x:c r="C49" s="13" t="str">
        <x:v>Phase 2</x:v>
      </x:c>
      <x:c r="D49" s="13" t="str">
        <x:v>Operator Supply Chain</x:v>
      </x:c>
      <x:c r="E49" s="13" t="str">
        <x:v>Task</x:v>
      </x:c>
      <x:c r="F49" s="13" t="str">
        <x:v>P1</x:v>
      </x:c>
      <x:c r="G49" s="13" t="str">
        <x:v>To Do</x:v>
      </x:c>
      <x:c r="H49" s="19" t="n">
        <x:v>46314</x:v>
      </x:c>
      <x:c r="I49" s="19" t="n">
        <x:v>46315</x:v>
      </x:c>
      <x:c r="J49" s="61" t="n">
        <x:f>IF(OR(H49="",I49=""),"",I49-H49+1)</x:f>
        <x:v>2</x:v>
      </x:c>
      <x:c r="K49" s="61" t="n">
        <x:f>IF(OR(H49="",I49=""),"",NETWORKDAYS(H49,I49,'Sources &amp; Change Log'!$J$2:$J$5)-COUNTIFS('Team Calendar'!$A$5:$A$12,L49,'Team Calendar'!$C$5:$C$12,"&gt;="&amp;H49,'Team Calendar'!$C$5:$C$12,"&lt;="&amp;I49,'Team Calendar'!$F$5:$F$12,"Personal absence"))</x:f>
        <x:v>2</x:v>
      </x:c>
      <x:c r="L49" s="13" t="str">
        <x:v>이하영</x:v>
      </x:c>
      <x:c r="M49" s="13" t="str">
        <x:v>이권욱, 이재환</x:v>
      </x:c>
      <x:c r="N49" s="13" t="str">
        <x:v>D22; D26</x:v>
      </x:c>
      <x:c r="O49" s="13" t="str">
        <x:v>RISK-06; RISK-11; RISK-15</x:v>
      </x:c>
      <x:c r="P49" s="13" t="str">
        <x:v>D26이 Mirror를 선택한 경우 oc-mirror ImageSet·Harbor Push·Custom CatalogSource·Package 조회 PASS; Direct Catalog 선택 시 Cancelled 결정 근거 승인</x:v>
      </x:c>
      <x:c r="Q49" s="13" t="str">
        <x:v>DEC-P2-OP-01 / D26에서 Direct Catalog를 선택하면 Status=Cancelled와 결정 근거를 기록한다. Mirror 선택 시 구현을 진행한다.</x:v>
      </x:c>
      <x:c r="R49" s="13" t="str">
        <x:v>https://github.com/321Team/fds-project-baseline/issues/51</x:v>
      </x:c>
      <x:c r="S49" s="13" t="str">
        <x:f>IF(G49="Done","Done",IF(I49="","End TBD",IF(I49&lt;'Executive Summary'!$B$4,"Overdue",IF(H49&gt;'Executive Summary'!$B$4,"Upcoming","Active window"))))</x:f>
        <x:v>Upcoming</x:v>
      </x:c>
    </x:row>
    <x:row r="50" ht="44" customHeight="1">
      <x:c r="A50" s="13" t="str">
        <x:v>DEC-CAL-P2-01</x:v>
      </x:c>
      <x:c r="B50" s="13" t="str">
        <x:v>Phase 2 Weekend Review Decision</x:v>
      </x:c>
      <x:c r="C50" s="13" t="str">
        <x:v>Phase 2</x:v>
      </x:c>
      <x:c r="D50" s="13" t="str">
        <x:v>Schedule / Governance</x:v>
      </x:c>
      <x:c r="E50" s="13" t="str">
        <x:v>Decision</x:v>
      </x:c>
      <x:c r="F50" s="13" t="str">
        <x:v>P0</x:v>
      </x:c>
      <x:c r="G50" s="13" t="str">
        <x:v>To Do</x:v>
      </x:c>
      <x:c r="H50" s="19" t="n">
        <x:v>46317</x:v>
      </x:c>
      <x:c r="I50" s="19" t="n">
        <x:v>46317</x:v>
      </x:c>
      <x:c r="J50" s="61" t="n">
        <x:f>IF(OR(H50="",I50=""),"",I50-H50+1)</x:f>
        <x:v>1</x:v>
      </x:c>
      <x:c r="K50" s="61" t="n">
        <x:f>IF(OR(H50="",I50=""),"",NETWORKDAYS(H50,I50,'Sources &amp; Change Log'!$J$2:$J$5)-COUNTIFS('Team Calendar'!$A$5:$A$12,L50,'Team Calendar'!$C$5:$C$12,"&gt;="&amp;H50,'Team Calendar'!$C$5:$C$12,"&lt;="&amp;I50,'Team Calendar'!$F$5:$F$12,"Personal absence"))</x:f>
        <x:v>1</x:v>
      </x:c>
      <x:c r="L50" s="13" t="str">
        <x:v>이권욱</x:v>
      </x:c>
      <x:c r="M50" s="13" t="str">
        <x:v>이하영, 이재환</x:v>
      </x:c>
      <x:c r="N50" s="13" t="str">
        <x:v>D24</x:v>
      </x:c>
      <x:c r="O50" s="13" t="str">
        <x:v>RISK-05; RISK-13</x:v>
      </x:c>
      <x:c r="P50" s="13" t="str">
        <x:v>10-24 토요일 Review 유지 또는 영업일 재배치, 참석자·승인권자·시간·Project Close 영향도를 확정하고 WBS 동기화</x:v>
      </x:c>
      <x:c r="Q50" s="13" t="str">
        <x:v>교육장 주말 작업 불가를 반영해 10-22까지 평일 10-23 오후 Review의 참석자·시간을 확정한다. 상태는 To Do다. 실제 상태·완료 판정은 유지한다. 세부 배정: Fast Track Plan 시트.</x:v>
      </x:c>
      <x:c r="R50" s="13" t="str">
        <x:v>https://github.com/321Team/fds-project-baseline/issues/52</x:v>
      </x:c>
      <x:c r="S50" s="13" t="str">
        <x:f>IF(G50="Done","Done",IF(I50="",IF(F50="P1","Deferred P1","End TBD"),IF(I50&lt;'Executive Summary'!$B$4,"Overdue",IF(H50&gt;'Executive Summary'!$B$4,"Upcoming","Active window"))))</x:f>
        <x:v>Upcoming</x:v>
      </x:c>
    </x:row>
    <x:row r="51" ht="44" customHeight="1">
      <x:c r="A51" s="13" t="str">
        <x:v>MS-G6-01</x:v>
      </x:c>
      <x:c r="B51" s="13" t="str">
        <x:v>G6 Hybrid Integration Ready</x:v>
      </x:c>
      <x:c r="C51" s="13" t="str">
        <x:v>Phase 2</x:v>
      </x:c>
      <x:c r="D51" s="13" t="str">
        <x:v>Milestone / Hybrid Integration</x:v>
      </x:c>
      <x:c r="E51" s="13" t="str">
        <x:v>Milestone</x:v>
      </x:c>
      <x:c r="F51" s="13" t="str">
        <x:v>P0</x:v>
      </x:c>
      <x:c r="G51" s="13" t="str">
        <x:v>To Do</x:v>
      </x:c>
      <x:c r="H51" s="19" t="n">
        <x:v>46317</x:v>
      </x:c>
      <x:c r="I51" s="19" t="n">
        <x:v>46317</x:v>
      </x:c>
      <x:c r="J51" s="61" t="n">
        <x:f>IF(OR(H51="",I51=""),"",I51-H51+1)</x:f>
        <x:v>1</x:v>
      </x:c>
      <x:c r="K51" s="61" t="n">
        <x:f>IF(OR(H51="",I51=""),"",NETWORKDAYS(H51,I51,'Sources &amp; Change Log'!$J$2:$J$5)-COUNTIFS('Team Calendar'!$A$5:$A$12,L51,'Team Calendar'!$C$5:$C$12,"&gt;="&amp;H51,'Team Calendar'!$C$5:$C$12,"&lt;="&amp;I51,'Team Calendar'!$F$5:$F$12,"Personal absence"))</x:f>
        <x:v>1</x:v>
      </x:c>
      <x:c r="L51" s="13" t="str">
        <x:v>이권욱</x:v>
      </x:c>
      <x:c r="M51" s="13" t="str">
        <x:v>이하영, 이재환</x:v>
      </x:c>
      <x:c r="N51" s="13" t="str">
        <x:v>D21; D22; D23; D26</x:v>
      </x:c>
      <x:c r="O51" s="13" t="str">
        <x:v>RISK-09; RISK-10; RISK-11; RISK-12</x:v>
      </x:c>
      <x:c r="P51" s="13" t="str">
        <x:v>Hybrid DB/Registry Integration, OADP 복구검증, Hybrid E2E/Regression, Critical Issue 0을 승인</x:v>
      </x:c>
      <x:c r="Q51" s="13" t="str">
        <x:v>Hybrid DNS와 Operator 공급망은 D23/D26 결과에 따라 구현 또는 Cancelled 처리한다. 같은 날 DEC-CAL-P2-01 검토를 시작해 Review 일정을 10-23까지 확정한다.</x:v>
      </x:c>
      <x:c r="R51" s="13" t="str">
        <x:v>https://github.com/321Team/fds-project-baseline/issues/53</x:v>
      </x:c>
      <x:c r="S51" s="13" t="str">
        <x:f>IF(G51="Done","Done",IF(I51="","End TBD",IF(I51&lt;'Executive Summary'!$B$4,"Overdue",IF(H51&gt;'Executive Summary'!$B$4,"Upcoming","Active window"))))</x:f>
        <x:v>Upcoming</x:v>
      </x:c>
    </x:row>
    <x:row r="52" ht="44" customHeight="1">
      <x:c r="A52" s="13" t="str">
        <x:v>MS-DELIVERABLE-FREEZE-01</x:v>
      </x:c>
      <x:c r="B52" s="13" t="str">
        <x:v>Deliverable Freeze</x:v>
      </x:c>
      <x:c r="C52" s="13" t="str">
        <x:v>Phase 2</x:v>
      </x:c>
      <x:c r="D52" s="13" t="str">
        <x:v>Milestone / Deliverable</x:v>
      </x:c>
      <x:c r="E52" s="13" t="str">
        <x:v>Milestone</x:v>
      </x:c>
      <x:c r="F52" s="13" t="str">
        <x:v>P0</x:v>
      </x:c>
      <x:c r="G52" s="13" t="str">
        <x:v>To Do</x:v>
      </x:c>
      <x:c r="H52" s="19" t="n">
        <x:v>46318</x:v>
      </x:c>
      <x:c r="I52" s="19" t="n">
        <x:v>46318</x:v>
      </x:c>
      <x:c r="J52" s="61" t="n">
        <x:f>IF(OR(H52="",I52=""),"",I52-H52+1)</x:f>
        <x:v>1</x:v>
      </x:c>
      <x:c r="K52" s="61" t="n">
        <x:f>IF(OR(H52="",I52=""),"",NETWORKDAYS(H52,I52,'Sources &amp; Change Log'!$J$2:$J$5)-COUNTIFS('Team Calendar'!$A$5:$A$12,L52,'Team Calendar'!$C$5:$C$12,"&gt;="&amp;H52,'Team Calendar'!$C$5:$C$12,"&lt;="&amp;I52,'Team Calendar'!$F$5:$F$12,"Personal absence"))</x:f>
        <x:v>1</x:v>
      </x:c>
      <x:c r="L52" s="13" t="str">
        <x:v>이권욱</x:v>
      </x:c>
      <x:c r="M52" s="13" t="str">
        <x:v>이하영, 이재환</x:v>
      </x:c>
      <x:c r="N52" s="13" t="str">
        <x:v>D12; D21; D22; D23; D24</x:v>
      </x:c>
      <x:c r="O52" s="13" t="str">
        <x:v>RISK-10; RISK-11; RISK-12; RISK-13</x:v>
      </x:c>
      <x:c r="P52" s="13" t="str">
        <x:v>Architecture/IaC/Test/Runbook/Evidence/Decision/Known Issue의 최종 Version과 변경금지를 승인</x:v>
      </x:c>
      <x:c r="Q52" s="13" t="str">
        <x:v>Freeze 이후 변경은 Review Action 또는 Change Request로만 허용한다.</x:v>
      </x:c>
      <x:c r="R52" s="13" t="str">
        <x:v>https://github.com/321Team/fds-project-baseline/issues/54</x:v>
      </x:c>
      <x:c r="S52" s="13" t="str">
        <x:f>IF(G52="Done","Done",IF(I52="","End TBD",IF(I52&lt;'Executive Summary'!$B$4,"Overdue",IF(H52&gt;'Executive Summary'!$B$4,"Upcoming","Active window"))))</x:f>
        <x:v>Upcoming</x:v>
      </x:c>
    </x:row>
    <x:row r="53" ht="44" customHeight="1">
      <x:c r="A53" s="13" t="str">
        <x:v>P2-REV-01</x:v>
      </x:c>
      <x:c r="B53" s="13" t="str">
        <x:v>Phase 2 Review / Project Close Execution</x:v>
      </x:c>
      <x:c r="C53" s="13" t="str">
        <x:v>Phase 2</x:v>
      </x:c>
      <x:c r="D53" s="13" t="str">
        <x:v>PMO / Review</x:v>
      </x:c>
      <x:c r="E53" s="13" t="str">
        <x:v>Task</x:v>
      </x:c>
      <x:c r="F53" s="13" t="str">
        <x:v>P0</x:v>
      </x:c>
      <x:c r="G53" s="13" t="str">
        <x:v>To Do</x:v>
      </x:c>
      <x:c r="H53" s="19" t="n">
        <x:v>46318</x:v>
      </x:c>
      <x:c r="I53" s="19" t="n">
        <x:v>46321</x:v>
      </x:c>
      <x:c r="J53" s="61" t="n">
        <x:f>IF(OR(H53="",I53=""),"",I53-H53+1)</x:f>
        <x:v>4</x:v>
      </x:c>
      <x:c r="K53" s="61" t="n">
        <x:f>IF(OR(H53="",I53=""),"",NETWORKDAYS(H53,I53,'Sources &amp; Change Log'!$J$2:$J$5)-COUNTIFS('Team Calendar'!$A$5:$A$12,L53,'Team Calendar'!$C$5:$C$12,"&gt;="&amp;H53,'Team Calendar'!$C$5:$C$12,"&lt;="&amp;I53,'Team Calendar'!$F$5:$F$12,"Personal absence"))</x:f>
        <x:v>2</x:v>
      </x:c>
      <x:c r="L53" s="13" t="str">
        <x:v>이권욱</x:v>
      </x:c>
      <x:c r="M53" s="13" t="str">
        <x:v>이하영, 이재환</x:v>
      </x:c>
      <x:c r="N53" s="13" t="str">
        <x:v>D12; D21; D22; D23; D24</x:v>
      </x:c>
      <x:c r="O53" s="13" t="str">
        <x:v>RISK-10; RISK-11; RISK-12; RISK-13</x:v>
      </x:c>
      <x:c r="P53" s="13" t="str">
        <x:v>G6/Deliverable Freeze, Hybrid Demo, P0 Evidence, Decision/Known Issue, 비용·자원 정리 및 Project Close Sign-off 확보</x:v>
      </x:c>
      <x:c r="Q53" s="13" t="str">
        <x:v>Review 실행일은 D24 결과를 따른다. 최종 Close 목표는 10-26이다.</x:v>
      </x:c>
      <x:c r="R53" s="13" t="str">
        <x:v>https://github.com/321Team/fds-project-baseline/issues/55</x:v>
      </x:c>
      <x:c r="S53" s="13" t="str">
        <x:f>IF(G53="Done","Done",IF(I53="","End TBD",IF(I53&lt;'Executive Summary'!$B$4,"Overdue",IF(H53&gt;'Executive Summary'!$B$4,"Upcoming","Active window"))))</x:f>
        <x:v>Upcoming</x:v>
      </x:c>
    </x:row>
    <x:row r="54" ht="44" customHeight="1">
      <x:c r="A54" s="13" t="str">
        <x:v>MS-P2-REVIEW-01</x:v>
      </x:c>
      <x:c r="B54" s="13" t="str">
        <x:v>Phase 2 Review</x:v>
      </x:c>
      <x:c r="C54" s="13" t="str">
        <x:v>Phase 2</x:v>
      </x:c>
      <x:c r="D54" s="13" t="str">
        <x:v>Milestone / Review</x:v>
      </x:c>
      <x:c r="E54" s="13" t="str">
        <x:v>Milestone</x:v>
      </x:c>
      <x:c r="F54" s="13" t="str">
        <x:v>P0</x:v>
      </x:c>
      <x:c r="G54" s="13" t="str">
        <x:v>To Do</x:v>
      </x:c>
      <x:c r="H54" s="19" t="n">
        <x:v>46318</x:v>
      </x:c>
      <x:c r="I54" s="19" t="n">
        <x:v>46318</x:v>
      </x:c>
      <x:c r="J54" s="61" t="n">
        <x:f>IF(OR(H54="",I54=""),"",I54-H54+1)</x:f>
        <x:v>1</x:v>
      </x:c>
      <x:c r="K54" s="61" t="n">
        <x:f>IF(OR(H54="",I54=""),"",NETWORKDAYS(H54,I54,'Sources &amp; Change Log'!$J$2:$J$5)-COUNTIFS('Team Calendar'!$A$5:$A$12,L54,'Team Calendar'!$C$5:$C$12,"&gt;="&amp;H54,'Team Calendar'!$C$5:$C$12,"&lt;="&amp;I54,'Team Calendar'!$F$5:$F$12,"Personal absence"))</x:f>
        <x:v>1</x:v>
      </x:c>
      <x:c r="L54" s="13" t="str">
        <x:v>이권욱</x:v>
      </x:c>
      <x:c r="M54" s="13" t="str">
        <x:v>이하영, 이재환</x:v>
      </x:c>
      <x:c r="N54" s="13" t="str">
        <x:v>D24</x:v>
      </x:c>
      <x:c r="O54" s="13" t="str">
        <x:v>RISK-05; RISK-13</x:v>
      </x:c>
      <x:c r="P54" s="13" t="str">
        <x:v>승인된 일정에 Hybrid Demo/산출물/G6/Known Issue/Cloud Resource Review를 수행하고 Action·승인결과를 기록</x:v>
      </x:c>
      <x:c r="Q54" s="13" t="str">
        <x:v>교육장 주말 작업 불가로 기존 10-24 토요일 대신 10-23 금요일 오후를 권장한다. G6/Deliverable Freeze 후 진행하고 참석자는 별도 확정한다. 실제 상태·완료 판정은 유지한다. 세부 배정: Fast Track Plan 시트.</x:v>
      </x:c>
      <x:c r="R54" s="13" t="str">
        <x:v>https://github.com/321Team/fds-project-baseline/issues/56</x:v>
      </x:c>
      <x:c r="S54" s="13" t="str">
        <x:f>IF(G54="Done","Done",IF(I54="",IF(F54="P1","Deferred P1","End TBD"),IF(I54&lt;'Executive Summary'!$B$4,"Overdue",IF(H54&gt;'Executive Summary'!$B$4,"Upcoming","Active window"))))</x:f>
        <x:v>Upcoming</x:v>
      </x:c>
    </x:row>
    <x:row r="55" ht="64" customHeight="1">
      <x:c r="A55" s="83" t="str">
        <x:v>MS-PROJECT-CLOSE-01</x:v>
      </x:c>
      <x:c r="B55" s="83" t="str">
        <x:v>Project Close</x:v>
      </x:c>
      <x:c r="C55" s="83" t="str">
        <x:v>Phase 2</x:v>
      </x:c>
      <x:c r="D55" s="83" t="str">
        <x:v>Milestone / Close</x:v>
      </x:c>
      <x:c r="E55" s="83" t="str">
        <x:v>Milestone</x:v>
      </x:c>
      <x:c r="F55" s="83" t="str">
        <x:v>P0</x:v>
      </x:c>
      <x:c r="G55" s="83" t="str">
        <x:v>To Do</x:v>
      </x:c>
      <x:c r="H55" s="84" t="n">
        <x:v>46321</x:v>
      </x:c>
      <x:c r="I55" s="84" t="n">
        <x:v>46321</x:v>
      </x:c>
      <x:c r="J55" s="85" t="n">
        <x:f>IF(OR(H55="",I55=""),"",I55-H55+1)</x:f>
        <x:v>1</x:v>
      </x:c>
      <x:c r="K55" s="85" t="n">
        <x:f>IF(OR(H55="",I55=""),"",NETWORKDAYS(H55,I55,'Sources &amp; Change Log'!$J$2:$J$5)-COUNTIFS('Team Calendar'!$A$5:$A$12,L55,'Team Calendar'!$C$5:$C$12,"&gt;="&amp;H55,'Team Calendar'!$C$5:$C$12,"&lt;="&amp;I55,'Team Calendar'!$F$5:$F$12,"Personal absence"))</x:f>
        <x:v>1</x:v>
      </x:c>
      <x:c r="L55" s="83" t="str">
        <x:v>이권욱</x:v>
      </x:c>
      <x:c r="M55" s="83" t="str">
        <x:v>이하영, 이재환</x:v>
      </x:c>
      <x:c r="N55" s="83" t="str">
        <x:v>D24</x:v>
      </x:c>
      <x:c r="O55" s="83" t="str">
        <x:v>RISK-05; RISK-11; RISK-13</x:v>
      </x:c>
      <x:c r="P55" s="83" t="str">
        <x:v>Review Action, P0 승인, 후속 P1/Known Issue, Cloud Resource/Cost, Source/Deliverable 인계 및 Project Close Sign-off 확보</x:v>
      </x:c>
      <x:c r="Q55" s="83" t="str">
        <x:v>D24가 Review를 10-26 이후로 이동시키면 Project Close도 Change Request 대상이다.</x:v>
      </x:c>
      <x:c r="R55" s="83" t="str">
        <x:v>https://github.com/321Team/fds-project-baseline/issues/57</x:v>
      </x:c>
      <x:c r="S55" s="83" t="str">
        <x:f>IF(G55="Done","Done",IF(I55="","End TBD",IF(I55&lt;'Executive Summary'!$B$4,"Overdue",IF(H55&gt;'Executive Summary'!$B$4,"Upcoming","Active window"))))</x:f>
        <x:v>Upcoming</x:v>
      </x:c>
    </x:row>
    <x:row r="56" ht="64" customHeight="1">
      <x:c r="A56" s="83" t="str">
        <x:v>DEC-P1-FDS-01</x:v>
      </x:c>
      <x:c r="B56" s="83" t="str">
        <x:v>거래 보류 도입 범위·판정·평가 실패·Gate 편입 결정</x:v>
      </x:c>
      <x:c r="C56" s="83" t="str">
        <x:v>Phase 1</x:v>
      </x:c>
      <x:c r="D56" s="83" t="str">
        <x:v>Application / Governance</x:v>
      </x:c>
      <x:c r="E56" s="83" t="str">
        <x:v>Decision</x:v>
      </x:c>
      <x:c r="F56" s="83" t="str">
        <x:v>P0</x:v>
      </x:c>
      <x:c r="G56" s="83" t="str">
        <x:v>Done</x:v>
      </x:c>
      <x:c r="H56" s="84" t="n">
        <x:v>46273</x:v>
      </x:c>
      <x:c r="I56" s="84" t="n">
        <x:v>46274</x:v>
      </x:c>
      <x:c r="J56" s="85" t="n">
        <x:f>IF(OR(H56="",I56=""),"",I56-H56+1)</x:f>
        <x:v>2</x:v>
      </x:c>
      <x:c r="K56" s="85" t="n">
        <x:f>IF(OR(H56="",I56=""),"",NETWORKDAYS(H56,I56,'Sources &amp; Change Log'!$J$2:$J$5)-COUNTIFS('Team Calendar'!$A$5:$A$12,L56,'Team Calendar'!$C$5:$C$12,"&gt;="&amp;H56,'Team Calendar'!$C$5:$C$12,"&lt;="&amp;I56,'Team Calendar'!$F$5:$F$12,"Personal absence"))</x:f>
        <x:v>2</x:v>
      </x:c>
      <x:c r="L56" s="83" t="str">
        <x:v>이재환</x:v>
      </x:c>
      <x:c r="M56" s="83" t="str">
        <x:v>이하영, 이권욱</x:v>
      </x:c>
      <x:c r="N56" s="83" t="str">
        <x:v>D03; D12; D17; D28; D34; D36; D37</x:v>
      </x:c>
      <x:c r="O56" s="83" t="str">
        <x:v>현행 정의 연결 대기. v1.0 인용: RISK-05; RISK-07; RISK-09 — 본 종결의 위험 승인 근거로 사용하지 않음</x:v>
      </x:c>
      <x:c r="P56" s="83" t="str">
        <x:v>현행 탐지·기록 유지, 신규 보류·운영 기능 미도입, 실패 정책·계약 소유권, G2 영향 없음 및 후속 검증·재검토 조건 기록</x:v>
      </x:c>
      <x:c r="Q56" s="83" t="str">
        <x:v>현행 유지·신규 기능 확대 유예 결정 Done. v18 편입 이력을 유지한다. 현재 발행 정본은 v3.1.18이며 본 자료는 v19 후보이다. 신규 기능 G2 편입·Runtime 승인은 아니다.</x:v>
      </x:c>
      <x:c r="R56" s="83" t="str">
        <x:v>https://github.com/321Team/fds-project-baseline/issues/4</x:v>
      </x:c>
      <x:c r="S56" s="83" t="str">
        <x:f>IF(G56="Done","Done",IF(I56="","End TBD",IF(I56&lt;'Executive Summary'!$B$4,"Overdue",IF(H56&gt;'Executive Summary'!$B$4,"Upcoming","Active window"))))</x:f>
        <x:v>Done</x:v>
      </x:c>
    </x:row>
    <x:row r="57" ht="64" customHeight="1">
      <x:c r="A57" s="83" t="str">
        <x:v>DEC-P1-TXN-01</x:v>
      </x:c>
      <x:c r="B57" s="83" t="str">
        <x:v>거래 상태·API 응답·재시도·데이터 정합성 계약 결정</x:v>
      </x:c>
      <x:c r="C57" s="83" t="str">
        <x:v>Phase 1</x:v>
      </x:c>
      <x:c r="D57" s="83" t="str">
        <x:v>Application / Data / Interface</x:v>
      </x:c>
      <x:c r="E57" s="83" t="str">
        <x:v>Decision</x:v>
      </x:c>
      <x:c r="F57" s="83" t="str">
        <x:v>P0</x:v>
      </x:c>
      <x:c r="G57" s="83" t="str">
        <x:v>Done</x:v>
      </x:c>
      <x:c r="H57" s="84" t="n">
        <x:v>46273</x:v>
      </x:c>
      <x:c r="I57" s="84" t="n">
        <x:v>46274</x:v>
      </x:c>
      <x:c r="J57" s="85" t="n">
        <x:f>IF(OR(H57="",I57=""),"",I57-H57+1)</x:f>
        <x:v>2</x:v>
      </x:c>
      <x:c r="K57" s="85" t="n">
        <x:f>IF(OR(H57="",I57=""),"",NETWORKDAYS(H57,I57,'Sources &amp; Change Log'!$J$2:$J$5)-COUNTIFS('Team Calendar'!$A$5:$A$12,L57,'Team Calendar'!$C$5:$C$12,"&gt;="&amp;H57,'Team Calendar'!$C$5:$C$12,"&lt;="&amp;I57,'Team Calendar'!$F$5:$F$12,"Personal absence"))</x:f>
        <x:v>2</x:v>
      </x:c>
      <x:c r="L57" s="83" t="str">
        <x:v>이재환</x:v>
      </x:c>
      <x:c r="M57" s="83" t="str">
        <x:v>이하영, 이권욱</x:v>
      </x:c>
      <x:c r="N57" s="83" t="str">
        <x:v>D03; D04; D18; D28; D34; D35; DEC-P1-FDS-01</x:v>
      </x:c>
      <x:c r="O57" s="83" t="str">
        <x:v>현행 정의 연결 대기. v1.0 인용: RISK-05; RISK-07; RISK-09 — 본 종결의 위험 승인 근거로 사용하지 않음</x:v>
      </x:c>
      <x:c r="P57" s="83" t="str">
        <x:v>기존 계약 유지 선택, 신규 상태/API·Migration 변경 유예, #4/#6과 정책·표현 소유권 및 기존 구현 정합성 후속 기록</x:v>
      </x:c>
      <x:c r="Q57" s="83" t="str">
        <x:v>현행 유지·신규 기능 확대 유예 결정 Done. v18 편입 이력을 유지한다. 현재 발행 정본은 v3.1.18이며 본 자료는 v19 후보이다. 신규 기능 G2 편입·Runtime 승인은 아니다.</x:v>
      </x:c>
      <x:c r="R57" s="83" t="str">
        <x:v>https://github.com/321Team/fds-project-baseline/issues/5</x:v>
      </x:c>
      <x:c r="S57" s="83" t="str">
        <x:f>IF(G57="Done","Done",IF(I57="","End TBD",IF(I57&lt;'Executive Summary'!$B$4,"Overdue",IF(H57&gt;'Executive Summary'!$B$4,"Upcoming","Active window"))))</x:f>
        <x:v>Done</x:v>
      </x:c>
    </x:row>
    <x:row r="58" ht="64" customHeight="1">
      <x:c r="A58" s="83" t="str">
        <x:v>DEC-P1-ADMIN-01</x:v>
      </x:c>
      <x:c r="B58" s="83" t="str">
        <x:v>보안 시연 범위·테스트 전제·조건부 운영 통제 결정</x:v>
      </x:c>
      <x:c r="C58" s="83" t="str">
        <x:v>Phase 1</x:v>
      </x:c>
      <x:c r="D58" s="83" t="str">
        <x:v>Application Security / Demonstration / Governance</x:v>
      </x:c>
      <x:c r="E58" s="83" t="str">
        <x:v>Decision</x:v>
      </x:c>
      <x:c r="F58" s="83" t="str">
        <x:v>P0</x:v>
      </x:c>
      <x:c r="G58" s="83" t="str">
        <x:v>Done</x:v>
      </x:c>
      <x:c r="H58" s="84" t="n">
        <x:v>46273</x:v>
      </x:c>
      <x:c r="I58" s="84" t="n">
        <x:v>46274</x:v>
      </x:c>
      <x:c r="J58" s="85" t="n">
        <x:f>IF(OR(H58="",I58=""),"",I58-H58+1)</x:f>
        <x:v>2</x:v>
      </x:c>
      <x:c r="K58" s="85" t="n">
        <x:f>IF(OR(H58="",I58=""),"",NETWORKDAYS(H58,I58,'Sources &amp; Change Log'!$J$2:$J$5)-COUNTIFS('Team Calendar'!$A$5:$A$12,L58,'Team Calendar'!$C$5:$C$12,"&gt;="&amp;H58,'Team Calendar'!$C$5:$C$12,"&lt;="&amp;I58,'Team Calendar'!$F$5:$F$12,"Personal absence"))</x:f>
        <x:v>1</x:v>
      </x:c>
      <x:c r="L58" s="83" t="str">
        <x:v>이하영</x:v>
      </x:c>
      <x:c r="M58" s="83" t="str">
        <x:v>이권욱, 이재환</x:v>
      </x:c>
      <x:c r="N58" s="83" t="str">
        <x:v>D03; D12; D17; D18; D19; D28; D33; D34; D35; DEC-P1-FDS-01; DEC-P1-TXN-01; OID-01</x:v>
      </x:c>
      <x:c r="O58" s="83" t="str">
        <x:v>현행 정의 연결 대기. v1.0 인용: RISK-05; RISK-06; RISK-07; RISK-08; RISK-09 — 본 종결의 위험 승인 근거로 사용하지 않음</x:v>
      </x:c>
      <x:c r="P58" s="83" t="str">
        <x:v>프론트엔드 배치 제외, 합성 데이터·최소 노출 원칙, 5개 검토 축 적용/유예, 기존 접근 통제 재사용 및 후속 시나리오 인계 기록</x:v>
      </x:c>
      <x:c r="Q58" s="83" t="str">
        <x:v>현행 유지·신규 기능 확대 유예 결정 Done. v18 편입 이력을 유지한다. 현재 발행 정본은 v3.1.18이며 본 자료는 v19 후보이다. 신규 기능 G2 편입·Runtime 승인은 아니다.</x:v>
      </x:c>
      <x:c r="R58" s="83" t="str">
        <x:v>https://github.com/321Team/fds-project-baseline/issues/6</x:v>
      </x:c>
      <x:c r="S58" s="83" t="str">
        <x:f>IF(G58="Done","Done",IF(I58="","End TBD",IF(I58&lt;'Executive Summary'!$B$4,"Overdue",IF(H58&gt;'Executive Summary'!$B$4,"Upcoming","Active window"))))</x:f>
        <x:v>Done</x:v>
      </x:c>
    </x:row>
    <x:row r="59" ht="60" customHeight="1">
      <x:c r="A59" s="148" t="str">
        <x:v>CR-P1-MON-01-01</x:v>
      </x:c>
      <x:c r="B59" s="148" t="str">
        <x:v>Alertmanager Egress 프록시 서버 구성</x:v>
      </x:c>
      <x:c r="C59" s="148" t="str">
        <x:v>Phase 1</x:v>
      </x:c>
      <x:c r="D59" s="148" t="str">
        <x:v>Monitoring / Alerting Egress Change Control</x:v>
      </x:c>
      <x:c r="E59" s="148" t="str">
        <x:v>Change Request</x:v>
      </x:c>
      <x:c r="F59" s="148" t="str">
        <x:v>P1</x:v>
      </x:c>
      <x:c r="G59" s="148" t="str">
        <x:v>In Progress</x:v>
      </x:c>
      <x:c r="H59" s="149" t="n">
        <x:v>46276</x:v>
      </x:c>
      <x:c r="I59" s="149"/>
      <x:c r="J59" s="150" t="str">
        <x:f>IF(OR(H59="",I59=""),"",I59-H59+1)</x:f>
      </x:c>
      <x:c r="K59" s="150" t="str">
        <x:f>IF(OR(H59="",I59=""),"",NETWORKDAYS(H59,I59,'Sources &amp; Change Log'!$J$2:$J$5)-COUNTIFS('Team Calendar'!$A$5:$A$12,L59,'Team Calendar'!$C$5:$C$12,"&gt;="&amp;H59,'Team Calendar'!$C$5:$C$12,"&lt;="&amp;I59,'Team Calendar'!$F$5:$F$12,"Personal absence"))</x:f>
      </x:c>
      <x:c r="L59" s="148" t="str">
        <x:v>이하영</x:v>
      </x:c>
      <x:c r="M59" s="148" t="str">
        <x:v>이재환</x:v>
      </x:c>
      <x:c r="N59" s="148" t="str">
        <x:v>D17; D33; D34; D35 — 현행 영향 기준. 신규 CR 승인·신규 D-ID/Interface ID는 미확정</x:v>
      </x:c>
      <x:c r="O59" s="148" t="str">
        <x:v>RISK-04; RISK-07</x:v>
      </x:c>
      <x:c r="P59" s="148" t="str">
        <x:v>discord.com 아웃바운드 확인, 프록시 전용 VM 확정, Squid/Nginx 구성 및 discord.com allowlist 적용, 고정 IP·포트를 [Issue B(#75)](https://github.com/321Team/fds-project-baseline/issues/75)에 전달</x:v>
      </x:c>
      <x:c r="Q59" s="148" t="str">
        <x:v>Lead 이하영·Support 이재환, Start 2026-09-11·End TBD. 프록시 배치와 고정 scheme/host/IP/port를 확정하여 #75에 인계한다. 종료일은 후속 계획에서 확정한다. 교육장 주말 작업은 배정하지 않는다. G2는 추적용 분류이며 기존 P0/G2 Acceptance에 필수 조건을 자동 추가하지 않는다.</x:v>
      </x:c>
      <x:c r="R59" s="148" t="str">
        <x:v>https://github.com/321Team/fds-project-baseline/issues/74</x:v>
      </x:c>
      <x:c r="S59" s="148" t="str">
        <x:f>IF(G59="Done","Done",IF(I59="","End TBD",IF(I59&lt;'Executive Summary'!$B$4,"Overdue",IF(H59&gt;'Executive Summary'!$B$4,"Upcoming","Active window"))))</x:f>
        <x:v>End TBD</x:v>
      </x:c>
    </x:row>
    <x:row r="60" ht="60" customHeight="1">
      <x:c r="A60" s="148" t="str">
        <x:v>CR-P1-MON-01-02</x:v>
      </x:c>
      <x:c r="B60" s="148" t="str">
        <x:v>Alertmanager Egress Kubernetes 보안 설정 (NetworkPolicy)</x:v>
      </x:c>
      <x:c r="C60" s="148" t="str">
        <x:v>Phase 1</x:v>
      </x:c>
      <x:c r="D60" s="148" t="str">
        <x:v>Monitoring / Alerting Egress Change Control</x:v>
      </x:c>
      <x:c r="E60" s="148" t="str">
        <x:v>Change Request</x:v>
      </x:c>
      <x:c r="F60" s="148" t="str">
        <x:v>P1</x:v>
      </x:c>
      <x:c r="G60" s="148" t="str">
        <x:v>In Progress</x:v>
      </x:c>
      <x:c r="H60" s="149"/>
      <x:c r="I60" s="149"/>
      <x:c r="J60" s="150" t="str">
        <x:f>IF(OR(H60="",I60=""),"",I60-H60+1)</x:f>
      </x:c>
      <x:c r="K60" s="150" t="str">
        <x:f>IF(OR(H60="",I60=""),"",NETWORKDAYS(H60,I60,'Sources &amp; Change Log'!$J$2:$J$5)-COUNTIFS('Team Calendar'!$A$5:$A$12,L60,'Team Calendar'!$C$5:$C$12,"&gt;="&amp;H60,'Team Calendar'!$C$5:$C$12,"&lt;="&amp;I60,'Team Calendar'!$F$5:$F$12,"Personal absence"))</x:f>
      </x:c>
      <x:c r="L60" s="148" t="str">
        <x:v>이하영</x:v>
      </x:c>
      <x:c r="M60" s="148" t="str">
        <x:v>이재환</x:v>
      </x:c>
      <x:c r="N60" s="148" t="str">
        <x:v>D17; D33; D34; D35 — 현행 영향 기준. 신규 CR 승인·신규 D-ID/Interface ID는 미확정</x:v>
      </x:c>
      <x:c r="O60" s="148" t="str">
        <x:v>RISK-04; RISK-07</x:v>
      </x:c>
      <x:c r="P60" s="148" t="str">
        <x:v>Alertmanager 전용 NetworkPolicy(Egress) 작성·적용, podSelector 라벨 확정, Secret 주입·회전·폐기 절차 확정, 검증(허용/차단/알림 전송) 완료 및 Support Review 완료</x:v>
      </x:c>
      <x:c r="Q60" s="148" t="str">
        <x:v>Lead 이하영·Support 이재환. #74의 프록시 서버 구성 완료와 고정 proxy endpoint 인계가 선행조건이므로 Start/End는 TBD다. 인계 후 실제 selector·Secret·정책·시험에 반영한다. 초안 준비는 병행 가능하며 착수일 확정으로 간주하지 않는다. 교육장 주말 작업은 배정하지 않는다. G2는 추적용 분류이며 기존 P0/G2 Acceptance에 필수 조건을 자동 추가하지 않는다.</x:v>
      </x:c>
      <x:c r="R60" s="148" t="str">
        <x:v>https://github.com/321Team/fds-project-baseline/issues/75</x:v>
      </x:c>
      <x:c r="S60" s="148" t="str">
        <x:f>IF(G60="Done","Done",IF(I60="","End TBD",IF(I60&lt;'Executive Summary'!$B$4,"Overdue",IF(H60&gt;'Executive Summary'!$B$4,"Upcoming","Active window"))))</x:f>
        <x:v>End TBD</x:v>
      </x:c>
    </x:row>
    <x:row r="61" ht="60" customHeight="1">
      <x:c r="A61" s="148" t="str">
        <x:v>DEC-P1-EGRESS-01</x:v>
      </x:c>
      <x:c r="B61" s="148" t="str">
        <x:v>Alertmanager 전용 프록시 배치·예약 IP 사용 결정</x:v>
      </x:c>
      <x:c r="C61" s="148" t="str">
        <x:v>Phase 1</x:v>
      </x:c>
      <x:c r="D61" s="148" t="str">
        <x:v>Monitoring / Architecture / Egress</x:v>
      </x:c>
      <x:c r="E61" s="148" t="str">
        <x:v>Decision</x:v>
      </x:c>
      <x:c r="F61" s="148" t="str">
        <x:v>P1</x:v>
      </x:c>
      <x:c r="G61" s="148" t="str">
        <x:v>Done</x:v>
      </x:c>
      <x:c r="H61" s="149" t="n">
        <x:v>46279</x:v>
      </x:c>
      <x:c r="I61" s="149" t="n">
        <x:v>46286</x:v>
      </x:c>
      <x:c r="J61" s="150" t="n">
        <x:f>IF(OR(H61="",I61=""),"",I61-H61+1)</x:f>
        <x:v>8</x:v>
      </x:c>
      <x:c r="K61" s="150" t="n">
        <x:f>IF(OR(H61="",I61=""),"",NETWORKDAYS(H61,I61,'Sources &amp; Change Log'!$J$2:$J$5)-COUNTIFS('Team Calendar'!$A$5:$A$12,L61,'Team Calendar'!$C$5:$C$12,"&gt;="&amp;H61,'Team Calendar'!$C$5:$C$12,"&lt;="&amp;I61,'Team Calendar'!$F$5:$F$12,"Personal absence"))</x:f>
        <x:v>6</x:v>
      </x:c>
      <x:c r="L61" s="148" t="str">
        <x:v>이권욱</x:v>
      </x:c>
      <x:c r="M61" s="148" t="str">
        <x:v>이하영, 이재환</x:v>
      </x:c>
      <x:c r="N61" s="148" t="str">
        <x:v>D17; D33; D34; D35 — 기존 의미 유지. 신규 D/IF 순번은 정본 레지스터 대조 후 부여</x:v>
      </x:c>
      <x:c r="O61" s="148" t="str">
        <x:v>RISK-04; RISK-07</x:v>
      </x:c>
      <x:c r="P61" s="148" t="str">
        <x:v>배치·예외 정책 기록, 예약 IP/자산 충돌 확인, 자원 영향 검토, #74/#75 구현·인계 조건 연결</x:v>
      </x:c>
      <x:c r="Q61" s="148" t="str">
        <x:v>Decision 범위 종결. 초기 계획 End 2026-09-21은 G2 추적 목표로 보존한다. 배치·정책·예약 IP/자산·자원 영향·#74/#75 구현/인계 조건 확정이 완료되어 2026-09-16 Done 처리한다. #74/#75의 Squid/NetworkPolicy Runtime·독립 리뷰·서비스 인수는 계속 별도 추적하며 본 종결로 완료 처리하지 않는다. 교육장 주말 작업 0 원칙 유지.</x:v>
      </x:c>
      <x:c r="R61" s="148" t="str">
        <x:v>https://github.com/321Team/fds-project-baseline/issues/78</x:v>
      </x:c>
      <x:c r="S61" s="148" t="str">
        <x:f>IF(G61="Done","Done",IF(I61="","End TBD",IF(I61&lt;'Executive Summary'!$B$4,"Overdue",IF(H61&gt;'Executive Summary'!$B$4,"Upcoming","Active window"))))</x:f>
        <x:v>Done</x:v>
      </x:c>
    </x:row>
  </x:sheetData>
  <x:mergeCells>
    <x:mergeCell ref="A1:S1"/>
  </x:mergeCells>
  <x:conditionalFormatting sqref="G4:G54">
    <x:cfRule type="containsText" dxfId="0" priority="1" operator="containsText" text="Done"/>
    <x:cfRule type="containsText" dxfId="1" priority="2" operator="containsText" text="In Progress"/>
    <x:cfRule type="containsText" dxfId="2" priority="3" operator="containsText" text="In Review"/>
    <x:cfRule type="containsText" dxfId="3" priority="4" operator="containsText" text="Blocked"/>
  </x:conditionalFormatting>
  <x:conditionalFormatting sqref="S4:S54">
    <x:cfRule type="containsText" dxfId="4" priority="5" operator="containsText" text="Overdue"/>
    <x:cfRule type="containsText" dxfId="5" priority="6" operator="containsText" text="End TBD"/>
  </x:conditionalFormatting>
  <x:conditionalFormatting sqref="G55:G58">
    <x:cfRule type="containsText" dxfId="23" priority="7" operator="containsText" text="Done"/>
    <x:cfRule type="containsText" dxfId="24" priority="8" operator="containsText" text="In Progress"/>
    <x:cfRule type="containsText" dxfId="25" priority="9" operator="containsText" text="In Review"/>
    <x:cfRule type="containsText" dxfId="26" priority="10" operator="containsText" text="Blocked"/>
  </x:conditionalFormatting>
  <x:conditionalFormatting sqref="S55:S58">
    <x:cfRule type="containsText" dxfId="27" priority="11" operator="containsText" text="Overdue"/>
    <x:cfRule type="containsText" dxfId="28" priority="12" operator="containsText" text="End TBD"/>
  </x:conditionalFormatting>
  <x:conditionalFormatting sqref="G59:G61">
    <x:cfRule type="containsText" dxfId="40" priority="13" operator="containsText" text="Done"/>
    <x:cfRule type="containsText" dxfId="41" priority="14" operator="containsText" text="In Progress"/>
  </x:conditionalFormatting>
  <x:dataValidations count="5">
    <x:dataValidation type="list" sqref="G4:G54">
      <x:formula1>"To Do,In Progress,In Review,Blocked,Done"</x:formula1>
    </x:dataValidation>
    <x:dataValidation type="list" sqref="F4:F54">
      <x:formula1>"P0,P1,P2"</x:formula1>
    </x:dataValidation>
    <x:dataValidation type="list" sqref="G55:G58">
      <x:formula1>"To Do,In Progress,In Review,Blocked,Done"</x:formula1>
    </x:dataValidation>
    <x:dataValidation type="list" sqref="F55:F58">
      <x:formula1>"P0,P1,P2"</x:formula1>
    </x:dataValidation>
    <x:dataValidation type="list" sqref="F59:F6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29d88d539946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3" hidden="0" customWidth="1"/>
    <x:col min="5" max="5" width="13" hidden="0" customWidth="1"/>
    <x:col min="6" max="6" width="14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  <x:col min="30" max="30" width="5.5" hidden="0" customWidth="1"/>
    <x:col min="31" max="31" width="5.5" hidden="0" customWidth="1"/>
    <x:col min="32" max="32" width="5.5" hidden="0" customWidth="1"/>
    <x:col min="33" max="33" width="5.5" hidden="0" customWidth="1"/>
    <x:col min="34" max="34" width="5.5" hidden="0" customWidth="1"/>
    <x:col min="35" max="35" width="5.5" hidden="0" customWidth="1"/>
  </x:cols>
  <x:sheetData>
    <x:row r="1" ht="34" customHeight="1">
      <x:c r="A1" s="79" t="str">
        <x:v>FDS v3.1.19 · Phase 1 Gantt (CANDIDATE)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  <x:c r="AA1" s="79"/>
      <x:c r="AB1" s="79"/>
      <x:c r="AC1" s="79"/>
      <x:c r="AD1" s="79"/>
      <x:c r="AE1" s="79"/>
      <x:c r="AF1" s="79"/>
      <x:c r="AG1" s="79"/>
      <x:c r="AH1" s="79"/>
      <x:c r="AI1" s="79"/>
    </x:row>
    <x:row r="2">
      <x:c r="A2" s="21" t="str">
        <x:v>계획은 유연한 목표. 색상/막대는 예정 창이며 Runtime 완료율이 아님.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  <x:c r="AE2" s="21"/>
      <x:c r="AF2" s="21"/>
      <x:c r="AG2" s="21"/>
      <x:c r="AH2" s="21"/>
      <x:c r="AI2" s="21"/>
    </x:row>
    <x:row r="3">
      <x:c r="A3" t="str">
        <x:v>Bars = Lead available weekdays within plan window; weekend/holiday/Lead absence excluded. Support allocations: Fast Track Plan.</x:v>
      </x:c>
    </x:row>
    <x:row r="4">
      <x:c r="A4" s="9" t="str">
        <x:v>WBS ID</x:v>
      </x:c>
      <x:c r="B4" s="9" t="str">
        <x:v>Work Item</x:v>
      </x:c>
      <x:c r="C4" s="9" t="str">
        <x:v>Status</x:v>
      </x:c>
      <x:c r="D4" s="9" t="str">
        <x:v>Start</x:v>
      </x:c>
      <x:c r="E4" s="9" t="str">
        <x:v>End</x:v>
      </x:c>
      <x:c r="F4" s="9" t="str">
        <x:v>Lead</x:v>
      </x:c>
      <x:c r="G4" s="22" t="n">
        <x:v>46260</x:v>
      </x:c>
      <x:c r="H4" s="22" t="n">
        <x:v>46261</x:v>
      </x:c>
      <x:c r="I4" s="22" t="n">
        <x:v>46262</x:v>
      </x:c>
      <x:c r="J4" s="109" t="n">
        <x:v>46263</x:v>
      </x:c>
      <x:c r="K4" s="109" t="n">
        <x:v>46264</x:v>
      </x:c>
      <x:c r="L4" s="22" t="n">
        <x:v>46265</x:v>
      </x:c>
      <x:c r="M4" s="26" t="n">
        <x:v>46266</x:v>
      </x:c>
      <x:c r="N4" s="22" t="n">
        <x:v>46267</x:v>
      </x:c>
      <x:c r="O4" s="22" t="n">
        <x:v>46268</x:v>
      </x:c>
      <x:c r="P4" s="22" t="n">
        <x:v>46269</x:v>
      </x:c>
      <x:c r="Q4" s="109" t="n">
        <x:v>46270</x:v>
      </x:c>
      <x:c r="R4" s="109" t="n">
        <x:v>46271</x:v>
      </x:c>
      <x:c r="S4" s="22" t="n">
        <x:v>46272</x:v>
      </x:c>
      <x:c r="T4" s="22" t="n">
        <x:v>46273</x:v>
      </x:c>
      <x:c r="U4" s="22" t="n">
        <x:v>46274</x:v>
      </x:c>
      <x:c r="V4" s="22" t="n">
        <x:v>46275</x:v>
      </x:c>
      <x:c r="W4" s="22" t="n">
        <x:v>46276</x:v>
      </x:c>
      <x:c r="X4" s="109" t="n">
        <x:v>46277</x:v>
      </x:c>
      <x:c r="Y4" s="109" t="n">
        <x:v>46278</x:v>
      </x:c>
      <x:c r="Z4" s="22" t="n">
        <x:v>46279</x:v>
      </x:c>
      <x:c r="AA4" s="22" t="n">
        <x:v>46280</x:v>
      </x:c>
      <x:c r="AB4" s="22" t="n">
        <x:v>46281</x:v>
      </x:c>
      <x:c r="AC4" s="22" t="n">
        <x:v>46282</x:v>
      </x:c>
      <x:c r="AD4" s="22" t="n">
        <x:v>46283</x:v>
      </x:c>
      <x:c r="AE4" s="109" t="n">
        <x:v>46284</x:v>
      </x:c>
      <x:c r="AF4" s="109" t="n">
        <x:v>46285</x:v>
      </x:c>
      <x:c r="AG4" s="22" t="n">
        <x:v>46286</x:v>
      </x:c>
      <x:c r="AH4" s="22" t="n">
        <x:v>46287</x:v>
      </x:c>
      <x:c r="AI4" s="22" t="n">
        <x:v>46288</x:v>
      </x:c>
    </x:row>
    <x:row r="5" ht="24" customHeight="1">
      <x:c r="A5" s="13" t="str">
        <x:f>WBS!A4</x:f>
        <x:v>D-SEC-01</x:v>
      </x:c>
      <x:c r="B5" s="13" t="str">
        <x:f>WBS!B4</x:f>
        <x:v>Security Design Scope / Approval Review</x:v>
      </x:c>
      <x:c r="C5" s="13" t="str">
        <x:f>WBS!G4</x:f>
        <x:v>Done</x:v>
      </x:c>
      <x:c r="D5" s="86" t="n">
        <x:f>IF(WBS!H4="","",WBS!H4)</x:f>
        <x:v>46260</x:v>
      </x:c>
      <x:c r="E5" s="86" t="n">
        <x:f>IF(WBS!I4="","",WBS!I4)</x:f>
        <x:v>46266</x:v>
      </x:c>
      <x:c r="F5" s="13" t="str">
        <x:f>WBS!L4</x:f>
        <x:v>이하영</x:v>
      </x:c>
      <x:c r="G5" s="100" t="n">
        <x:f>IF(AND(ISNUMBER($D5),ISNUMBER($E5),G$4&gt;=$D5,G$4&lt;=$E5,WEEKDAY(G$4,2)&lt;=5,COUNTIF('Sources &amp; Change Log'!$J$2:$J$5,G$4)=0,COUNTIFS('Team Calendar'!$A$5:$A$12,$F5,'Team Calendar'!$C$5:$C$12,G$4)=0),1,"")</x:f>
        <x:v>1</x:v>
      </x:c>
      <x:c r="H5" s="100" t="n">
        <x:f>IF(AND(ISNUMBER($D5),ISNUMBER($E5),H$4&gt;=$D5,H$4&lt;=$E5,WEEKDAY(H$4,2)&lt;=5,COUNTIF('Sources &amp; Change Log'!$J$2:$J$5,H$4)=0,COUNTIFS('Team Calendar'!$A$5:$A$12,$F5,'Team Calendar'!$C$5:$C$12,H$4)=0),1,"")</x:f>
        <x:v>1</x:v>
      </x:c>
      <x:c r="I5" s="100" t="str">
        <x:f>IF(AND(ISNUMBER($D5),ISNUMBER($E5),I$4&gt;=$D5,I$4&lt;=$E5,WEEKDAY(I$4,2)&lt;=5,COUNTIF('Sources &amp; Change Log'!$J$2:$J$5,I$4)=0,COUNTIFS('Team Calendar'!$A$5:$A$12,$F5,'Team Calendar'!$C$5:$C$12,I$4)=0),1,"")</x:f>
      </x:c>
      <x:c r="J5" s="107" t="str">
        <x:f>IF(AND(ISNUMBER($D5),ISNUMBER($E5),J$4&gt;=$D5,J$4&lt;=$E5,WEEKDAY(J$4,2)&lt;=5,COUNTIF('Sources &amp; Change Log'!$J$2:$J$5,J$4)=0,COUNTIFS('Team Calendar'!$A$5:$A$12,$F5,'Team Calendar'!$C$5:$C$12,J$4)=0),1,"")</x:f>
      </x:c>
      <x:c r="K5" s="107" t="str">
        <x:f>IF(AND(ISNUMBER($D5),ISNUMBER($E5),K$4&gt;=$D5,K$4&lt;=$E5,WEEKDAY(K$4,2)&lt;=5,COUNTIF('Sources &amp; Change Log'!$J$2:$J$5,K$4)=0,COUNTIFS('Team Calendar'!$A$5:$A$12,$F5,'Team Calendar'!$C$5:$C$12,K$4)=0),1,"")</x:f>
      </x:c>
      <x:c r="L5" s="100" t="n">
        <x:f>IF(AND(ISNUMBER($D5),ISNUMBER($E5),L$4&gt;=$D5,L$4&lt;=$E5,WEEKDAY(L$4,2)&lt;=5,COUNTIF('Sources &amp; Change Log'!$J$2:$J$5,L$4)=0,COUNTIFS('Team Calendar'!$A$5:$A$12,$F5,'Team Calendar'!$C$5:$C$12,L$4)=0),1,"")</x:f>
        <x:v>1</x:v>
      </x:c>
      <x:c r="M5" s="101" t="n">
        <x:f>IF(AND(ISNUMBER($D5),ISNUMBER($E5),M$4&gt;=$D5,M$4&lt;=$E5,WEEKDAY(M$4,2)&lt;=5,COUNTIF('Sources &amp; Change Log'!$J$2:$J$5,M$4)=0,COUNTIFS('Team Calendar'!$A$5:$A$12,$F5,'Team Calendar'!$C$5:$C$12,M$4)=0),1,"")</x:f>
        <x:v>1</x:v>
      </x:c>
      <x:c r="N5" s="100" t="str">
        <x:f>IF(AND(ISNUMBER($D5),ISNUMBER($E5),N$4&gt;=$D5,N$4&lt;=$E5,WEEKDAY(N$4,2)&lt;=5,COUNTIF('Sources &amp; Change Log'!$J$2:$J$5,N$4)=0,COUNTIFS('Team Calendar'!$A$5:$A$12,$F5,'Team Calendar'!$C$5:$C$12,N$4)=0),1,"")</x:f>
      </x:c>
      <x:c r="O5" s="100" t="str">
        <x:f>IF(AND(ISNUMBER($D5),ISNUMBER($E5),O$4&gt;=$D5,O$4&lt;=$E5,WEEKDAY(O$4,2)&lt;=5,COUNTIF('Sources &amp; Change Log'!$J$2:$J$5,O$4)=0,COUNTIFS('Team Calendar'!$A$5:$A$12,$F5,'Team Calendar'!$C$5:$C$12,O$4)=0),1,"")</x:f>
      </x:c>
      <x:c r="P5" s="100" t="str">
        <x:f>IF(AND(ISNUMBER($D5),ISNUMBER($E5),P$4&gt;=$D5,P$4&lt;=$E5,WEEKDAY(P$4,2)&lt;=5,COUNTIF('Sources &amp; Change Log'!$J$2:$J$5,P$4)=0,COUNTIFS('Team Calendar'!$A$5:$A$12,$F5,'Team Calendar'!$C$5:$C$12,P$4)=0),1,"")</x:f>
      </x:c>
      <x:c r="Q5" s="107" t="str">
        <x:f>IF(AND(ISNUMBER($D5),ISNUMBER($E5),Q$4&gt;=$D5,Q$4&lt;=$E5,WEEKDAY(Q$4,2)&lt;=5,COUNTIF('Sources &amp; Change Log'!$J$2:$J$5,Q$4)=0,COUNTIFS('Team Calendar'!$A$5:$A$12,$F5,'Team Calendar'!$C$5:$C$12,Q$4)=0),1,"")</x:f>
      </x:c>
      <x:c r="R5" s="107" t="str">
        <x:f>IF(AND(ISNUMBER($D5),ISNUMBER($E5),R$4&gt;=$D5,R$4&lt;=$E5,WEEKDAY(R$4,2)&lt;=5,COUNTIF('Sources &amp; Change Log'!$J$2:$J$5,R$4)=0,COUNTIFS('Team Calendar'!$A$5:$A$12,$F5,'Team Calendar'!$C$5:$C$12,R$4)=0),1,"")</x:f>
      </x:c>
      <x:c r="S5" s="100" t="str">
        <x:f>IF(AND(ISNUMBER($D5),ISNUMBER($E5),S$4&gt;=$D5,S$4&lt;=$E5,WEEKDAY(S$4,2)&lt;=5,COUNTIF('Sources &amp; Change Log'!$J$2:$J$5,S$4)=0,COUNTIFS('Team Calendar'!$A$5:$A$12,$F5,'Team Calendar'!$C$5:$C$12,S$4)=0),1,"")</x:f>
      </x:c>
      <x:c r="T5" s="100" t="str">
        <x:f>IF(AND(ISNUMBER($D5),ISNUMBER($E5),T$4&gt;=$D5,T$4&lt;=$E5,WEEKDAY(T$4,2)&lt;=5,COUNTIF('Sources &amp; Change Log'!$J$2:$J$5,T$4)=0,COUNTIFS('Team Calendar'!$A$5:$A$12,$F5,'Team Calendar'!$C$5:$C$12,T$4)=0),1,"")</x:f>
      </x:c>
      <x:c r="U5" s="100" t="str">
        <x:f>IF(AND(ISNUMBER($D5),ISNUMBER($E5),U$4&gt;=$D5,U$4&lt;=$E5,WEEKDAY(U$4,2)&lt;=5,COUNTIF('Sources &amp; Change Log'!$J$2:$J$5,U$4)=0,COUNTIFS('Team Calendar'!$A$5:$A$12,$F5,'Team Calendar'!$C$5:$C$12,U$4)=0),1,"")</x:f>
      </x:c>
      <x:c r="V5" s="100" t="str">
        <x:f>IF(AND(ISNUMBER($D5),ISNUMBER($E5),V$4&gt;=$D5,V$4&lt;=$E5,WEEKDAY(V$4,2)&lt;=5,COUNTIF('Sources &amp; Change Log'!$J$2:$J$5,V$4)=0,COUNTIFS('Team Calendar'!$A$5:$A$12,$F5,'Team Calendar'!$C$5:$C$12,V$4)=0),1,"")</x:f>
      </x:c>
      <x:c r="W5" s="100" t="str">
        <x:f>IF(AND(ISNUMBER($D5),ISNUMBER($E5),W$4&gt;=$D5,W$4&lt;=$E5,WEEKDAY(W$4,2)&lt;=5,COUNTIF('Sources &amp; Change Log'!$J$2:$J$5,W$4)=0,COUNTIFS('Team Calendar'!$A$5:$A$12,$F5,'Team Calendar'!$C$5:$C$12,W$4)=0),1,"")</x:f>
      </x:c>
      <x:c r="X5" s="107" t="str">
        <x:f>IF(AND(ISNUMBER($D5),ISNUMBER($E5),X$4&gt;=$D5,X$4&lt;=$E5,WEEKDAY(X$4,2)&lt;=5,COUNTIF('Sources &amp; Change Log'!$J$2:$J$5,X$4)=0,COUNTIFS('Team Calendar'!$A$5:$A$12,$F5,'Team Calendar'!$C$5:$C$12,X$4)=0),1,"")</x:f>
      </x:c>
      <x:c r="Y5" s="107" t="str">
        <x:f>IF(AND(ISNUMBER($D5),ISNUMBER($E5),Y$4&gt;=$D5,Y$4&lt;=$E5,WEEKDAY(Y$4,2)&lt;=5,COUNTIF('Sources &amp; Change Log'!$J$2:$J$5,Y$4)=0,COUNTIFS('Team Calendar'!$A$5:$A$12,$F5,'Team Calendar'!$C$5:$C$12,Y$4)=0),1,"")</x:f>
      </x:c>
      <x:c r="Z5" s="100" t="str">
        <x:f>IF(AND(ISNUMBER($D5),ISNUMBER($E5),Z$4&gt;=$D5,Z$4&lt;=$E5,WEEKDAY(Z$4,2)&lt;=5,COUNTIF('Sources &amp; Change Log'!$J$2:$J$5,Z$4)=0,COUNTIFS('Team Calendar'!$A$5:$A$12,$F5,'Team Calendar'!$C$5:$C$12,Z$4)=0),1,"")</x:f>
      </x:c>
      <x:c r="AA5" s="100" t="str">
        <x:f>IF(AND(ISNUMBER($D5),ISNUMBER($E5),AA$4&gt;=$D5,AA$4&lt;=$E5,WEEKDAY(AA$4,2)&lt;=5,COUNTIF('Sources &amp; Change Log'!$J$2:$J$5,AA$4)=0,COUNTIFS('Team Calendar'!$A$5:$A$12,$F5,'Team Calendar'!$C$5:$C$12,AA$4)=0),1,"")</x:f>
      </x:c>
      <x:c r="AB5" s="100" t="str">
        <x:f>IF(AND(ISNUMBER($D5),ISNUMBER($E5),AB$4&gt;=$D5,AB$4&lt;=$E5,WEEKDAY(AB$4,2)&lt;=5,COUNTIF('Sources &amp; Change Log'!$J$2:$J$5,AB$4)=0,COUNTIFS('Team Calendar'!$A$5:$A$12,$F5,'Team Calendar'!$C$5:$C$12,AB$4)=0),1,"")</x:f>
      </x:c>
      <x:c r="AC5" s="100" t="str">
        <x:f>IF(AND(ISNUMBER($D5),ISNUMBER($E5),AC$4&gt;=$D5,AC$4&lt;=$E5,WEEKDAY(AC$4,2)&lt;=5,COUNTIF('Sources &amp; Change Log'!$J$2:$J$5,AC$4)=0,COUNTIFS('Team Calendar'!$A$5:$A$12,$F5,'Team Calendar'!$C$5:$C$12,AC$4)=0),1,"")</x:f>
      </x:c>
      <x:c r="AD5" s="100" t="str">
        <x:f>IF(AND(ISNUMBER($D5),ISNUMBER($E5),AD$4&gt;=$D5,AD$4&lt;=$E5,WEEKDAY(AD$4,2)&lt;=5,COUNTIF('Sources &amp; Change Log'!$J$2:$J$5,AD$4)=0,COUNTIFS('Team Calendar'!$A$5:$A$12,$F5,'Team Calendar'!$C$5:$C$12,AD$4)=0),1,"")</x:f>
      </x:c>
      <x:c r="AE5" s="107" t="str">
        <x:f>IF(AND(ISNUMBER($D5),ISNUMBER($E5),AE$4&gt;=$D5,AE$4&lt;=$E5,WEEKDAY(AE$4,2)&lt;=5,COUNTIF('Sources &amp; Change Log'!$J$2:$J$5,AE$4)=0,COUNTIFS('Team Calendar'!$A$5:$A$12,$F5,'Team Calendar'!$C$5:$C$12,AE$4)=0),1,"")</x:f>
      </x:c>
      <x:c r="AF5" s="107" t="str">
        <x:f>IF(AND(ISNUMBER($D5),ISNUMBER($E5),AF$4&gt;=$D5,AF$4&lt;=$E5,WEEKDAY(AF$4,2)&lt;=5,COUNTIF('Sources &amp; Change Log'!$J$2:$J$5,AF$4)=0,COUNTIFS('Team Calendar'!$A$5:$A$12,$F5,'Team Calendar'!$C$5:$C$12,AF$4)=0),1,"")</x:f>
      </x:c>
      <x:c r="AG5" s="100" t="str">
        <x:f>IF(AND(ISNUMBER($D5),ISNUMBER($E5),AG$4&gt;=$D5,AG$4&lt;=$E5,WEEKDAY(AG$4,2)&lt;=5,COUNTIF('Sources &amp; Change Log'!$J$2:$J$5,AG$4)=0,COUNTIFS('Team Calendar'!$A$5:$A$12,$F5,'Team Calendar'!$C$5:$C$12,AG$4)=0),1,"")</x:f>
      </x:c>
      <x:c r="AH5" s="100" t="str">
        <x:f>IF(AND(ISNUMBER($D5),ISNUMBER($E5),AH$4&gt;=$D5,AH$4&lt;=$E5,WEEKDAY(AH$4,2)&lt;=5,COUNTIF('Sources &amp; Change Log'!$J$2:$J$5,AH$4)=0,COUNTIFS('Team Calendar'!$A$5:$A$12,$F5,'Team Calendar'!$C$5:$C$12,AH$4)=0),1,"")</x:f>
      </x:c>
      <x:c r="AI5" s="100" t="str">
        <x:f>IF(AND(ISNUMBER($D5),ISNUMBER($E5),AI$4&gt;=$D5,AI$4&lt;=$E5,WEEKDAY(AI$4,2)&lt;=5,COUNTIF('Sources &amp; Change Log'!$J$2:$J$5,AI$4)=0,COUNTIFS('Team Calendar'!$A$5:$A$12,$F5,'Team Calendar'!$C$5:$C$12,AI$4)=0),1,"")</x:f>
      </x:c>
    </x:row>
    <x:row r="6" ht="24" customHeight="1">
      <x:c r="A6" s="13" t="str">
        <x:f>WBS!A5</x:f>
        <x:v>MS-G0-01</x:v>
      </x:c>
      <x:c r="B6" s="13" t="str">
        <x:f>WBS!B5</x:f>
        <x:v>G0 Design Freeze</x:v>
      </x:c>
      <x:c r="C6" s="13" t="str">
        <x:f>WBS!G5</x:f>
        <x:v>Done</x:v>
      </x:c>
      <x:c r="D6" s="86" t="n">
        <x:f>IF(WBS!H5="","",WBS!H5)</x:f>
        <x:v>46260</x:v>
      </x:c>
      <x:c r="E6" s="86" t="n">
        <x:f>IF(WBS!I5="","",WBS!I5)</x:f>
        <x:v>46266</x:v>
      </x:c>
      <x:c r="F6" s="13" t="str">
        <x:f>WBS!L5</x:f>
        <x:v>이권욱</x:v>
      </x:c>
      <x:c r="G6" s="100" t="n">
        <x:f>IF(AND(ISNUMBER($D6),ISNUMBER($E6),G$4&gt;=$D6,G$4&lt;=$E6,WEEKDAY(G$4,2)&lt;=5,COUNTIF('Sources &amp; Change Log'!$J$2:$J$5,G$4)=0,COUNTIFS('Team Calendar'!$A$5:$A$12,$F6,'Team Calendar'!$C$5:$C$12,G$4)=0),1,"")</x:f>
        <x:v>1</x:v>
      </x:c>
      <x:c r="H6" s="100" t="n">
        <x:f>IF(AND(ISNUMBER($D6),ISNUMBER($E6),H$4&gt;=$D6,H$4&lt;=$E6,WEEKDAY(H$4,2)&lt;=5,COUNTIF('Sources &amp; Change Log'!$J$2:$J$5,H$4)=0,COUNTIFS('Team Calendar'!$A$5:$A$12,$F6,'Team Calendar'!$C$5:$C$12,H$4)=0),1,"")</x:f>
        <x:v>1</x:v>
      </x:c>
      <x:c r="I6" s="100" t="n">
        <x:f>IF(AND(ISNUMBER($D6),ISNUMBER($E6),I$4&gt;=$D6,I$4&lt;=$E6,WEEKDAY(I$4,2)&lt;=5,COUNTIF('Sources &amp; Change Log'!$J$2:$J$5,I$4)=0,COUNTIFS('Team Calendar'!$A$5:$A$12,$F6,'Team Calendar'!$C$5:$C$12,I$4)=0),1,"")</x:f>
        <x:v>1</x:v>
      </x:c>
      <x:c r="J6" s="107" t="str">
        <x:f>IF(AND(ISNUMBER($D6),ISNUMBER($E6),J$4&gt;=$D6,J$4&lt;=$E6,WEEKDAY(J$4,2)&lt;=5,COUNTIF('Sources &amp; Change Log'!$J$2:$J$5,J$4)=0,COUNTIFS('Team Calendar'!$A$5:$A$12,$F6,'Team Calendar'!$C$5:$C$12,J$4)=0),1,"")</x:f>
      </x:c>
      <x:c r="K6" s="107" t="str">
        <x:f>IF(AND(ISNUMBER($D6),ISNUMBER($E6),K$4&gt;=$D6,K$4&lt;=$E6,WEEKDAY(K$4,2)&lt;=5,COUNTIF('Sources &amp; Change Log'!$J$2:$J$5,K$4)=0,COUNTIFS('Team Calendar'!$A$5:$A$12,$F6,'Team Calendar'!$C$5:$C$12,K$4)=0),1,"")</x:f>
      </x:c>
      <x:c r="L6" s="100" t="n">
        <x:f>IF(AND(ISNUMBER($D6),ISNUMBER($E6),L$4&gt;=$D6,L$4&lt;=$E6,WEEKDAY(L$4,2)&lt;=5,COUNTIF('Sources &amp; Change Log'!$J$2:$J$5,L$4)=0,COUNTIFS('Team Calendar'!$A$5:$A$12,$F6,'Team Calendar'!$C$5:$C$12,L$4)=0),1,"")</x:f>
        <x:v>1</x:v>
      </x:c>
      <x:c r="M6" s="101" t="n">
        <x:f>IF(AND(ISNUMBER($D6),ISNUMBER($E6),M$4&gt;=$D6,M$4&lt;=$E6,WEEKDAY(M$4,2)&lt;=5,COUNTIF('Sources &amp; Change Log'!$J$2:$J$5,M$4)=0,COUNTIFS('Team Calendar'!$A$5:$A$12,$F6,'Team Calendar'!$C$5:$C$12,M$4)=0),1,"")</x:f>
        <x:v>1</x:v>
      </x:c>
      <x:c r="N6" s="100" t="str">
        <x:f>IF(AND(ISNUMBER($D6),ISNUMBER($E6),N$4&gt;=$D6,N$4&lt;=$E6,WEEKDAY(N$4,2)&lt;=5,COUNTIF('Sources &amp; Change Log'!$J$2:$J$5,N$4)=0,COUNTIFS('Team Calendar'!$A$5:$A$12,$F6,'Team Calendar'!$C$5:$C$12,N$4)=0),1,"")</x:f>
      </x:c>
      <x:c r="O6" s="100" t="str">
        <x:f>IF(AND(ISNUMBER($D6),ISNUMBER($E6),O$4&gt;=$D6,O$4&lt;=$E6,WEEKDAY(O$4,2)&lt;=5,COUNTIF('Sources &amp; Change Log'!$J$2:$J$5,O$4)=0,COUNTIFS('Team Calendar'!$A$5:$A$12,$F6,'Team Calendar'!$C$5:$C$12,O$4)=0),1,"")</x:f>
      </x:c>
      <x:c r="P6" s="100" t="str">
        <x:f>IF(AND(ISNUMBER($D6),ISNUMBER($E6),P$4&gt;=$D6,P$4&lt;=$E6,WEEKDAY(P$4,2)&lt;=5,COUNTIF('Sources &amp; Change Log'!$J$2:$J$5,P$4)=0,COUNTIFS('Team Calendar'!$A$5:$A$12,$F6,'Team Calendar'!$C$5:$C$12,P$4)=0),1,"")</x:f>
      </x:c>
      <x:c r="Q6" s="107" t="str">
        <x:f>IF(AND(ISNUMBER($D6),ISNUMBER($E6),Q$4&gt;=$D6,Q$4&lt;=$E6,WEEKDAY(Q$4,2)&lt;=5,COUNTIF('Sources &amp; Change Log'!$J$2:$J$5,Q$4)=0,COUNTIFS('Team Calendar'!$A$5:$A$12,$F6,'Team Calendar'!$C$5:$C$12,Q$4)=0),1,"")</x:f>
      </x:c>
      <x:c r="R6" s="107" t="str">
        <x:f>IF(AND(ISNUMBER($D6),ISNUMBER($E6),R$4&gt;=$D6,R$4&lt;=$E6,WEEKDAY(R$4,2)&lt;=5,COUNTIF('Sources &amp; Change Log'!$J$2:$J$5,R$4)=0,COUNTIFS('Team Calendar'!$A$5:$A$12,$F6,'Team Calendar'!$C$5:$C$12,R$4)=0),1,"")</x:f>
      </x:c>
      <x:c r="S6" s="100" t="str">
        <x:f>IF(AND(ISNUMBER($D6),ISNUMBER($E6),S$4&gt;=$D6,S$4&lt;=$E6,WEEKDAY(S$4,2)&lt;=5,COUNTIF('Sources &amp; Change Log'!$J$2:$J$5,S$4)=0,COUNTIFS('Team Calendar'!$A$5:$A$12,$F6,'Team Calendar'!$C$5:$C$12,S$4)=0),1,"")</x:f>
      </x:c>
      <x:c r="T6" s="100" t="str">
        <x:f>IF(AND(ISNUMBER($D6),ISNUMBER($E6),T$4&gt;=$D6,T$4&lt;=$E6,WEEKDAY(T$4,2)&lt;=5,COUNTIF('Sources &amp; Change Log'!$J$2:$J$5,T$4)=0,COUNTIFS('Team Calendar'!$A$5:$A$12,$F6,'Team Calendar'!$C$5:$C$12,T$4)=0),1,"")</x:f>
      </x:c>
      <x:c r="U6" s="100" t="str">
        <x:f>IF(AND(ISNUMBER($D6),ISNUMBER($E6),U$4&gt;=$D6,U$4&lt;=$E6,WEEKDAY(U$4,2)&lt;=5,COUNTIF('Sources &amp; Change Log'!$J$2:$J$5,U$4)=0,COUNTIFS('Team Calendar'!$A$5:$A$12,$F6,'Team Calendar'!$C$5:$C$12,U$4)=0),1,"")</x:f>
      </x:c>
      <x:c r="V6" s="100" t="str">
        <x:f>IF(AND(ISNUMBER($D6),ISNUMBER($E6),V$4&gt;=$D6,V$4&lt;=$E6,WEEKDAY(V$4,2)&lt;=5,COUNTIF('Sources &amp; Change Log'!$J$2:$J$5,V$4)=0,COUNTIFS('Team Calendar'!$A$5:$A$12,$F6,'Team Calendar'!$C$5:$C$12,V$4)=0),1,"")</x:f>
      </x:c>
      <x:c r="W6" s="100" t="str">
        <x:f>IF(AND(ISNUMBER($D6),ISNUMBER($E6),W$4&gt;=$D6,W$4&lt;=$E6,WEEKDAY(W$4,2)&lt;=5,COUNTIF('Sources &amp; Change Log'!$J$2:$J$5,W$4)=0,COUNTIFS('Team Calendar'!$A$5:$A$12,$F6,'Team Calendar'!$C$5:$C$12,W$4)=0),1,"")</x:f>
      </x:c>
      <x:c r="X6" s="107" t="str">
        <x:f>IF(AND(ISNUMBER($D6),ISNUMBER($E6),X$4&gt;=$D6,X$4&lt;=$E6,WEEKDAY(X$4,2)&lt;=5,COUNTIF('Sources &amp; Change Log'!$J$2:$J$5,X$4)=0,COUNTIFS('Team Calendar'!$A$5:$A$12,$F6,'Team Calendar'!$C$5:$C$12,X$4)=0),1,"")</x:f>
      </x:c>
      <x:c r="Y6" s="107" t="str">
        <x:f>IF(AND(ISNUMBER($D6),ISNUMBER($E6),Y$4&gt;=$D6,Y$4&lt;=$E6,WEEKDAY(Y$4,2)&lt;=5,COUNTIF('Sources &amp; Change Log'!$J$2:$J$5,Y$4)=0,COUNTIFS('Team Calendar'!$A$5:$A$12,$F6,'Team Calendar'!$C$5:$C$12,Y$4)=0),1,"")</x:f>
      </x:c>
      <x:c r="Z6" s="100" t="str">
        <x:f>IF(AND(ISNUMBER($D6),ISNUMBER($E6),Z$4&gt;=$D6,Z$4&lt;=$E6,WEEKDAY(Z$4,2)&lt;=5,COUNTIF('Sources &amp; Change Log'!$J$2:$J$5,Z$4)=0,COUNTIFS('Team Calendar'!$A$5:$A$12,$F6,'Team Calendar'!$C$5:$C$12,Z$4)=0),1,"")</x:f>
      </x:c>
      <x:c r="AA6" s="100" t="str">
        <x:f>IF(AND(ISNUMBER($D6),ISNUMBER($E6),AA$4&gt;=$D6,AA$4&lt;=$E6,WEEKDAY(AA$4,2)&lt;=5,COUNTIF('Sources &amp; Change Log'!$J$2:$J$5,AA$4)=0,COUNTIFS('Team Calendar'!$A$5:$A$12,$F6,'Team Calendar'!$C$5:$C$12,AA$4)=0),1,"")</x:f>
      </x:c>
      <x:c r="AB6" s="100" t="str">
        <x:f>IF(AND(ISNUMBER($D6),ISNUMBER($E6),AB$4&gt;=$D6,AB$4&lt;=$E6,WEEKDAY(AB$4,2)&lt;=5,COUNTIF('Sources &amp; Change Log'!$J$2:$J$5,AB$4)=0,COUNTIFS('Team Calendar'!$A$5:$A$12,$F6,'Team Calendar'!$C$5:$C$12,AB$4)=0),1,"")</x:f>
      </x:c>
      <x:c r="AC6" s="100" t="str">
        <x:f>IF(AND(ISNUMBER($D6),ISNUMBER($E6),AC$4&gt;=$D6,AC$4&lt;=$E6,WEEKDAY(AC$4,2)&lt;=5,COUNTIF('Sources &amp; Change Log'!$J$2:$J$5,AC$4)=0,COUNTIFS('Team Calendar'!$A$5:$A$12,$F6,'Team Calendar'!$C$5:$C$12,AC$4)=0),1,"")</x:f>
      </x:c>
      <x:c r="AD6" s="100" t="str">
        <x:f>IF(AND(ISNUMBER($D6),ISNUMBER($E6),AD$4&gt;=$D6,AD$4&lt;=$E6,WEEKDAY(AD$4,2)&lt;=5,COUNTIF('Sources &amp; Change Log'!$J$2:$J$5,AD$4)=0,COUNTIFS('Team Calendar'!$A$5:$A$12,$F6,'Team Calendar'!$C$5:$C$12,AD$4)=0),1,"")</x:f>
      </x:c>
      <x:c r="AE6" s="107" t="str">
        <x:f>IF(AND(ISNUMBER($D6),ISNUMBER($E6),AE$4&gt;=$D6,AE$4&lt;=$E6,WEEKDAY(AE$4,2)&lt;=5,COUNTIF('Sources &amp; Change Log'!$J$2:$J$5,AE$4)=0,COUNTIFS('Team Calendar'!$A$5:$A$12,$F6,'Team Calendar'!$C$5:$C$12,AE$4)=0),1,"")</x:f>
      </x:c>
      <x:c r="AF6" s="107" t="str">
        <x:f>IF(AND(ISNUMBER($D6),ISNUMBER($E6),AF$4&gt;=$D6,AF$4&lt;=$E6,WEEKDAY(AF$4,2)&lt;=5,COUNTIF('Sources &amp; Change Log'!$J$2:$J$5,AF$4)=0,COUNTIFS('Team Calendar'!$A$5:$A$12,$F6,'Team Calendar'!$C$5:$C$12,AF$4)=0),1,"")</x:f>
      </x:c>
      <x:c r="AG6" s="100" t="str">
        <x:f>IF(AND(ISNUMBER($D6),ISNUMBER($E6),AG$4&gt;=$D6,AG$4&lt;=$E6,WEEKDAY(AG$4,2)&lt;=5,COUNTIF('Sources &amp; Change Log'!$J$2:$J$5,AG$4)=0,COUNTIFS('Team Calendar'!$A$5:$A$12,$F6,'Team Calendar'!$C$5:$C$12,AG$4)=0),1,"")</x:f>
      </x:c>
      <x:c r="AH6" s="100" t="str">
        <x:f>IF(AND(ISNUMBER($D6),ISNUMBER($E6),AH$4&gt;=$D6,AH$4&lt;=$E6,WEEKDAY(AH$4,2)&lt;=5,COUNTIF('Sources &amp; Change Log'!$J$2:$J$5,AH$4)=0,COUNTIFS('Team Calendar'!$A$5:$A$12,$F6,'Team Calendar'!$C$5:$C$12,AH$4)=0),1,"")</x:f>
      </x:c>
      <x:c r="AI6" s="100" t="str">
        <x:f>IF(AND(ISNUMBER($D6),ISNUMBER($E6),AI$4&gt;=$D6,AI$4&lt;=$E6,WEEKDAY(AI$4,2)&lt;=5,COUNTIF('Sources &amp; Change Log'!$J$2:$J$5,AI$4)=0,COUNTIFS('Team Calendar'!$A$5:$A$12,$F6,'Team Calendar'!$C$5:$C$12,AI$4)=0),1,"")</x:f>
      </x:c>
    </x:row>
    <x:row r="7" ht="24" customHeight="1">
      <x:c r="A7" s="13" t="str">
        <x:f>WBS!A7</x:f>
        <x:v>P1-K8S-01</x:v>
      </x:c>
      <x:c r="B7" s="13" t="str">
        <x:f>WBS!B7</x:f>
        <x:v>kubeadm 3CP + 3Worker / Calico</x:v>
      </x:c>
      <x:c r="C7" s="13" t="str">
        <x:f>WBS!G7</x:f>
        <x:v>In Progress</x:v>
      </x:c>
      <x:c r="D7" s="86" t="n">
        <x:f>IF(WBS!H7="","",WBS!H7)</x:f>
        <x:v>46261</x:v>
      </x:c>
      <x:c r="E7" s="86" t="n">
        <x:f>IF(WBS!I7="","",WBS!I7)</x:f>
        <x:v>46282</x:v>
      </x:c>
      <x:c r="F7" s="13" t="str">
        <x:f>WBS!L7</x:f>
        <x:v>이하영</x:v>
      </x:c>
      <x:c r="G7" s="100" t="str">
        <x:f>IF(AND(ISNUMBER($D7),ISNUMBER($E7),G$4&gt;=$D7,G$4&lt;=$E7,WEEKDAY(G$4,2)&lt;=5,COUNTIF('Sources &amp; Change Log'!$J$2:$J$5,G$4)=0,COUNTIFS('Team Calendar'!$A$5:$A$12,$F7,'Team Calendar'!$C$5:$C$12,G$4)=0),1,"")</x:f>
      </x:c>
      <x:c r="H7" s="100" t="n">
        <x:f>IF(AND(ISNUMBER($D7),ISNUMBER($E7),H$4&gt;=$D7,H$4&lt;=$E7,WEEKDAY(H$4,2)&lt;=5,COUNTIF('Sources &amp; Change Log'!$J$2:$J$5,H$4)=0,COUNTIFS('Team Calendar'!$A$5:$A$12,$F7,'Team Calendar'!$C$5:$C$12,H$4)=0),1,"")</x:f>
        <x:v>1</x:v>
      </x:c>
      <x:c r="I7" s="100" t="str">
        <x:f>IF(AND(ISNUMBER($D7),ISNUMBER($E7),I$4&gt;=$D7,I$4&lt;=$E7,WEEKDAY(I$4,2)&lt;=5,COUNTIF('Sources &amp; Change Log'!$J$2:$J$5,I$4)=0,COUNTIFS('Team Calendar'!$A$5:$A$12,$F7,'Team Calendar'!$C$5:$C$12,I$4)=0),1,"")</x:f>
      </x:c>
      <x:c r="J7" s="107" t="str">
        <x:f>IF(AND(ISNUMBER($D7),ISNUMBER($E7),J$4&gt;=$D7,J$4&lt;=$E7,WEEKDAY(J$4,2)&lt;=5,COUNTIF('Sources &amp; Change Log'!$J$2:$J$5,J$4)=0,COUNTIFS('Team Calendar'!$A$5:$A$12,$F7,'Team Calendar'!$C$5:$C$12,J$4)=0),1,"")</x:f>
      </x:c>
      <x:c r="K7" s="107" t="str">
        <x:f>IF(AND(ISNUMBER($D7),ISNUMBER($E7),K$4&gt;=$D7,K$4&lt;=$E7,WEEKDAY(K$4,2)&lt;=5,COUNTIF('Sources &amp; Change Log'!$J$2:$J$5,K$4)=0,COUNTIFS('Team Calendar'!$A$5:$A$12,$F7,'Team Calendar'!$C$5:$C$12,K$4)=0),1,"")</x:f>
      </x:c>
      <x:c r="L7" s="100" t="n">
        <x:f>IF(AND(ISNUMBER($D7),ISNUMBER($E7),L$4&gt;=$D7,L$4&lt;=$E7,WEEKDAY(L$4,2)&lt;=5,COUNTIF('Sources &amp; Change Log'!$J$2:$J$5,L$4)=0,COUNTIFS('Team Calendar'!$A$5:$A$12,$F7,'Team Calendar'!$C$5:$C$12,L$4)=0),1,"")</x:f>
        <x:v>1</x:v>
      </x:c>
      <x:c r="M7" s="101" t="n">
        <x:f>IF(AND(ISNUMBER($D7),ISNUMBER($E7),M$4&gt;=$D7,M$4&lt;=$E7,WEEKDAY(M$4,2)&lt;=5,COUNTIF('Sources &amp; Change Log'!$J$2:$J$5,M$4)=0,COUNTIFS('Team Calendar'!$A$5:$A$12,$F7,'Team Calendar'!$C$5:$C$12,M$4)=0),1,"")</x:f>
        <x:v>1</x:v>
      </x:c>
      <x:c r="N7" s="100" t="n">
        <x:f>IF(AND(ISNUMBER($D7),ISNUMBER($E7),N$4&gt;=$D7,N$4&lt;=$E7,WEEKDAY(N$4,2)&lt;=5,COUNTIF('Sources &amp; Change Log'!$J$2:$J$5,N$4)=0,COUNTIFS('Team Calendar'!$A$5:$A$12,$F7,'Team Calendar'!$C$5:$C$12,N$4)=0),1,"")</x:f>
        <x:v>1</x:v>
      </x:c>
      <x:c r="O7" s="100" t="n">
        <x:f>IF(AND(ISNUMBER($D7),ISNUMBER($E7),O$4&gt;=$D7,O$4&lt;=$E7,WEEKDAY(O$4,2)&lt;=5,COUNTIF('Sources &amp; Change Log'!$J$2:$J$5,O$4)=0,COUNTIFS('Team Calendar'!$A$5:$A$12,$F7,'Team Calendar'!$C$5:$C$12,O$4)=0),1,"")</x:f>
        <x:v>1</x:v>
      </x:c>
      <x:c r="P7" s="100" t="n">
        <x:f>IF(AND(ISNUMBER($D7),ISNUMBER($E7),P$4&gt;=$D7,P$4&lt;=$E7,WEEKDAY(P$4,2)&lt;=5,COUNTIF('Sources &amp; Change Log'!$J$2:$J$5,P$4)=0,COUNTIFS('Team Calendar'!$A$5:$A$12,$F7,'Team Calendar'!$C$5:$C$12,P$4)=0),1,"")</x:f>
        <x:v>1</x:v>
      </x:c>
      <x:c r="Q7" s="107" t="str">
        <x:f>IF(AND(ISNUMBER($D7),ISNUMBER($E7),Q$4&gt;=$D7,Q$4&lt;=$E7,WEEKDAY(Q$4,2)&lt;=5,COUNTIF('Sources &amp; Change Log'!$J$2:$J$5,Q$4)=0,COUNTIFS('Team Calendar'!$A$5:$A$12,$F7,'Team Calendar'!$C$5:$C$12,Q$4)=0),1,"")</x:f>
      </x:c>
      <x:c r="R7" s="107" t="str">
        <x:f>IF(AND(ISNUMBER($D7),ISNUMBER($E7),R$4&gt;=$D7,R$4&lt;=$E7,WEEKDAY(R$4,2)&lt;=5,COUNTIF('Sources &amp; Change Log'!$J$2:$J$5,R$4)=0,COUNTIFS('Team Calendar'!$A$5:$A$12,$F7,'Team Calendar'!$C$5:$C$12,R$4)=0),1,"")</x:f>
      </x:c>
      <x:c r="S7" s="100" t="n">
        <x:f>IF(AND(ISNUMBER($D7),ISNUMBER($E7),S$4&gt;=$D7,S$4&lt;=$E7,WEEKDAY(S$4,2)&lt;=5,COUNTIF('Sources &amp; Change Log'!$J$2:$J$5,S$4)=0,COUNTIFS('Team Calendar'!$A$5:$A$12,$F7,'Team Calendar'!$C$5:$C$12,S$4)=0),1,"")</x:f>
        <x:v>1</x:v>
      </x:c>
      <x:c r="T7" s="102" t="str">
        <x:f>IF(AND(ISNUMBER($D7),ISNUMBER($E7),T$4&gt;=$D7,T$4&lt;=$E7,WEEKDAY(T$4,2)&lt;=5,COUNTIF('Sources &amp; Change Log'!$J$2:$J$5,T$4)=0,COUNTIFS('Team Calendar'!$A$5:$A$12,$F7,'Team Calendar'!$C$5:$C$12,T$4)=0),1,"")</x:f>
      </x:c>
      <x:c r="U7" s="100" t="n">
        <x:f>IF(AND(ISNUMBER($D7),ISNUMBER($E7),U$4&gt;=$D7,U$4&lt;=$E7,WEEKDAY(U$4,2)&lt;=5,COUNTIF('Sources &amp; Change Log'!$J$2:$J$5,U$4)=0,COUNTIFS('Team Calendar'!$A$5:$A$12,$F7,'Team Calendar'!$C$5:$C$12,U$4)=0),1,"")</x:f>
        <x:v>1</x:v>
      </x:c>
      <x:c r="V7" s="100" t="str">
        <x:f>IF(AND(ISNUMBER($D7),ISNUMBER($E7),V$4&gt;=$D7,V$4&lt;=$E7,WEEKDAY(V$4,2)&lt;=5,COUNTIF('Sources &amp; Change Log'!$J$2:$J$5,V$4)=0,COUNTIFS('Team Calendar'!$A$5:$A$12,$F7,'Team Calendar'!$C$5:$C$12,V$4)=0),1,"")</x:f>
      </x:c>
      <x:c r="W7" s="100" t="n">
        <x:f>IF(AND(ISNUMBER($D7),ISNUMBER($E7),W$4&gt;=$D7,W$4&lt;=$E7,WEEKDAY(W$4,2)&lt;=5,COUNTIF('Sources &amp; Change Log'!$J$2:$J$5,W$4)=0,COUNTIFS('Team Calendar'!$A$5:$A$12,$F7,'Team Calendar'!$C$5:$C$12,W$4)=0),1,"")</x:f>
        <x:v>1</x:v>
      </x:c>
      <x:c r="X7" s="107" t="str">
        <x:f>IF(AND(ISNUMBER($D7),ISNUMBER($E7),X$4&gt;=$D7,X$4&lt;=$E7,WEEKDAY(X$4,2)&lt;=5,COUNTIF('Sources &amp; Change Log'!$J$2:$J$5,X$4)=0,COUNTIFS('Team Calendar'!$A$5:$A$12,$F7,'Team Calendar'!$C$5:$C$12,X$4)=0),1,"")</x:f>
      </x:c>
      <x:c r="Y7" s="107" t="str">
        <x:f>IF(AND(ISNUMBER($D7),ISNUMBER($E7),Y$4&gt;=$D7,Y$4&lt;=$E7,WEEKDAY(Y$4,2)&lt;=5,COUNTIF('Sources &amp; Change Log'!$J$2:$J$5,Y$4)=0,COUNTIFS('Team Calendar'!$A$5:$A$12,$F7,'Team Calendar'!$C$5:$C$12,Y$4)=0),1,"")</x:f>
      </x:c>
      <x:c r="Z7" s="100" t="n">
        <x:f>IF(AND(ISNUMBER($D7),ISNUMBER($E7),Z$4&gt;=$D7,Z$4&lt;=$E7,WEEKDAY(Z$4,2)&lt;=5,COUNTIF('Sources &amp; Change Log'!$J$2:$J$5,Z$4)=0,COUNTIFS('Team Calendar'!$A$5:$A$12,$F7,'Team Calendar'!$C$5:$C$12,Z$4)=0),1,"")</x:f>
        <x:v>1</x:v>
      </x:c>
      <x:c r="AA7" s="100" t="n">
        <x:f>IF(AND(ISNUMBER($D7),ISNUMBER($E7),AA$4&gt;=$D7,AA$4&lt;=$E7,WEEKDAY(AA$4,2)&lt;=5,COUNTIF('Sources &amp; Change Log'!$J$2:$J$5,AA$4)=0,COUNTIFS('Team Calendar'!$A$5:$A$12,$F7,'Team Calendar'!$C$5:$C$12,AA$4)=0),1,"")</x:f>
        <x:v>1</x:v>
      </x:c>
      <x:c r="AB7" s="100" t="n">
        <x:f>IF(AND(ISNUMBER($D7),ISNUMBER($E7),AB$4&gt;=$D7,AB$4&lt;=$E7,WEEKDAY(AB$4,2)&lt;=5,COUNTIF('Sources &amp; Change Log'!$J$2:$J$5,AB$4)=0,COUNTIFS('Team Calendar'!$A$5:$A$12,$F7,'Team Calendar'!$C$5:$C$12,AB$4)=0),1,"")</x:f>
        <x:v>1</x:v>
      </x:c>
      <x:c r="AC7" s="100" t="n">
        <x:f>IF(AND(ISNUMBER($D7),ISNUMBER($E7),AC$4&gt;=$D7,AC$4&lt;=$E7,WEEKDAY(AC$4,2)&lt;=5,COUNTIF('Sources &amp; Change Log'!$J$2:$J$5,AC$4)=0,COUNTIFS('Team Calendar'!$A$5:$A$12,$F7,'Team Calendar'!$C$5:$C$12,AC$4)=0),1,"")</x:f>
        <x:v>1</x:v>
      </x:c>
      <x:c r="AD7" s="100" t="str">
        <x:f>IF(AND(ISNUMBER($D7),ISNUMBER($E7),AD$4&gt;=$D7,AD$4&lt;=$E7,WEEKDAY(AD$4,2)&lt;=5,COUNTIF('Sources &amp; Change Log'!$J$2:$J$5,AD$4)=0,COUNTIFS('Team Calendar'!$A$5:$A$12,$F7,'Team Calendar'!$C$5:$C$12,AD$4)=0),1,"")</x:f>
      </x:c>
      <x:c r="AE7" s="107" t="str">
        <x:f>IF(AND(ISNUMBER($D7),ISNUMBER($E7),AE$4&gt;=$D7,AE$4&lt;=$E7,WEEKDAY(AE$4,2)&lt;=5,COUNTIF('Sources &amp; Change Log'!$J$2:$J$5,AE$4)=0,COUNTIFS('Team Calendar'!$A$5:$A$12,$F7,'Team Calendar'!$C$5:$C$12,AE$4)=0),1,"")</x:f>
      </x:c>
      <x:c r="AF7" s="107" t="str">
        <x:f>IF(AND(ISNUMBER($D7),ISNUMBER($E7),AF$4&gt;=$D7,AF$4&lt;=$E7,WEEKDAY(AF$4,2)&lt;=5,COUNTIF('Sources &amp; Change Log'!$J$2:$J$5,AF$4)=0,COUNTIFS('Team Calendar'!$A$5:$A$12,$F7,'Team Calendar'!$C$5:$C$12,AF$4)=0),1,"")</x:f>
      </x:c>
      <x:c r="AG7" s="100" t="str">
        <x:f>IF(AND(ISNUMBER($D7),ISNUMBER($E7),AG$4&gt;=$D7,AG$4&lt;=$E7,WEEKDAY(AG$4,2)&lt;=5,COUNTIF('Sources &amp; Change Log'!$J$2:$J$5,AG$4)=0,COUNTIFS('Team Calendar'!$A$5:$A$12,$F7,'Team Calendar'!$C$5:$C$12,AG$4)=0),1,"")</x:f>
      </x:c>
      <x:c r="AH7" s="100" t="str">
        <x:f>IF(AND(ISNUMBER($D7),ISNUMBER($E7),AH$4&gt;=$D7,AH$4&lt;=$E7,WEEKDAY(AH$4,2)&lt;=5,COUNTIF('Sources &amp; Change Log'!$J$2:$J$5,AH$4)=0,COUNTIFS('Team Calendar'!$A$5:$A$12,$F7,'Team Calendar'!$C$5:$C$12,AH$4)=0),1,"")</x:f>
      </x:c>
      <x:c r="AI7" s="100" t="str">
        <x:f>IF(AND(ISNUMBER($D7),ISNUMBER($E7),AI$4&gt;=$D7,AI$4&lt;=$E7,WEEKDAY(AI$4,2)&lt;=5,COUNTIF('Sources &amp; Change Log'!$J$2:$J$5,AI$4)=0,COUNTIFS('Team Calendar'!$A$5:$A$12,$F7,'Team Calendar'!$C$5:$C$12,AI$4)=0),1,"")</x:f>
      </x:c>
    </x:row>
    <x:row r="8" ht="24" customHeight="1">
      <x:c r="A8" s="13" t="str">
        <x:f>WBS!A6</x:f>
        <x:v>P1-LB-01</x:v>
      </x:c>
      <x:c r="B8" s="13" t="str">
        <x:f>WBS!B6</x:f>
        <x:v>Kubernetes API Load Balancer</x:v>
      </x:c>
      <x:c r="C8" s="13" t="str">
        <x:f>WBS!G6</x:f>
        <x:v>In Progress</x:v>
      </x:c>
      <x:c r="D8" s="86" t="n">
        <x:f>IF(WBS!H6="","",WBS!H6)</x:f>
        <x:v>46261</x:v>
      </x:c>
      <x:c r="E8" s="86" t="n">
        <x:f>IF(WBS!I6="","",WBS!I6)</x:f>
        <x:v>46282</x:v>
      </x:c>
      <x:c r="F8" s="13" t="str">
        <x:f>WBS!L6</x:f>
        <x:v>이권욱</x:v>
      </x:c>
      <x:c r="G8" s="100" t="str">
        <x:f>IF(AND(ISNUMBER($D8),ISNUMBER($E8),G$4&gt;=$D8,G$4&lt;=$E8,WEEKDAY(G$4,2)&lt;=5,COUNTIF('Sources &amp; Change Log'!$J$2:$J$5,G$4)=0,COUNTIFS('Team Calendar'!$A$5:$A$12,$F8,'Team Calendar'!$C$5:$C$12,G$4)=0),1,"")</x:f>
      </x:c>
      <x:c r="H8" s="100" t="n">
        <x:f>IF(AND(ISNUMBER($D8),ISNUMBER($E8),H$4&gt;=$D8,H$4&lt;=$E8,WEEKDAY(H$4,2)&lt;=5,COUNTIF('Sources &amp; Change Log'!$J$2:$J$5,H$4)=0,COUNTIFS('Team Calendar'!$A$5:$A$12,$F8,'Team Calendar'!$C$5:$C$12,H$4)=0),1,"")</x:f>
        <x:v>1</x:v>
      </x:c>
      <x:c r="I8" s="100" t="n">
        <x:f>IF(AND(ISNUMBER($D8),ISNUMBER($E8),I$4&gt;=$D8,I$4&lt;=$E8,WEEKDAY(I$4,2)&lt;=5,COUNTIF('Sources &amp; Change Log'!$J$2:$J$5,I$4)=0,COUNTIFS('Team Calendar'!$A$5:$A$12,$F8,'Team Calendar'!$C$5:$C$12,I$4)=0),1,"")</x:f>
        <x:v>1</x:v>
      </x:c>
      <x:c r="J8" s="107" t="str">
        <x:f>IF(AND(ISNUMBER($D8),ISNUMBER($E8),J$4&gt;=$D8,J$4&lt;=$E8,WEEKDAY(J$4,2)&lt;=5,COUNTIF('Sources &amp; Change Log'!$J$2:$J$5,J$4)=0,COUNTIFS('Team Calendar'!$A$5:$A$12,$F8,'Team Calendar'!$C$5:$C$12,J$4)=0),1,"")</x:f>
      </x:c>
      <x:c r="K8" s="107" t="str">
        <x:f>IF(AND(ISNUMBER($D8),ISNUMBER($E8),K$4&gt;=$D8,K$4&lt;=$E8,WEEKDAY(K$4,2)&lt;=5,COUNTIF('Sources &amp; Change Log'!$J$2:$J$5,K$4)=0,COUNTIFS('Team Calendar'!$A$5:$A$12,$F8,'Team Calendar'!$C$5:$C$12,K$4)=0),1,"")</x:f>
      </x:c>
      <x:c r="L8" s="100" t="n">
        <x:f>IF(AND(ISNUMBER($D8),ISNUMBER($E8),L$4&gt;=$D8,L$4&lt;=$E8,WEEKDAY(L$4,2)&lt;=5,COUNTIF('Sources &amp; Change Log'!$J$2:$J$5,L$4)=0,COUNTIFS('Team Calendar'!$A$5:$A$12,$F8,'Team Calendar'!$C$5:$C$12,L$4)=0),1,"")</x:f>
        <x:v>1</x:v>
      </x:c>
      <x:c r="M8" s="101" t="n">
        <x:f>IF(AND(ISNUMBER($D8),ISNUMBER($E8),M$4&gt;=$D8,M$4&lt;=$E8,WEEKDAY(M$4,2)&lt;=5,COUNTIF('Sources &amp; Change Log'!$J$2:$J$5,M$4)=0,COUNTIFS('Team Calendar'!$A$5:$A$12,$F8,'Team Calendar'!$C$5:$C$12,M$4)=0),1,"")</x:f>
        <x:v>1</x:v>
      </x:c>
      <x:c r="N8" s="100" t="n">
        <x:f>IF(AND(ISNUMBER($D8),ISNUMBER($E8),N$4&gt;=$D8,N$4&lt;=$E8,WEEKDAY(N$4,2)&lt;=5,COUNTIF('Sources &amp; Change Log'!$J$2:$J$5,N$4)=0,COUNTIFS('Team Calendar'!$A$5:$A$12,$F8,'Team Calendar'!$C$5:$C$12,N$4)=0),1,"")</x:f>
        <x:v>1</x:v>
      </x:c>
      <x:c r="O8" s="100" t="n">
        <x:f>IF(AND(ISNUMBER($D8),ISNUMBER($E8),O$4&gt;=$D8,O$4&lt;=$E8,WEEKDAY(O$4,2)&lt;=5,COUNTIF('Sources &amp; Change Log'!$J$2:$J$5,O$4)=0,COUNTIFS('Team Calendar'!$A$5:$A$12,$F8,'Team Calendar'!$C$5:$C$12,O$4)=0),1,"")</x:f>
        <x:v>1</x:v>
      </x:c>
      <x:c r="P8" s="100" t="n">
        <x:f>IF(AND(ISNUMBER($D8),ISNUMBER($E8),P$4&gt;=$D8,P$4&lt;=$E8,WEEKDAY(P$4,2)&lt;=5,COUNTIF('Sources &amp; Change Log'!$J$2:$J$5,P$4)=0,COUNTIFS('Team Calendar'!$A$5:$A$12,$F8,'Team Calendar'!$C$5:$C$12,P$4)=0),1,"")</x:f>
        <x:v>1</x:v>
      </x:c>
      <x:c r="Q8" s="107" t="str">
        <x:f>IF(AND(ISNUMBER($D8),ISNUMBER($E8),Q$4&gt;=$D8,Q$4&lt;=$E8,WEEKDAY(Q$4,2)&lt;=5,COUNTIF('Sources &amp; Change Log'!$J$2:$J$5,Q$4)=0,COUNTIFS('Team Calendar'!$A$5:$A$12,$F8,'Team Calendar'!$C$5:$C$12,Q$4)=0),1,"")</x:f>
      </x:c>
      <x:c r="R8" s="107" t="str">
        <x:f>IF(AND(ISNUMBER($D8),ISNUMBER($E8),R$4&gt;=$D8,R$4&lt;=$E8,WEEKDAY(R$4,2)&lt;=5,COUNTIF('Sources &amp; Change Log'!$J$2:$J$5,R$4)=0,COUNTIFS('Team Calendar'!$A$5:$A$12,$F8,'Team Calendar'!$C$5:$C$12,R$4)=0),1,"")</x:f>
      </x:c>
      <x:c r="S8" s="100" t="n">
        <x:f>IF(AND(ISNUMBER($D8),ISNUMBER($E8),S$4&gt;=$D8,S$4&lt;=$E8,WEEKDAY(S$4,2)&lt;=5,COUNTIF('Sources &amp; Change Log'!$J$2:$J$5,S$4)=0,COUNTIFS('Team Calendar'!$A$5:$A$12,$F8,'Team Calendar'!$C$5:$C$12,S$4)=0),1,"")</x:f>
        <x:v>1</x:v>
      </x:c>
      <x:c r="T8" s="100" t="n">
        <x:f>IF(AND(ISNUMBER($D8),ISNUMBER($E8),T$4&gt;=$D8,T$4&lt;=$E8,WEEKDAY(T$4,2)&lt;=5,COUNTIF('Sources &amp; Change Log'!$J$2:$J$5,T$4)=0,COUNTIFS('Team Calendar'!$A$5:$A$12,$F8,'Team Calendar'!$C$5:$C$12,T$4)=0),1,"")</x:f>
        <x:v>1</x:v>
      </x:c>
      <x:c r="U8" s="100" t="n">
        <x:f>IF(AND(ISNUMBER($D8),ISNUMBER($E8),U$4&gt;=$D8,U$4&lt;=$E8,WEEKDAY(U$4,2)&lt;=5,COUNTIF('Sources &amp; Change Log'!$J$2:$J$5,U$4)=0,COUNTIFS('Team Calendar'!$A$5:$A$12,$F8,'Team Calendar'!$C$5:$C$12,U$4)=0),1,"")</x:f>
        <x:v>1</x:v>
      </x:c>
      <x:c r="V8" s="100" t="n">
        <x:f>IF(AND(ISNUMBER($D8),ISNUMBER($E8),V$4&gt;=$D8,V$4&lt;=$E8,WEEKDAY(V$4,2)&lt;=5,COUNTIF('Sources &amp; Change Log'!$J$2:$J$5,V$4)=0,COUNTIFS('Team Calendar'!$A$5:$A$12,$F8,'Team Calendar'!$C$5:$C$12,V$4)=0),1,"")</x:f>
        <x:v>1</x:v>
      </x:c>
      <x:c r="W8" s="100" t="n">
        <x:f>IF(AND(ISNUMBER($D8),ISNUMBER($E8),W$4&gt;=$D8,W$4&lt;=$E8,WEEKDAY(W$4,2)&lt;=5,COUNTIF('Sources &amp; Change Log'!$J$2:$J$5,W$4)=0,COUNTIFS('Team Calendar'!$A$5:$A$12,$F8,'Team Calendar'!$C$5:$C$12,W$4)=0),1,"")</x:f>
        <x:v>1</x:v>
      </x:c>
      <x:c r="X8" s="107" t="str">
        <x:f>IF(AND(ISNUMBER($D8),ISNUMBER($E8),X$4&gt;=$D8,X$4&lt;=$E8,WEEKDAY(X$4,2)&lt;=5,COUNTIF('Sources &amp; Change Log'!$J$2:$J$5,X$4)=0,COUNTIFS('Team Calendar'!$A$5:$A$12,$F8,'Team Calendar'!$C$5:$C$12,X$4)=0),1,"")</x:f>
      </x:c>
      <x:c r="Y8" s="107" t="str">
        <x:f>IF(AND(ISNUMBER($D8),ISNUMBER($E8),Y$4&gt;=$D8,Y$4&lt;=$E8,WEEKDAY(Y$4,2)&lt;=5,COUNTIF('Sources &amp; Change Log'!$J$2:$J$5,Y$4)=0,COUNTIFS('Team Calendar'!$A$5:$A$12,$F8,'Team Calendar'!$C$5:$C$12,Y$4)=0),1,"")</x:f>
      </x:c>
      <x:c r="Z8" s="100" t="n">
        <x:f>IF(AND(ISNUMBER($D8),ISNUMBER($E8),Z$4&gt;=$D8,Z$4&lt;=$E8,WEEKDAY(Z$4,2)&lt;=5,COUNTIF('Sources &amp; Change Log'!$J$2:$J$5,Z$4)=0,COUNTIFS('Team Calendar'!$A$5:$A$12,$F8,'Team Calendar'!$C$5:$C$12,Z$4)=0),1,"")</x:f>
        <x:v>1</x:v>
      </x:c>
      <x:c r="AA8" s="100" t="n">
        <x:f>IF(AND(ISNUMBER($D8),ISNUMBER($E8),AA$4&gt;=$D8,AA$4&lt;=$E8,WEEKDAY(AA$4,2)&lt;=5,COUNTIF('Sources &amp; Change Log'!$J$2:$J$5,AA$4)=0,COUNTIFS('Team Calendar'!$A$5:$A$12,$F8,'Team Calendar'!$C$5:$C$12,AA$4)=0),1,"")</x:f>
        <x:v>1</x:v>
      </x:c>
      <x:c r="AB8" s="100" t="n">
        <x:f>IF(AND(ISNUMBER($D8),ISNUMBER($E8),AB$4&gt;=$D8,AB$4&lt;=$E8,WEEKDAY(AB$4,2)&lt;=5,COUNTIF('Sources &amp; Change Log'!$J$2:$J$5,AB$4)=0,COUNTIFS('Team Calendar'!$A$5:$A$12,$F8,'Team Calendar'!$C$5:$C$12,AB$4)=0),1,"")</x:f>
        <x:v>1</x:v>
      </x:c>
      <x:c r="AC8" s="100" t="n">
        <x:f>IF(AND(ISNUMBER($D8),ISNUMBER($E8),AC$4&gt;=$D8,AC$4&lt;=$E8,WEEKDAY(AC$4,2)&lt;=5,COUNTIF('Sources &amp; Change Log'!$J$2:$J$5,AC$4)=0,COUNTIFS('Team Calendar'!$A$5:$A$12,$F8,'Team Calendar'!$C$5:$C$12,AC$4)=0),1,"")</x:f>
        <x:v>1</x:v>
      </x:c>
      <x:c r="AD8" s="100" t="str">
        <x:f>IF(AND(ISNUMBER($D8),ISNUMBER($E8),AD$4&gt;=$D8,AD$4&lt;=$E8,WEEKDAY(AD$4,2)&lt;=5,COUNTIF('Sources &amp; Change Log'!$J$2:$J$5,AD$4)=0,COUNTIFS('Team Calendar'!$A$5:$A$12,$F8,'Team Calendar'!$C$5:$C$12,AD$4)=0),1,"")</x:f>
      </x:c>
      <x:c r="AE8" s="107" t="str">
        <x:f>IF(AND(ISNUMBER($D8),ISNUMBER($E8),AE$4&gt;=$D8,AE$4&lt;=$E8,WEEKDAY(AE$4,2)&lt;=5,COUNTIF('Sources &amp; Change Log'!$J$2:$J$5,AE$4)=0,COUNTIFS('Team Calendar'!$A$5:$A$12,$F8,'Team Calendar'!$C$5:$C$12,AE$4)=0),1,"")</x:f>
      </x:c>
      <x:c r="AF8" s="107" t="str">
        <x:f>IF(AND(ISNUMBER($D8),ISNUMBER($E8),AF$4&gt;=$D8,AF$4&lt;=$E8,WEEKDAY(AF$4,2)&lt;=5,COUNTIF('Sources &amp; Change Log'!$J$2:$J$5,AF$4)=0,COUNTIFS('Team Calendar'!$A$5:$A$12,$F8,'Team Calendar'!$C$5:$C$12,AF$4)=0),1,"")</x:f>
      </x:c>
      <x:c r="AG8" s="100" t="str">
        <x:f>IF(AND(ISNUMBER($D8),ISNUMBER($E8),AG$4&gt;=$D8,AG$4&lt;=$E8,WEEKDAY(AG$4,2)&lt;=5,COUNTIF('Sources &amp; Change Log'!$J$2:$J$5,AG$4)=0,COUNTIFS('Team Calendar'!$A$5:$A$12,$F8,'Team Calendar'!$C$5:$C$12,AG$4)=0),1,"")</x:f>
      </x:c>
      <x:c r="AH8" s="100" t="str">
        <x:f>IF(AND(ISNUMBER($D8),ISNUMBER($E8),AH$4&gt;=$D8,AH$4&lt;=$E8,WEEKDAY(AH$4,2)&lt;=5,COUNTIF('Sources &amp; Change Log'!$J$2:$J$5,AH$4)=0,COUNTIFS('Team Calendar'!$A$5:$A$12,$F8,'Team Calendar'!$C$5:$C$12,AH$4)=0),1,"")</x:f>
      </x:c>
      <x:c r="AI8" s="100" t="str">
        <x:f>IF(AND(ISNUMBER($D8),ISNUMBER($E8),AI$4&gt;=$D8,AI$4&lt;=$E8,WEEKDAY(AI$4,2)&lt;=5,COUNTIF('Sources &amp; Change Log'!$J$2:$J$5,AI$4)=0,COUNTIFS('Team Calendar'!$A$5:$A$12,$F8,'Team Calendar'!$C$5:$C$12,AI$4)=0),1,"")</x:f>
      </x:c>
    </x:row>
    <x:row r="9" ht="24" customHeight="1">
      <x:c r="A9" s="13" t="str">
        <x:f>WBS!A8</x:f>
        <x:v>P1-DB-01</x:v>
      </x:c>
      <x:c r="B9" s="13" t="str">
        <x:f>WBS!B8</x:f>
        <x:v>PostgreSQL External VM</x:v>
      </x:c>
      <x:c r="C9" s="13" t="str">
        <x:f>WBS!G8</x:f>
        <x:v>In Progress</x:v>
      </x:c>
      <x:c r="D9" s="86" t="n">
        <x:f>IF(WBS!H8="","",WBS!H8)</x:f>
        <x:v>46262</x:v>
      </x:c>
      <x:c r="E9" s="86" t="n">
        <x:f>IF(WBS!I8="","",WBS!I8)</x:f>
        <x:v>46282</x:v>
      </x:c>
      <x:c r="F9" s="13" t="str">
        <x:f>WBS!L8</x:f>
        <x:v>이재환</x:v>
      </x:c>
      <x:c r="G9" s="100" t="str">
        <x:f>IF(AND(ISNUMBER($D9),ISNUMBER($E9),G$4&gt;=$D9,G$4&lt;=$E9,WEEKDAY(G$4,2)&lt;=5,COUNTIF('Sources &amp; Change Log'!$J$2:$J$5,G$4)=0,COUNTIFS('Team Calendar'!$A$5:$A$12,$F9,'Team Calendar'!$C$5:$C$12,G$4)=0),1,"")</x:f>
      </x:c>
      <x:c r="H9" s="100" t="str">
        <x:f>IF(AND(ISNUMBER($D9),ISNUMBER($E9),H$4&gt;=$D9,H$4&lt;=$E9,WEEKDAY(H$4,2)&lt;=5,COUNTIF('Sources &amp; Change Log'!$J$2:$J$5,H$4)=0,COUNTIFS('Team Calendar'!$A$5:$A$12,$F9,'Team Calendar'!$C$5:$C$12,H$4)=0),1,"")</x:f>
      </x:c>
      <x:c r="I9" s="100" t="n">
        <x:f>IF(AND(ISNUMBER($D9),ISNUMBER($E9),I$4&gt;=$D9,I$4&lt;=$E9,WEEKDAY(I$4,2)&lt;=5,COUNTIF('Sources &amp; Change Log'!$J$2:$J$5,I$4)=0,COUNTIFS('Team Calendar'!$A$5:$A$12,$F9,'Team Calendar'!$C$5:$C$12,I$4)=0),1,"")</x:f>
        <x:v>1</x:v>
      </x:c>
      <x:c r="J9" s="107" t="str">
        <x:f>IF(AND(ISNUMBER($D9),ISNUMBER($E9),J$4&gt;=$D9,J$4&lt;=$E9,WEEKDAY(J$4,2)&lt;=5,COUNTIF('Sources &amp; Change Log'!$J$2:$J$5,J$4)=0,COUNTIFS('Team Calendar'!$A$5:$A$12,$F9,'Team Calendar'!$C$5:$C$12,J$4)=0),1,"")</x:f>
      </x:c>
      <x:c r="K9" s="107" t="str">
        <x:f>IF(AND(ISNUMBER($D9),ISNUMBER($E9),K$4&gt;=$D9,K$4&lt;=$E9,WEEKDAY(K$4,2)&lt;=5,COUNTIF('Sources &amp; Change Log'!$J$2:$J$5,K$4)=0,COUNTIFS('Team Calendar'!$A$5:$A$12,$F9,'Team Calendar'!$C$5:$C$12,K$4)=0),1,"")</x:f>
      </x:c>
      <x:c r="L9" s="100" t="n">
        <x:f>IF(AND(ISNUMBER($D9),ISNUMBER($E9),L$4&gt;=$D9,L$4&lt;=$E9,WEEKDAY(L$4,2)&lt;=5,COUNTIF('Sources &amp; Change Log'!$J$2:$J$5,L$4)=0,COUNTIFS('Team Calendar'!$A$5:$A$12,$F9,'Team Calendar'!$C$5:$C$12,L$4)=0),1,"")</x:f>
        <x:v>1</x:v>
      </x:c>
      <x:c r="M9" s="101" t="n">
        <x:f>IF(AND(ISNUMBER($D9),ISNUMBER($E9),M$4&gt;=$D9,M$4&lt;=$E9,WEEKDAY(M$4,2)&lt;=5,COUNTIF('Sources &amp; Change Log'!$J$2:$J$5,M$4)=0,COUNTIFS('Team Calendar'!$A$5:$A$12,$F9,'Team Calendar'!$C$5:$C$12,M$4)=0),1,"")</x:f>
        <x:v>1</x:v>
      </x:c>
      <x:c r="N9" s="100" t="n">
        <x:f>IF(AND(ISNUMBER($D9),ISNUMBER($E9),N$4&gt;=$D9,N$4&lt;=$E9,WEEKDAY(N$4,2)&lt;=5,COUNTIF('Sources &amp; Change Log'!$J$2:$J$5,N$4)=0,COUNTIFS('Team Calendar'!$A$5:$A$12,$F9,'Team Calendar'!$C$5:$C$12,N$4)=0),1,"")</x:f>
        <x:v>1</x:v>
      </x:c>
      <x:c r="O9" s="100" t="n">
        <x:f>IF(AND(ISNUMBER($D9),ISNUMBER($E9),O$4&gt;=$D9,O$4&lt;=$E9,WEEKDAY(O$4,2)&lt;=5,COUNTIF('Sources &amp; Change Log'!$J$2:$J$5,O$4)=0,COUNTIFS('Team Calendar'!$A$5:$A$12,$F9,'Team Calendar'!$C$5:$C$12,O$4)=0),1,"")</x:f>
        <x:v>1</x:v>
      </x:c>
      <x:c r="P9" s="106" t="str">
        <x:f>IF(AND(ISNUMBER($D9),ISNUMBER($E9),P$4&gt;=$D9,P$4&lt;=$E9,WEEKDAY(P$4,2)&lt;=5,COUNTIF('Sources &amp; Change Log'!$J$2:$J$5,P$4)=0,COUNTIFS('Team Calendar'!$A$5:$A$12,$F9,'Team Calendar'!$C$5:$C$12,P$4)=0),1,"")</x:f>
      </x:c>
      <x:c r="Q9" s="107" t="str">
        <x:f>IF(AND(ISNUMBER($D9),ISNUMBER($E9),Q$4&gt;=$D9,Q$4&lt;=$E9,WEEKDAY(Q$4,2)&lt;=5,COUNTIF('Sources &amp; Change Log'!$J$2:$J$5,Q$4)=0,COUNTIFS('Team Calendar'!$A$5:$A$12,$F9,'Team Calendar'!$C$5:$C$12,Q$4)=0),1,"")</x:f>
      </x:c>
      <x:c r="R9" s="107" t="str">
        <x:f>IF(AND(ISNUMBER($D9),ISNUMBER($E9),R$4&gt;=$D9,R$4&lt;=$E9,WEEKDAY(R$4,2)&lt;=5,COUNTIF('Sources &amp; Change Log'!$J$2:$J$5,R$4)=0,COUNTIFS('Team Calendar'!$A$5:$A$12,$F9,'Team Calendar'!$C$5:$C$12,R$4)=0),1,"")</x:f>
      </x:c>
      <x:c r="S9" s="100" t="n">
        <x:f>IF(AND(ISNUMBER($D9),ISNUMBER($E9),S$4&gt;=$D9,S$4&lt;=$E9,WEEKDAY(S$4,2)&lt;=5,COUNTIF('Sources &amp; Change Log'!$J$2:$J$5,S$4)=0,COUNTIFS('Team Calendar'!$A$5:$A$12,$F9,'Team Calendar'!$C$5:$C$12,S$4)=0),1,"")</x:f>
        <x:v>1</x:v>
      </x:c>
      <x:c r="T9" s="100" t="n">
        <x:f>IF(AND(ISNUMBER($D9),ISNUMBER($E9),T$4&gt;=$D9,T$4&lt;=$E9,WEEKDAY(T$4,2)&lt;=5,COUNTIF('Sources &amp; Change Log'!$J$2:$J$5,T$4)=0,COUNTIFS('Team Calendar'!$A$5:$A$12,$F9,'Team Calendar'!$C$5:$C$12,T$4)=0),1,"")</x:f>
        <x:v>1</x:v>
      </x:c>
      <x:c r="U9" s="100" t="n">
        <x:f>IF(AND(ISNUMBER($D9),ISNUMBER($E9),U$4&gt;=$D9,U$4&lt;=$E9,WEEKDAY(U$4,2)&lt;=5,COUNTIF('Sources &amp; Change Log'!$J$2:$J$5,U$4)=0,COUNTIFS('Team Calendar'!$A$5:$A$12,$F9,'Team Calendar'!$C$5:$C$12,U$4)=0),1,"")</x:f>
        <x:v>1</x:v>
      </x:c>
      <x:c r="V9" s="100" t="n">
        <x:f>IF(AND(ISNUMBER($D9),ISNUMBER($E9),V$4&gt;=$D9,V$4&lt;=$E9,WEEKDAY(V$4,2)&lt;=5,COUNTIF('Sources &amp; Change Log'!$J$2:$J$5,V$4)=0,COUNTIFS('Team Calendar'!$A$5:$A$12,$F9,'Team Calendar'!$C$5:$C$12,V$4)=0),1,"")</x:f>
        <x:v>1</x:v>
      </x:c>
      <x:c r="W9" s="100" t="n">
        <x:f>IF(AND(ISNUMBER($D9),ISNUMBER($E9),W$4&gt;=$D9,W$4&lt;=$E9,WEEKDAY(W$4,2)&lt;=5,COUNTIF('Sources &amp; Change Log'!$J$2:$J$5,W$4)=0,COUNTIFS('Team Calendar'!$A$5:$A$12,$F9,'Team Calendar'!$C$5:$C$12,W$4)=0),1,"")</x:f>
        <x:v>1</x:v>
      </x:c>
      <x:c r="X9" s="107" t="str">
        <x:f>IF(AND(ISNUMBER($D9),ISNUMBER($E9),X$4&gt;=$D9,X$4&lt;=$E9,WEEKDAY(X$4,2)&lt;=5,COUNTIF('Sources &amp; Change Log'!$J$2:$J$5,X$4)=0,COUNTIFS('Team Calendar'!$A$5:$A$12,$F9,'Team Calendar'!$C$5:$C$12,X$4)=0),1,"")</x:f>
      </x:c>
      <x:c r="Y9" s="107" t="str">
        <x:f>IF(AND(ISNUMBER($D9),ISNUMBER($E9),Y$4&gt;=$D9,Y$4&lt;=$E9,WEEKDAY(Y$4,2)&lt;=5,COUNTIF('Sources &amp; Change Log'!$J$2:$J$5,Y$4)=0,COUNTIFS('Team Calendar'!$A$5:$A$12,$F9,'Team Calendar'!$C$5:$C$12,Y$4)=0),1,"")</x:f>
      </x:c>
      <x:c r="Z9" s="100" t="str">
        <x:f>IF(AND(ISNUMBER($D9),ISNUMBER($E9),Z$4&gt;=$D9,Z$4&lt;=$E9,WEEKDAY(Z$4,2)&lt;=5,COUNTIF('Sources &amp; Change Log'!$J$2:$J$5,Z$4)=0,COUNTIFS('Team Calendar'!$A$5:$A$12,$F9,'Team Calendar'!$C$5:$C$12,Z$4)=0),1,"")</x:f>
      </x:c>
      <x:c r="AA9" s="100" t="str">
        <x:f>IF(AND(ISNUMBER($D9),ISNUMBER($E9),AA$4&gt;=$D9,AA$4&lt;=$E9,WEEKDAY(AA$4,2)&lt;=5,COUNTIF('Sources &amp; Change Log'!$J$2:$J$5,AA$4)=0,COUNTIFS('Team Calendar'!$A$5:$A$12,$F9,'Team Calendar'!$C$5:$C$12,AA$4)=0),1,"")</x:f>
      </x:c>
      <x:c r="AB9" s="100" t="str">
        <x:f>IF(AND(ISNUMBER($D9),ISNUMBER($E9),AB$4&gt;=$D9,AB$4&lt;=$E9,WEEKDAY(AB$4,2)&lt;=5,COUNTIF('Sources &amp; Change Log'!$J$2:$J$5,AB$4)=0,COUNTIFS('Team Calendar'!$A$5:$A$12,$F9,'Team Calendar'!$C$5:$C$12,AB$4)=0),1,"")</x:f>
      </x:c>
      <x:c r="AC9" s="100" t="str">
        <x:f>IF(AND(ISNUMBER($D9),ISNUMBER($E9),AC$4&gt;=$D9,AC$4&lt;=$E9,WEEKDAY(AC$4,2)&lt;=5,COUNTIF('Sources &amp; Change Log'!$J$2:$J$5,AC$4)=0,COUNTIFS('Team Calendar'!$A$5:$A$12,$F9,'Team Calendar'!$C$5:$C$12,AC$4)=0),1,"")</x:f>
      </x:c>
      <x:c r="AD9" s="100" t="str">
        <x:f>IF(AND(ISNUMBER($D9),ISNUMBER($E9),AD$4&gt;=$D9,AD$4&lt;=$E9,WEEKDAY(AD$4,2)&lt;=5,COUNTIF('Sources &amp; Change Log'!$J$2:$J$5,AD$4)=0,COUNTIFS('Team Calendar'!$A$5:$A$12,$F9,'Team Calendar'!$C$5:$C$12,AD$4)=0),1,"")</x:f>
      </x:c>
      <x:c r="AE9" s="107" t="str">
        <x:f>IF(AND(ISNUMBER($D9),ISNUMBER($E9),AE$4&gt;=$D9,AE$4&lt;=$E9,WEEKDAY(AE$4,2)&lt;=5,COUNTIF('Sources &amp; Change Log'!$J$2:$J$5,AE$4)=0,COUNTIFS('Team Calendar'!$A$5:$A$12,$F9,'Team Calendar'!$C$5:$C$12,AE$4)=0),1,"")</x:f>
      </x:c>
      <x:c r="AF9" s="107" t="str">
        <x:f>IF(AND(ISNUMBER($D9),ISNUMBER($E9),AF$4&gt;=$D9,AF$4&lt;=$E9,WEEKDAY(AF$4,2)&lt;=5,COUNTIF('Sources &amp; Change Log'!$J$2:$J$5,AF$4)=0,COUNTIFS('Team Calendar'!$A$5:$A$12,$F9,'Team Calendar'!$C$5:$C$12,AF$4)=0),1,"")</x:f>
      </x:c>
      <x:c r="AG9" s="100" t="str">
        <x:f>IF(AND(ISNUMBER($D9),ISNUMBER($E9),AG$4&gt;=$D9,AG$4&lt;=$E9,WEEKDAY(AG$4,2)&lt;=5,COUNTIF('Sources &amp; Change Log'!$J$2:$J$5,AG$4)=0,COUNTIFS('Team Calendar'!$A$5:$A$12,$F9,'Team Calendar'!$C$5:$C$12,AG$4)=0),1,"")</x:f>
      </x:c>
      <x:c r="AH9" s="100" t="str">
        <x:f>IF(AND(ISNUMBER($D9),ISNUMBER($E9),AH$4&gt;=$D9,AH$4&lt;=$E9,WEEKDAY(AH$4,2)&lt;=5,COUNTIF('Sources &amp; Change Log'!$J$2:$J$5,AH$4)=0,COUNTIFS('Team Calendar'!$A$5:$A$12,$F9,'Team Calendar'!$C$5:$C$12,AH$4)=0),1,"")</x:f>
      </x:c>
      <x:c r="AI9" s="100" t="str">
        <x:f>IF(AND(ISNUMBER($D9),ISNUMBER($E9),AI$4&gt;=$D9,AI$4&lt;=$E9,WEEKDAY(AI$4,2)&lt;=5,COUNTIF('Sources &amp; Change Log'!$J$2:$J$5,AI$4)=0,COUNTIFS('Team Calendar'!$A$5:$A$12,$F9,'Team Calendar'!$C$5:$C$12,AI$4)=0),1,"")</x:f>
      </x:c>
    </x:row>
    <x:row r="10" ht="24" customHeight="1">
      <x:c r="A10" s="13" t="str">
        <x:f>WBS!A9</x:f>
        <x:v>P1-DNS-01</x:v>
      </x:c>
      <x:c r="B10" s="13" t="str">
        <x:f>WBS!B9</x:f>
        <x:v>Internal DNS Primary/Secondary</x:v>
      </x:c>
      <x:c r="C10" s="13" t="str">
        <x:f>WBS!G9</x:f>
        <x:v>Done</x:v>
      </x:c>
      <x:c r="D10" s="86" t="n">
        <x:f>IF(WBS!H9="","",WBS!H9)</x:f>
        <x:v>46262</x:v>
      </x:c>
      <x:c r="E10" s="86" t="n">
        <x:f>IF(WBS!I9="","",WBS!I9)</x:f>
        <x:v>46268</x:v>
      </x:c>
      <x:c r="F10" s="13" t="str">
        <x:f>WBS!L9</x:f>
        <x:v>이권욱</x:v>
      </x:c>
      <x:c r="G10" s="100" t="str">
        <x:f>IF(AND(ISNUMBER($D10),ISNUMBER($E10),G$4&gt;=$D10,G$4&lt;=$E10,WEEKDAY(G$4,2)&lt;=5,COUNTIF('Sources &amp; Change Log'!$J$2:$J$5,G$4)=0,COUNTIFS('Team Calendar'!$A$5:$A$12,$F10,'Team Calendar'!$C$5:$C$12,G$4)=0),1,"")</x:f>
      </x:c>
      <x:c r="H10" s="100" t="str">
        <x:f>IF(AND(ISNUMBER($D10),ISNUMBER($E10),H$4&gt;=$D10,H$4&lt;=$E10,WEEKDAY(H$4,2)&lt;=5,COUNTIF('Sources &amp; Change Log'!$J$2:$J$5,H$4)=0,COUNTIFS('Team Calendar'!$A$5:$A$12,$F10,'Team Calendar'!$C$5:$C$12,H$4)=0),1,"")</x:f>
      </x:c>
      <x:c r="I10" s="100" t="n">
        <x:f>IF(AND(ISNUMBER($D10),ISNUMBER($E10),I$4&gt;=$D10,I$4&lt;=$E10,WEEKDAY(I$4,2)&lt;=5,COUNTIF('Sources &amp; Change Log'!$J$2:$J$5,I$4)=0,COUNTIFS('Team Calendar'!$A$5:$A$12,$F10,'Team Calendar'!$C$5:$C$12,I$4)=0),1,"")</x:f>
        <x:v>1</x:v>
      </x:c>
      <x:c r="J10" s="107" t="str">
        <x:f>IF(AND(ISNUMBER($D10),ISNUMBER($E10),J$4&gt;=$D10,J$4&lt;=$E10,WEEKDAY(J$4,2)&lt;=5,COUNTIF('Sources &amp; Change Log'!$J$2:$J$5,J$4)=0,COUNTIFS('Team Calendar'!$A$5:$A$12,$F10,'Team Calendar'!$C$5:$C$12,J$4)=0),1,"")</x:f>
      </x:c>
      <x:c r="K10" s="107" t="str">
        <x:f>IF(AND(ISNUMBER($D10),ISNUMBER($E10),K$4&gt;=$D10,K$4&lt;=$E10,WEEKDAY(K$4,2)&lt;=5,COUNTIF('Sources &amp; Change Log'!$J$2:$J$5,K$4)=0,COUNTIFS('Team Calendar'!$A$5:$A$12,$F10,'Team Calendar'!$C$5:$C$12,K$4)=0),1,"")</x:f>
      </x:c>
      <x:c r="L10" s="100" t="n">
        <x:f>IF(AND(ISNUMBER($D10),ISNUMBER($E10),L$4&gt;=$D10,L$4&lt;=$E10,WEEKDAY(L$4,2)&lt;=5,COUNTIF('Sources &amp; Change Log'!$J$2:$J$5,L$4)=0,COUNTIFS('Team Calendar'!$A$5:$A$12,$F10,'Team Calendar'!$C$5:$C$12,L$4)=0),1,"")</x:f>
        <x:v>1</x:v>
      </x:c>
      <x:c r="M10" s="101" t="n">
        <x:f>IF(AND(ISNUMBER($D10),ISNUMBER($E10),M$4&gt;=$D10,M$4&lt;=$E10,WEEKDAY(M$4,2)&lt;=5,COUNTIF('Sources &amp; Change Log'!$J$2:$J$5,M$4)=0,COUNTIFS('Team Calendar'!$A$5:$A$12,$F10,'Team Calendar'!$C$5:$C$12,M$4)=0),1,"")</x:f>
        <x:v>1</x:v>
      </x:c>
      <x:c r="N10" s="100" t="n">
        <x:f>IF(AND(ISNUMBER($D10),ISNUMBER($E10),N$4&gt;=$D10,N$4&lt;=$E10,WEEKDAY(N$4,2)&lt;=5,COUNTIF('Sources &amp; Change Log'!$J$2:$J$5,N$4)=0,COUNTIFS('Team Calendar'!$A$5:$A$12,$F10,'Team Calendar'!$C$5:$C$12,N$4)=0),1,"")</x:f>
        <x:v>1</x:v>
      </x:c>
      <x:c r="O10" s="100" t="n">
        <x:f>IF(AND(ISNUMBER($D10),ISNUMBER($E10),O$4&gt;=$D10,O$4&lt;=$E10,WEEKDAY(O$4,2)&lt;=5,COUNTIF('Sources &amp; Change Log'!$J$2:$J$5,O$4)=0,COUNTIFS('Team Calendar'!$A$5:$A$12,$F10,'Team Calendar'!$C$5:$C$12,O$4)=0),1,"")</x:f>
        <x:v>1</x:v>
      </x:c>
      <x:c r="P10" s="100" t="str">
        <x:f>IF(AND(ISNUMBER($D10),ISNUMBER($E10),P$4&gt;=$D10,P$4&lt;=$E10,WEEKDAY(P$4,2)&lt;=5,COUNTIF('Sources &amp; Change Log'!$J$2:$J$5,P$4)=0,COUNTIFS('Team Calendar'!$A$5:$A$12,$F10,'Team Calendar'!$C$5:$C$12,P$4)=0),1,"")</x:f>
      </x:c>
      <x:c r="Q10" s="107" t="str">
        <x:f>IF(AND(ISNUMBER($D10),ISNUMBER($E10),Q$4&gt;=$D10,Q$4&lt;=$E10,WEEKDAY(Q$4,2)&lt;=5,COUNTIF('Sources &amp; Change Log'!$J$2:$J$5,Q$4)=0,COUNTIFS('Team Calendar'!$A$5:$A$12,$F10,'Team Calendar'!$C$5:$C$12,Q$4)=0),1,"")</x:f>
      </x:c>
      <x:c r="R10" s="107" t="str">
        <x:f>IF(AND(ISNUMBER($D10),ISNUMBER($E10),R$4&gt;=$D10,R$4&lt;=$E10,WEEKDAY(R$4,2)&lt;=5,COUNTIF('Sources &amp; Change Log'!$J$2:$J$5,R$4)=0,COUNTIFS('Team Calendar'!$A$5:$A$12,$F10,'Team Calendar'!$C$5:$C$12,R$4)=0),1,"")</x:f>
      </x:c>
      <x:c r="S10" s="100" t="str">
        <x:f>IF(AND(ISNUMBER($D10),ISNUMBER($E10),S$4&gt;=$D10,S$4&lt;=$E10,WEEKDAY(S$4,2)&lt;=5,COUNTIF('Sources &amp; Change Log'!$J$2:$J$5,S$4)=0,COUNTIFS('Team Calendar'!$A$5:$A$12,$F10,'Team Calendar'!$C$5:$C$12,S$4)=0),1,"")</x:f>
      </x:c>
      <x:c r="T10" s="100" t="str">
        <x:f>IF(AND(ISNUMBER($D10),ISNUMBER($E10),T$4&gt;=$D10,T$4&lt;=$E10,WEEKDAY(T$4,2)&lt;=5,COUNTIF('Sources &amp; Change Log'!$J$2:$J$5,T$4)=0,COUNTIFS('Team Calendar'!$A$5:$A$12,$F10,'Team Calendar'!$C$5:$C$12,T$4)=0),1,"")</x:f>
      </x:c>
      <x:c r="U10" s="100" t="str">
        <x:f>IF(AND(ISNUMBER($D10),ISNUMBER($E10),U$4&gt;=$D10,U$4&lt;=$E10,WEEKDAY(U$4,2)&lt;=5,COUNTIF('Sources &amp; Change Log'!$J$2:$J$5,U$4)=0,COUNTIFS('Team Calendar'!$A$5:$A$12,$F10,'Team Calendar'!$C$5:$C$12,U$4)=0),1,"")</x:f>
      </x:c>
      <x:c r="V10" s="100" t="str">
        <x:f>IF(AND(ISNUMBER($D10),ISNUMBER($E10),V$4&gt;=$D10,V$4&lt;=$E10,WEEKDAY(V$4,2)&lt;=5,COUNTIF('Sources &amp; Change Log'!$J$2:$J$5,V$4)=0,COUNTIFS('Team Calendar'!$A$5:$A$12,$F10,'Team Calendar'!$C$5:$C$12,V$4)=0),1,"")</x:f>
      </x:c>
      <x:c r="W10" s="100" t="str">
        <x:f>IF(AND(ISNUMBER($D10),ISNUMBER($E10),W$4&gt;=$D10,W$4&lt;=$E10,WEEKDAY(W$4,2)&lt;=5,COUNTIF('Sources &amp; Change Log'!$J$2:$J$5,W$4)=0,COUNTIFS('Team Calendar'!$A$5:$A$12,$F10,'Team Calendar'!$C$5:$C$12,W$4)=0),1,"")</x:f>
      </x:c>
      <x:c r="X10" s="107" t="str">
        <x:f>IF(AND(ISNUMBER($D10),ISNUMBER($E10),X$4&gt;=$D10,X$4&lt;=$E10,WEEKDAY(X$4,2)&lt;=5,COUNTIF('Sources &amp; Change Log'!$J$2:$J$5,X$4)=0,COUNTIFS('Team Calendar'!$A$5:$A$12,$F10,'Team Calendar'!$C$5:$C$12,X$4)=0),1,"")</x:f>
      </x:c>
      <x:c r="Y10" s="107" t="str">
        <x:f>IF(AND(ISNUMBER($D10),ISNUMBER($E10),Y$4&gt;=$D10,Y$4&lt;=$E10,WEEKDAY(Y$4,2)&lt;=5,COUNTIF('Sources &amp; Change Log'!$J$2:$J$5,Y$4)=0,COUNTIFS('Team Calendar'!$A$5:$A$12,$F10,'Team Calendar'!$C$5:$C$12,Y$4)=0),1,"")</x:f>
      </x:c>
      <x:c r="Z10" s="100" t="str">
        <x:f>IF(AND(ISNUMBER($D10),ISNUMBER($E10),Z$4&gt;=$D10,Z$4&lt;=$E10,WEEKDAY(Z$4,2)&lt;=5,COUNTIF('Sources &amp; Change Log'!$J$2:$J$5,Z$4)=0,COUNTIFS('Team Calendar'!$A$5:$A$12,$F10,'Team Calendar'!$C$5:$C$12,Z$4)=0),1,"")</x:f>
      </x:c>
      <x:c r="AA10" s="100" t="str">
        <x:f>IF(AND(ISNUMBER($D10),ISNUMBER($E10),AA$4&gt;=$D10,AA$4&lt;=$E10,WEEKDAY(AA$4,2)&lt;=5,COUNTIF('Sources &amp; Change Log'!$J$2:$J$5,AA$4)=0,COUNTIFS('Team Calendar'!$A$5:$A$12,$F10,'Team Calendar'!$C$5:$C$12,AA$4)=0),1,"")</x:f>
      </x:c>
      <x:c r="AB10" s="100" t="str">
        <x:f>IF(AND(ISNUMBER($D10),ISNUMBER($E10),AB$4&gt;=$D10,AB$4&lt;=$E10,WEEKDAY(AB$4,2)&lt;=5,COUNTIF('Sources &amp; Change Log'!$J$2:$J$5,AB$4)=0,COUNTIFS('Team Calendar'!$A$5:$A$12,$F10,'Team Calendar'!$C$5:$C$12,AB$4)=0),1,"")</x:f>
      </x:c>
      <x:c r="AC10" s="100" t="str">
        <x:f>IF(AND(ISNUMBER($D10),ISNUMBER($E10),AC$4&gt;=$D10,AC$4&lt;=$E10,WEEKDAY(AC$4,2)&lt;=5,COUNTIF('Sources &amp; Change Log'!$J$2:$J$5,AC$4)=0,COUNTIFS('Team Calendar'!$A$5:$A$12,$F10,'Team Calendar'!$C$5:$C$12,AC$4)=0),1,"")</x:f>
      </x:c>
      <x:c r="AD10" s="100" t="str">
        <x:f>IF(AND(ISNUMBER($D10),ISNUMBER($E10),AD$4&gt;=$D10,AD$4&lt;=$E10,WEEKDAY(AD$4,2)&lt;=5,COUNTIF('Sources &amp; Change Log'!$J$2:$J$5,AD$4)=0,COUNTIFS('Team Calendar'!$A$5:$A$12,$F10,'Team Calendar'!$C$5:$C$12,AD$4)=0),1,"")</x:f>
      </x:c>
      <x:c r="AE10" s="107" t="str">
        <x:f>IF(AND(ISNUMBER($D10),ISNUMBER($E10),AE$4&gt;=$D10,AE$4&lt;=$E10,WEEKDAY(AE$4,2)&lt;=5,COUNTIF('Sources &amp; Change Log'!$J$2:$J$5,AE$4)=0,COUNTIFS('Team Calendar'!$A$5:$A$12,$F10,'Team Calendar'!$C$5:$C$12,AE$4)=0),1,"")</x:f>
      </x:c>
      <x:c r="AF10" s="107" t="str">
        <x:f>IF(AND(ISNUMBER($D10),ISNUMBER($E10),AF$4&gt;=$D10,AF$4&lt;=$E10,WEEKDAY(AF$4,2)&lt;=5,COUNTIF('Sources &amp; Change Log'!$J$2:$J$5,AF$4)=0,COUNTIFS('Team Calendar'!$A$5:$A$12,$F10,'Team Calendar'!$C$5:$C$12,AF$4)=0),1,"")</x:f>
      </x:c>
      <x:c r="AG10" s="100" t="str">
        <x:f>IF(AND(ISNUMBER($D10),ISNUMBER($E10),AG$4&gt;=$D10,AG$4&lt;=$E10,WEEKDAY(AG$4,2)&lt;=5,COUNTIF('Sources &amp; Change Log'!$J$2:$J$5,AG$4)=0,COUNTIFS('Team Calendar'!$A$5:$A$12,$F10,'Team Calendar'!$C$5:$C$12,AG$4)=0),1,"")</x:f>
      </x:c>
      <x:c r="AH10" s="100" t="str">
        <x:f>IF(AND(ISNUMBER($D10),ISNUMBER($E10),AH$4&gt;=$D10,AH$4&lt;=$E10,WEEKDAY(AH$4,2)&lt;=5,COUNTIF('Sources &amp; Change Log'!$J$2:$J$5,AH$4)=0,COUNTIFS('Team Calendar'!$A$5:$A$12,$F10,'Team Calendar'!$C$5:$C$12,AH$4)=0),1,"")</x:f>
      </x:c>
      <x:c r="AI10" s="100" t="str">
        <x:f>IF(AND(ISNUMBER($D10),ISNUMBER($E10),AI$4&gt;=$D10,AI$4&lt;=$E10,WEEKDAY(AI$4,2)&lt;=5,COUNTIF('Sources &amp; Change Log'!$J$2:$J$5,AI$4)=0,COUNTIFS('Team Calendar'!$A$5:$A$12,$F10,'Team Calendar'!$C$5:$C$12,AI$4)=0),1,"")</x:f>
      </x:c>
    </x:row>
    <x:row r="11" ht="24" customHeight="1">
      <x:c r="A11" s="13" t="str">
        <x:f>WBS!A10</x:f>
        <x:v>P1-HBR-01</x:v>
      </x:c>
      <x:c r="B11" s="13" t="str">
        <x:f>WBS!B10</x:f>
        <x:v>Harbor / Trivy Registry</x:v>
      </x:c>
      <x:c r="C11" s="13" t="str">
        <x:f>WBS!G10</x:f>
        <x:v>In Progress</x:v>
      </x:c>
      <x:c r="D11" s="86" t="n">
        <x:f>IF(WBS!H10="","",WBS!H10)</x:f>
        <x:v>46265</x:v>
      </x:c>
      <x:c r="E11" s="86" t="n">
        <x:f>IF(WBS!I10="","",WBS!I10)</x:f>
        <x:v>46282</x:v>
      </x:c>
      <x:c r="F11" s="13" t="str">
        <x:f>WBS!L10</x:f>
        <x:v>이하영</x:v>
      </x:c>
      <x:c r="G11" s="100" t="str">
        <x:f>IF(AND(ISNUMBER($D11),ISNUMBER($E11),G$4&gt;=$D11,G$4&lt;=$E11,WEEKDAY(G$4,2)&lt;=5,COUNTIF('Sources &amp; Change Log'!$J$2:$J$5,G$4)=0,COUNTIFS('Team Calendar'!$A$5:$A$12,$F11,'Team Calendar'!$C$5:$C$12,G$4)=0),1,"")</x:f>
      </x:c>
      <x:c r="H11" s="100" t="str">
        <x:f>IF(AND(ISNUMBER($D11),ISNUMBER($E11),H$4&gt;=$D11,H$4&lt;=$E11,WEEKDAY(H$4,2)&lt;=5,COUNTIF('Sources &amp; Change Log'!$J$2:$J$5,H$4)=0,COUNTIFS('Team Calendar'!$A$5:$A$12,$F11,'Team Calendar'!$C$5:$C$12,H$4)=0),1,"")</x:f>
      </x:c>
      <x:c r="I11" s="100" t="str">
        <x:f>IF(AND(ISNUMBER($D11),ISNUMBER($E11),I$4&gt;=$D11,I$4&lt;=$E11,WEEKDAY(I$4,2)&lt;=5,COUNTIF('Sources &amp; Change Log'!$J$2:$J$5,I$4)=0,COUNTIFS('Team Calendar'!$A$5:$A$12,$F11,'Team Calendar'!$C$5:$C$12,I$4)=0),1,"")</x:f>
      </x:c>
      <x:c r="J11" s="107" t="str">
        <x:f>IF(AND(ISNUMBER($D11),ISNUMBER($E11),J$4&gt;=$D11,J$4&lt;=$E11,WEEKDAY(J$4,2)&lt;=5,COUNTIF('Sources &amp; Change Log'!$J$2:$J$5,J$4)=0,COUNTIFS('Team Calendar'!$A$5:$A$12,$F11,'Team Calendar'!$C$5:$C$12,J$4)=0),1,"")</x:f>
      </x:c>
      <x:c r="K11" s="107" t="str">
        <x:f>IF(AND(ISNUMBER($D11),ISNUMBER($E11),K$4&gt;=$D11,K$4&lt;=$E11,WEEKDAY(K$4,2)&lt;=5,COUNTIF('Sources &amp; Change Log'!$J$2:$J$5,K$4)=0,COUNTIFS('Team Calendar'!$A$5:$A$12,$F11,'Team Calendar'!$C$5:$C$12,K$4)=0),1,"")</x:f>
      </x:c>
      <x:c r="L11" s="100" t="n">
        <x:f>IF(AND(ISNUMBER($D11),ISNUMBER($E11),L$4&gt;=$D11,L$4&lt;=$E11,WEEKDAY(L$4,2)&lt;=5,COUNTIF('Sources &amp; Change Log'!$J$2:$J$5,L$4)=0,COUNTIFS('Team Calendar'!$A$5:$A$12,$F11,'Team Calendar'!$C$5:$C$12,L$4)=0),1,"")</x:f>
        <x:v>1</x:v>
      </x:c>
      <x:c r="M11" s="101" t="n">
        <x:f>IF(AND(ISNUMBER($D11),ISNUMBER($E11),M$4&gt;=$D11,M$4&lt;=$E11,WEEKDAY(M$4,2)&lt;=5,COUNTIF('Sources &amp; Change Log'!$J$2:$J$5,M$4)=0,COUNTIFS('Team Calendar'!$A$5:$A$12,$F11,'Team Calendar'!$C$5:$C$12,M$4)=0),1,"")</x:f>
        <x:v>1</x:v>
      </x:c>
      <x:c r="N11" s="100" t="n">
        <x:f>IF(AND(ISNUMBER($D11),ISNUMBER($E11),N$4&gt;=$D11,N$4&lt;=$E11,WEEKDAY(N$4,2)&lt;=5,COUNTIF('Sources &amp; Change Log'!$J$2:$J$5,N$4)=0,COUNTIFS('Team Calendar'!$A$5:$A$12,$F11,'Team Calendar'!$C$5:$C$12,N$4)=0),1,"")</x:f>
        <x:v>1</x:v>
      </x:c>
      <x:c r="O11" s="100" t="n">
        <x:f>IF(AND(ISNUMBER($D11),ISNUMBER($E11),O$4&gt;=$D11,O$4&lt;=$E11,WEEKDAY(O$4,2)&lt;=5,COUNTIF('Sources &amp; Change Log'!$J$2:$J$5,O$4)=0,COUNTIFS('Team Calendar'!$A$5:$A$12,$F11,'Team Calendar'!$C$5:$C$12,O$4)=0),1,"")</x:f>
        <x:v>1</x:v>
      </x:c>
      <x:c r="P11" s="100" t="n">
        <x:f>IF(AND(ISNUMBER($D11),ISNUMBER($E11),P$4&gt;=$D11,P$4&lt;=$E11,WEEKDAY(P$4,2)&lt;=5,COUNTIF('Sources &amp; Change Log'!$J$2:$J$5,P$4)=0,COUNTIFS('Team Calendar'!$A$5:$A$12,$F11,'Team Calendar'!$C$5:$C$12,P$4)=0),1,"")</x:f>
        <x:v>1</x:v>
      </x:c>
      <x:c r="Q11" s="107" t="str">
        <x:f>IF(AND(ISNUMBER($D11),ISNUMBER($E11),Q$4&gt;=$D11,Q$4&lt;=$E11,WEEKDAY(Q$4,2)&lt;=5,COUNTIF('Sources &amp; Change Log'!$J$2:$J$5,Q$4)=0,COUNTIFS('Team Calendar'!$A$5:$A$12,$F11,'Team Calendar'!$C$5:$C$12,Q$4)=0),1,"")</x:f>
      </x:c>
      <x:c r="R11" s="107" t="str">
        <x:f>IF(AND(ISNUMBER($D11),ISNUMBER($E11),R$4&gt;=$D11,R$4&lt;=$E11,WEEKDAY(R$4,2)&lt;=5,COUNTIF('Sources &amp; Change Log'!$J$2:$J$5,R$4)=0,COUNTIFS('Team Calendar'!$A$5:$A$12,$F11,'Team Calendar'!$C$5:$C$12,R$4)=0),1,"")</x:f>
      </x:c>
      <x:c r="S11" s="100" t="n">
        <x:f>IF(AND(ISNUMBER($D11),ISNUMBER($E11),S$4&gt;=$D11,S$4&lt;=$E11,WEEKDAY(S$4,2)&lt;=5,COUNTIF('Sources &amp; Change Log'!$J$2:$J$5,S$4)=0,COUNTIFS('Team Calendar'!$A$5:$A$12,$F11,'Team Calendar'!$C$5:$C$12,S$4)=0),1,"")</x:f>
        <x:v>1</x:v>
      </x:c>
      <x:c r="T11" s="102" t="str">
        <x:f>IF(AND(ISNUMBER($D11),ISNUMBER($E11),T$4&gt;=$D11,T$4&lt;=$E11,WEEKDAY(T$4,2)&lt;=5,COUNTIF('Sources &amp; Change Log'!$J$2:$J$5,T$4)=0,COUNTIFS('Team Calendar'!$A$5:$A$12,$F11,'Team Calendar'!$C$5:$C$12,T$4)=0),1,"")</x:f>
      </x:c>
      <x:c r="U11" s="100" t="n">
        <x:f>IF(AND(ISNUMBER($D11),ISNUMBER($E11),U$4&gt;=$D11,U$4&lt;=$E11,WEEKDAY(U$4,2)&lt;=5,COUNTIF('Sources &amp; Change Log'!$J$2:$J$5,U$4)=0,COUNTIFS('Team Calendar'!$A$5:$A$12,$F11,'Team Calendar'!$C$5:$C$12,U$4)=0),1,"")</x:f>
        <x:v>1</x:v>
      </x:c>
      <x:c r="V11" s="100" t="str">
        <x:f>IF(AND(ISNUMBER($D11),ISNUMBER($E11),V$4&gt;=$D11,V$4&lt;=$E11,WEEKDAY(V$4,2)&lt;=5,COUNTIF('Sources &amp; Change Log'!$J$2:$J$5,V$4)=0,COUNTIFS('Team Calendar'!$A$5:$A$12,$F11,'Team Calendar'!$C$5:$C$12,V$4)=0),1,"")</x:f>
      </x:c>
      <x:c r="W11" s="100" t="n">
        <x:f>IF(AND(ISNUMBER($D11),ISNUMBER($E11),W$4&gt;=$D11,W$4&lt;=$E11,WEEKDAY(W$4,2)&lt;=5,COUNTIF('Sources &amp; Change Log'!$J$2:$J$5,W$4)=0,COUNTIFS('Team Calendar'!$A$5:$A$12,$F11,'Team Calendar'!$C$5:$C$12,W$4)=0),1,"")</x:f>
        <x:v>1</x:v>
      </x:c>
      <x:c r="X11" s="107" t="str">
        <x:f>IF(AND(ISNUMBER($D11),ISNUMBER($E11),X$4&gt;=$D11,X$4&lt;=$E11,WEEKDAY(X$4,2)&lt;=5,COUNTIF('Sources &amp; Change Log'!$J$2:$J$5,X$4)=0,COUNTIFS('Team Calendar'!$A$5:$A$12,$F11,'Team Calendar'!$C$5:$C$12,X$4)=0),1,"")</x:f>
      </x:c>
      <x:c r="Y11" s="107" t="str">
        <x:f>IF(AND(ISNUMBER($D11),ISNUMBER($E11),Y$4&gt;=$D11,Y$4&lt;=$E11,WEEKDAY(Y$4,2)&lt;=5,COUNTIF('Sources &amp; Change Log'!$J$2:$J$5,Y$4)=0,COUNTIFS('Team Calendar'!$A$5:$A$12,$F11,'Team Calendar'!$C$5:$C$12,Y$4)=0),1,"")</x:f>
      </x:c>
      <x:c r="Z11" s="100" t="n">
        <x:f>IF(AND(ISNUMBER($D11),ISNUMBER($E11),Z$4&gt;=$D11,Z$4&lt;=$E11,WEEKDAY(Z$4,2)&lt;=5,COUNTIF('Sources &amp; Change Log'!$J$2:$J$5,Z$4)=0,COUNTIFS('Team Calendar'!$A$5:$A$12,$F11,'Team Calendar'!$C$5:$C$12,Z$4)=0),1,"")</x:f>
        <x:v>1</x:v>
      </x:c>
      <x:c r="AA11" s="100" t="n">
        <x:f>IF(AND(ISNUMBER($D11),ISNUMBER($E11),AA$4&gt;=$D11,AA$4&lt;=$E11,WEEKDAY(AA$4,2)&lt;=5,COUNTIF('Sources &amp; Change Log'!$J$2:$J$5,AA$4)=0,COUNTIFS('Team Calendar'!$A$5:$A$12,$F11,'Team Calendar'!$C$5:$C$12,AA$4)=0),1,"")</x:f>
        <x:v>1</x:v>
      </x:c>
      <x:c r="AB11" s="100" t="n">
        <x:f>IF(AND(ISNUMBER($D11),ISNUMBER($E11),AB$4&gt;=$D11,AB$4&lt;=$E11,WEEKDAY(AB$4,2)&lt;=5,COUNTIF('Sources &amp; Change Log'!$J$2:$J$5,AB$4)=0,COUNTIFS('Team Calendar'!$A$5:$A$12,$F11,'Team Calendar'!$C$5:$C$12,AB$4)=0),1,"")</x:f>
        <x:v>1</x:v>
      </x:c>
      <x:c r="AC11" s="100" t="n">
        <x:f>IF(AND(ISNUMBER($D11),ISNUMBER($E11),AC$4&gt;=$D11,AC$4&lt;=$E11,WEEKDAY(AC$4,2)&lt;=5,COUNTIF('Sources &amp; Change Log'!$J$2:$J$5,AC$4)=0,COUNTIFS('Team Calendar'!$A$5:$A$12,$F11,'Team Calendar'!$C$5:$C$12,AC$4)=0),1,"")</x:f>
        <x:v>1</x:v>
      </x:c>
      <x:c r="AD11" s="100" t="str">
        <x:f>IF(AND(ISNUMBER($D11),ISNUMBER($E11),AD$4&gt;=$D11,AD$4&lt;=$E11,WEEKDAY(AD$4,2)&lt;=5,COUNTIF('Sources &amp; Change Log'!$J$2:$J$5,AD$4)=0,COUNTIFS('Team Calendar'!$A$5:$A$12,$F11,'Team Calendar'!$C$5:$C$12,AD$4)=0),1,"")</x:f>
      </x:c>
      <x:c r="AE11" s="107" t="str">
        <x:f>IF(AND(ISNUMBER($D11),ISNUMBER($E11),AE$4&gt;=$D11,AE$4&lt;=$E11,WEEKDAY(AE$4,2)&lt;=5,COUNTIF('Sources &amp; Change Log'!$J$2:$J$5,AE$4)=0,COUNTIFS('Team Calendar'!$A$5:$A$12,$F11,'Team Calendar'!$C$5:$C$12,AE$4)=0),1,"")</x:f>
      </x:c>
      <x:c r="AF11" s="107" t="str">
        <x:f>IF(AND(ISNUMBER($D11),ISNUMBER($E11),AF$4&gt;=$D11,AF$4&lt;=$E11,WEEKDAY(AF$4,2)&lt;=5,COUNTIF('Sources &amp; Change Log'!$J$2:$J$5,AF$4)=0,COUNTIFS('Team Calendar'!$A$5:$A$12,$F11,'Team Calendar'!$C$5:$C$12,AF$4)=0),1,"")</x:f>
      </x:c>
      <x:c r="AG11" s="100" t="str">
        <x:f>IF(AND(ISNUMBER($D11),ISNUMBER($E11),AG$4&gt;=$D11,AG$4&lt;=$E11,WEEKDAY(AG$4,2)&lt;=5,COUNTIF('Sources &amp; Change Log'!$J$2:$J$5,AG$4)=0,COUNTIFS('Team Calendar'!$A$5:$A$12,$F11,'Team Calendar'!$C$5:$C$12,AG$4)=0),1,"")</x:f>
      </x:c>
      <x:c r="AH11" s="100" t="str">
        <x:f>IF(AND(ISNUMBER($D11),ISNUMBER($E11),AH$4&gt;=$D11,AH$4&lt;=$E11,WEEKDAY(AH$4,2)&lt;=5,COUNTIF('Sources &amp; Change Log'!$J$2:$J$5,AH$4)=0,COUNTIFS('Team Calendar'!$A$5:$A$12,$F11,'Team Calendar'!$C$5:$C$12,AH$4)=0),1,"")</x:f>
      </x:c>
      <x:c r="AI11" s="100" t="str">
        <x:f>IF(AND(ISNUMBER($D11),ISNUMBER($E11),AI$4&gt;=$D11,AI$4&lt;=$E11,WEEKDAY(AI$4,2)&lt;=5,COUNTIF('Sources &amp; Change Log'!$J$2:$J$5,AI$4)=0,COUNTIFS('Team Calendar'!$A$5:$A$12,$F11,'Team Calendar'!$C$5:$C$12,AI$4)=0),1,"")</x:f>
      </x:c>
    </x:row>
    <x:row r="12" ht="24" customHeight="1">
      <x:c r="A12" s="13" t="str">
        <x:f>WBS!A11</x:f>
        <x:v>ICR-D-NET-01-01</x:v>
      </x:c>
      <x:c r="B12" s="13" t="str">
        <x:f>WBS!B11</x:f>
        <x:v>Kubernetes Node Host Firewall / Monitoring Route</x:v>
      </x:c>
      <x:c r="C12" s="13" t="str">
        <x:f>WBS!G11</x:f>
        <x:v>In Progress</x:v>
      </x:c>
      <x:c r="D12" s="86" t="n">
        <x:f>IF(WBS!H11="","",WBS!H11)</x:f>
        <x:v>46266</x:v>
      </x:c>
      <x:c r="E12" s="86" t="n">
        <x:f>IF(WBS!I11="","",WBS!I11)</x:f>
        <x:v>46286</x:v>
      </x:c>
      <x:c r="F12" s="13" t="str">
        <x:f>WBS!L11</x:f>
        <x:v>이권욱</x:v>
      </x:c>
      <x:c r="G12" s="100" t="str">
        <x:f>IF(AND(ISNUMBER($D12),ISNUMBER($E12),G$4&gt;=$D12,G$4&lt;=$E12,WEEKDAY(G$4,2)&lt;=5,COUNTIF('Sources &amp; Change Log'!$J$2:$J$5,G$4)=0,COUNTIFS('Team Calendar'!$A$5:$A$12,$F12,'Team Calendar'!$C$5:$C$12,G$4)=0),1,"")</x:f>
      </x:c>
      <x:c r="H12" s="100" t="str">
        <x:f>IF(AND(ISNUMBER($D12),ISNUMBER($E12),H$4&gt;=$D12,H$4&lt;=$E12,WEEKDAY(H$4,2)&lt;=5,COUNTIF('Sources &amp; Change Log'!$J$2:$J$5,H$4)=0,COUNTIFS('Team Calendar'!$A$5:$A$12,$F12,'Team Calendar'!$C$5:$C$12,H$4)=0),1,"")</x:f>
      </x:c>
      <x:c r="I12" s="100" t="str">
        <x:f>IF(AND(ISNUMBER($D12),ISNUMBER($E12),I$4&gt;=$D12,I$4&lt;=$E12,WEEKDAY(I$4,2)&lt;=5,COUNTIF('Sources &amp; Change Log'!$J$2:$J$5,I$4)=0,COUNTIFS('Team Calendar'!$A$5:$A$12,$F12,'Team Calendar'!$C$5:$C$12,I$4)=0),1,"")</x:f>
      </x:c>
      <x:c r="J12" s="107" t="str">
        <x:f>IF(AND(ISNUMBER($D12),ISNUMBER($E12),J$4&gt;=$D12,J$4&lt;=$E12,WEEKDAY(J$4,2)&lt;=5,COUNTIF('Sources &amp; Change Log'!$J$2:$J$5,J$4)=0,COUNTIFS('Team Calendar'!$A$5:$A$12,$F12,'Team Calendar'!$C$5:$C$12,J$4)=0),1,"")</x:f>
      </x:c>
      <x:c r="K12" s="107" t="str">
        <x:f>IF(AND(ISNUMBER($D12),ISNUMBER($E12),K$4&gt;=$D12,K$4&lt;=$E12,WEEKDAY(K$4,2)&lt;=5,COUNTIF('Sources &amp; Change Log'!$J$2:$J$5,K$4)=0,COUNTIFS('Team Calendar'!$A$5:$A$12,$F12,'Team Calendar'!$C$5:$C$12,K$4)=0),1,"")</x:f>
      </x:c>
      <x:c r="L12" s="100" t="str">
        <x:f>IF(AND(ISNUMBER($D12),ISNUMBER($E12),L$4&gt;=$D12,L$4&lt;=$E12,WEEKDAY(L$4,2)&lt;=5,COUNTIF('Sources &amp; Change Log'!$J$2:$J$5,L$4)=0,COUNTIFS('Team Calendar'!$A$5:$A$12,$F12,'Team Calendar'!$C$5:$C$12,L$4)=0),1,"")</x:f>
      </x:c>
      <x:c r="M12" s="101" t="n">
        <x:f>IF(AND(ISNUMBER($D12),ISNUMBER($E12),M$4&gt;=$D12,M$4&lt;=$E12,WEEKDAY(M$4,2)&lt;=5,COUNTIF('Sources &amp; Change Log'!$J$2:$J$5,M$4)=0,COUNTIFS('Team Calendar'!$A$5:$A$12,$F12,'Team Calendar'!$C$5:$C$12,M$4)=0),1,"")</x:f>
        <x:v>1</x:v>
      </x:c>
      <x:c r="N12" s="100" t="n">
        <x:f>IF(AND(ISNUMBER($D12),ISNUMBER($E12),N$4&gt;=$D12,N$4&lt;=$E12,WEEKDAY(N$4,2)&lt;=5,COUNTIF('Sources &amp; Change Log'!$J$2:$J$5,N$4)=0,COUNTIFS('Team Calendar'!$A$5:$A$12,$F12,'Team Calendar'!$C$5:$C$12,N$4)=0),1,"")</x:f>
        <x:v>1</x:v>
      </x:c>
      <x:c r="O12" s="100" t="n">
        <x:f>IF(AND(ISNUMBER($D12),ISNUMBER($E12),O$4&gt;=$D12,O$4&lt;=$E12,WEEKDAY(O$4,2)&lt;=5,COUNTIF('Sources &amp; Change Log'!$J$2:$J$5,O$4)=0,COUNTIFS('Team Calendar'!$A$5:$A$12,$F12,'Team Calendar'!$C$5:$C$12,O$4)=0),1,"")</x:f>
        <x:v>1</x:v>
      </x:c>
      <x:c r="P12" s="100" t="n">
        <x:f>IF(AND(ISNUMBER($D12),ISNUMBER($E12),P$4&gt;=$D12,P$4&lt;=$E12,WEEKDAY(P$4,2)&lt;=5,COUNTIF('Sources &amp; Change Log'!$J$2:$J$5,P$4)=0,COUNTIFS('Team Calendar'!$A$5:$A$12,$F12,'Team Calendar'!$C$5:$C$12,P$4)=0),1,"")</x:f>
        <x:v>1</x:v>
      </x:c>
      <x:c r="Q12" s="107" t="str">
        <x:f>IF(AND(ISNUMBER($D12),ISNUMBER($E12),Q$4&gt;=$D12,Q$4&lt;=$E12,WEEKDAY(Q$4,2)&lt;=5,COUNTIF('Sources &amp; Change Log'!$J$2:$J$5,Q$4)=0,COUNTIFS('Team Calendar'!$A$5:$A$12,$F12,'Team Calendar'!$C$5:$C$12,Q$4)=0),1,"")</x:f>
      </x:c>
      <x:c r="R12" s="107" t="str">
        <x:f>IF(AND(ISNUMBER($D12),ISNUMBER($E12),R$4&gt;=$D12,R$4&lt;=$E12,WEEKDAY(R$4,2)&lt;=5,COUNTIF('Sources &amp; Change Log'!$J$2:$J$5,R$4)=0,COUNTIFS('Team Calendar'!$A$5:$A$12,$F12,'Team Calendar'!$C$5:$C$12,R$4)=0),1,"")</x:f>
      </x:c>
      <x:c r="S12" s="100" t="n">
        <x:f>IF(AND(ISNUMBER($D12),ISNUMBER($E12),S$4&gt;=$D12,S$4&lt;=$E12,WEEKDAY(S$4,2)&lt;=5,COUNTIF('Sources &amp; Change Log'!$J$2:$J$5,S$4)=0,COUNTIFS('Team Calendar'!$A$5:$A$12,$F12,'Team Calendar'!$C$5:$C$12,S$4)=0),1,"")</x:f>
        <x:v>1</x:v>
      </x:c>
      <x:c r="T12" s="100" t="n">
        <x:f>IF(AND(ISNUMBER($D12),ISNUMBER($E12),T$4&gt;=$D12,T$4&lt;=$E12,WEEKDAY(T$4,2)&lt;=5,COUNTIF('Sources &amp; Change Log'!$J$2:$J$5,T$4)=0,COUNTIFS('Team Calendar'!$A$5:$A$12,$F12,'Team Calendar'!$C$5:$C$12,T$4)=0),1,"")</x:f>
        <x:v>1</x:v>
      </x:c>
      <x:c r="U12" s="100" t="n">
        <x:f>IF(AND(ISNUMBER($D12),ISNUMBER($E12),U$4&gt;=$D12,U$4&lt;=$E12,WEEKDAY(U$4,2)&lt;=5,COUNTIF('Sources &amp; Change Log'!$J$2:$J$5,U$4)=0,COUNTIFS('Team Calendar'!$A$5:$A$12,$F12,'Team Calendar'!$C$5:$C$12,U$4)=0),1,"")</x:f>
        <x:v>1</x:v>
      </x:c>
      <x:c r="V12" s="100" t="n">
        <x:f>IF(AND(ISNUMBER($D12),ISNUMBER($E12),V$4&gt;=$D12,V$4&lt;=$E12,WEEKDAY(V$4,2)&lt;=5,COUNTIF('Sources &amp; Change Log'!$J$2:$J$5,V$4)=0,COUNTIFS('Team Calendar'!$A$5:$A$12,$F12,'Team Calendar'!$C$5:$C$12,V$4)=0),1,"")</x:f>
        <x:v>1</x:v>
      </x:c>
      <x:c r="W12" s="100" t="n">
        <x:f>IF(AND(ISNUMBER($D12),ISNUMBER($E12),W$4&gt;=$D12,W$4&lt;=$E12,WEEKDAY(W$4,2)&lt;=5,COUNTIF('Sources &amp; Change Log'!$J$2:$J$5,W$4)=0,COUNTIFS('Team Calendar'!$A$5:$A$12,$F12,'Team Calendar'!$C$5:$C$12,W$4)=0),1,"")</x:f>
        <x:v>1</x:v>
      </x:c>
      <x:c r="X12" s="107" t="str">
        <x:f>IF(AND(ISNUMBER($D12),ISNUMBER($E12),X$4&gt;=$D12,X$4&lt;=$E12,WEEKDAY(X$4,2)&lt;=5,COUNTIF('Sources &amp; Change Log'!$J$2:$J$5,X$4)=0,COUNTIFS('Team Calendar'!$A$5:$A$12,$F12,'Team Calendar'!$C$5:$C$12,X$4)=0),1,"")</x:f>
      </x:c>
      <x:c r="Y12" s="107" t="str">
        <x:f>IF(AND(ISNUMBER($D12),ISNUMBER($E12),Y$4&gt;=$D12,Y$4&lt;=$E12,WEEKDAY(Y$4,2)&lt;=5,COUNTIF('Sources &amp; Change Log'!$J$2:$J$5,Y$4)=0,COUNTIFS('Team Calendar'!$A$5:$A$12,$F12,'Team Calendar'!$C$5:$C$12,Y$4)=0),1,"")</x:f>
      </x:c>
      <x:c r="Z12" s="100" t="n">
        <x:f>IF(AND(ISNUMBER($D12),ISNUMBER($E12),Z$4&gt;=$D12,Z$4&lt;=$E12,WEEKDAY(Z$4,2)&lt;=5,COUNTIF('Sources &amp; Change Log'!$J$2:$J$5,Z$4)=0,COUNTIFS('Team Calendar'!$A$5:$A$12,$F12,'Team Calendar'!$C$5:$C$12,Z$4)=0),1,"")</x:f>
        <x:v>1</x:v>
      </x:c>
      <x:c r="AA12" s="100" t="n">
        <x:f>IF(AND(ISNUMBER($D12),ISNUMBER($E12),AA$4&gt;=$D12,AA$4&lt;=$E12,WEEKDAY(AA$4,2)&lt;=5,COUNTIF('Sources &amp; Change Log'!$J$2:$J$5,AA$4)=0,COUNTIFS('Team Calendar'!$A$5:$A$12,$F12,'Team Calendar'!$C$5:$C$12,AA$4)=0),1,"")</x:f>
        <x:v>1</x:v>
      </x:c>
      <x:c r="AB12" s="100" t="n">
        <x:f>IF(AND(ISNUMBER($D12),ISNUMBER($E12),AB$4&gt;=$D12,AB$4&lt;=$E12,WEEKDAY(AB$4,2)&lt;=5,COUNTIF('Sources &amp; Change Log'!$J$2:$J$5,AB$4)=0,COUNTIFS('Team Calendar'!$A$5:$A$12,$F12,'Team Calendar'!$C$5:$C$12,AB$4)=0),1,"")</x:f>
        <x:v>1</x:v>
      </x:c>
      <x:c r="AC12" s="100" t="n">
        <x:f>IF(AND(ISNUMBER($D12),ISNUMBER($E12),AC$4&gt;=$D12,AC$4&lt;=$E12,WEEKDAY(AC$4,2)&lt;=5,COUNTIF('Sources &amp; Change Log'!$J$2:$J$5,AC$4)=0,COUNTIFS('Team Calendar'!$A$5:$A$12,$F12,'Team Calendar'!$C$5:$C$12,AC$4)=0),1,"")</x:f>
        <x:v>1</x:v>
      </x:c>
      <x:c r="AD12" s="100" t="n">
        <x:f>IF(AND(ISNUMBER($D12),ISNUMBER($E12),AD$4&gt;=$D12,AD$4&lt;=$E12,WEEKDAY(AD$4,2)&lt;=5,COUNTIF('Sources &amp; Change Log'!$J$2:$J$5,AD$4)=0,COUNTIFS('Team Calendar'!$A$5:$A$12,$F12,'Team Calendar'!$C$5:$C$12,AD$4)=0),1,"")</x:f>
        <x:v>1</x:v>
      </x:c>
      <x:c r="AE12" s="107" t="str">
        <x:f>IF(AND(ISNUMBER($D12),ISNUMBER($E12),AE$4&gt;=$D12,AE$4&lt;=$E12,WEEKDAY(AE$4,2)&lt;=5,COUNTIF('Sources &amp; Change Log'!$J$2:$J$5,AE$4)=0,COUNTIFS('Team Calendar'!$A$5:$A$12,$F12,'Team Calendar'!$C$5:$C$12,AE$4)=0),1,"")</x:f>
      </x:c>
      <x:c r="AF12" s="107" t="str">
        <x:f>IF(AND(ISNUMBER($D12),ISNUMBER($E12),AF$4&gt;=$D12,AF$4&lt;=$E12,WEEKDAY(AF$4,2)&lt;=5,COUNTIF('Sources &amp; Change Log'!$J$2:$J$5,AF$4)=0,COUNTIFS('Team Calendar'!$A$5:$A$12,$F12,'Team Calendar'!$C$5:$C$12,AF$4)=0),1,"")</x:f>
      </x:c>
      <x:c r="AG12" s="100" t="n">
        <x:f>IF(AND(ISNUMBER($D12),ISNUMBER($E12),AG$4&gt;=$D12,AG$4&lt;=$E12,WEEKDAY(AG$4,2)&lt;=5,COUNTIF('Sources &amp; Change Log'!$J$2:$J$5,AG$4)=0,COUNTIFS('Team Calendar'!$A$5:$A$12,$F12,'Team Calendar'!$C$5:$C$12,AG$4)=0),1,"")</x:f>
        <x:v>1</x:v>
      </x:c>
      <x:c r="AH12" s="100" t="str">
        <x:f>IF(AND(ISNUMBER($D12),ISNUMBER($E12),AH$4&gt;=$D12,AH$4&lt;=$E12,WEEKDAY(AH$4,2)&lt;=5,COUNTIF('Sources &amp; Change Log'!$J$2:$J$5,AH$4)=0,COUNTIFS('Team Calendar'!$A$5:$A$12,$F12,'Team Calendar'!$C$5:$C$12,AH$4)=0),1,"")</x:f>
      </x:c>
      <x:c r="AI12" s="100" t="str">
        <x:f>IF(AND(ISNUMBER($D12),ISNUMBER($E12),AI$4&gt;=$D12,AI$4&lt;=$E12,WEEKDAY(AI$4,2)&lt;=5,COUNTIF('Sources &amp; Change Log'!$J$2:$J$5,AI$4)=0,COUNTIFS('Team Calendar'!$A$5:$A$12,$F12,'Team Calendar'!$C$5:$C$12,AI$4)=0),1,"")</x:f>
      </x:c>
    </x:row>
    <x:row r="13" ht="24" customHeight="1">
      <x:c r="A13" s="13" t="str">
        <x:f>WBS!A12</x:f>
        <x:v>CR-P1-ANS-01-01</x:v>
      </x:c>
      <x:c r="B13" s="13" t="str">
        <x:f>WBS!B12</x:f>
        <x:v>Ansible Kubernetes Node DNS Resolver 변경</x:v>
      </x:c>
      <x:c r="C13" s="13" t="str">
        <x:f>WBS!G12</x:f>
        <x:v>Done</x:v>
      </x:c>
      <x:c r="D13" s="86" t="n">
        <x:f>IF(WBS!H12="","",WBS!H12)</x:f>
        <x:v>46269</x:v>
      </x:c>
      <x:c r="E13" s="86" t="n">
        <x:f>IF(WBS!I12="","",WBS!I12)</x:f>
        <x:v>46272</x:v>
      </x:c>
      <x:c r="F13" s="13" t="str">
        <x:f>WBS!L12</x:f>
        <x:v>이권욱</x:v>
      </x:c>
      <x:c r="G13" s="100" t="str">
        <x:f>IF(AND(ISNUMBER($D13),ISNUMBER($E13),G$4&gt;=$D13,G$4&lt;=$E13,WEEKDAY(G$4,2)&lt;=5,COUNTIF('Sources &amp; Change Log'!$J$2:$J$5,G$4)=0,COUNTIFS('Team Calendar'!$A$5:$A$12,$F13,'Team Calendar'!$C$5:$C$12,G$4)=0),1,"")</x:f>
      </x:c>
      <x:c r="H13" s="100" t="str">
        <x:f>IF(AND(ISNUMBER($D13),ISNUMBER($E13),H$4&gt;=$D13,H$4&lt;=$E13,WEEKDAY(H$4,2)&lt;=5,COUNTIF('Sources &amp; Change Log'!$J$2:$J$5,H$4)=0,COUNTIFS('Team Calendar'!$A$5:$A$12,$F13,'Team Calendar'!$C$5:$C$12,H$4)=0),1,"")</x:f>
      </x:c>
      <x:c r="I13" s="100" t="str">
        <x:f>IF(AND(ISNUMBER($D13),ISNUMBER($E13),I$4&gt;=$D13,I$4&lt;=$E13,WEEKDAY(I$4,2)&lt;=5,COUNTIF('Sources &amp; Change Log'!$J$2:$J$5,I$4)=0,COUNTIFS('Team Calendar'!$A$5:$A$12,$F13,'Team Calendar'!$C$5:$C$12,I$4)=0),1,"")</x:f>
      </x:c>
      <x:c r="J13" s="107" t="str">
        <x:f>IF(AND(ISNUMBER($D13),ISNUMBER($E13),J$4&gt;=$D13,J$4&lt;=$E13,WEEKDAY(J$4,2)&lt;=5,COUNTIF('Sources &amp; Change Log'!$J$2:$J$5,J$4)=0,COUNTIFS('Team Calendar'!$A$5:$A$12,$F13,'Team Calendar'!$C$5:$C$12,J$4)=0),1,"")</x:f>
      </x:c>
      <x:c r="K13" s="107" t="str">
        <x:f>IF(AND(ISNUMBER($D13),ISNUMBER($E13),K$4&gt;=$D13,K$4&lt;=$E13,WEEKDAY(K$4,2)&lt;=5,COUNTIF('Sources &amp; Change Log'!$J$2:$J$5,K$4)=0,COUNTIFS('Team Calendar'!$A$5:$A$12,$F13,'Team Calendar'!$C$5:$C$12,K$4)=0),1,"")</x:f>
      </x:c>
      <x:c r="L13" s="100" t="str">
        <x:f>IF(AND(ISNUMBER($D13),ISNUMBER($E13),L$4&gt;=$D13,L$4&lt;=$E13,WEEKDAY(L$4,2)&lt;=5,COUNTIF('Sources &amp; Change Log'!$J$2:$J$5,L$4)=0,COUNTIFS('Team Calendar'!$A$5:$A$12,$F13,'Team Calendar'!$C$5:$C$12,L$4)=0),1,"")</x:f>
      </x:c>
      <x:c r="M13" s="101" t="str">
        <x:f>IF(AND(ISNUMBER($D13),ISNUMBER($E13),M$4&gt;=$D13,M$4&lt;=$E13,WEEKDAY(M$4,2)&lt;=5,COUNTIF('Sources &amp; Change Log'!$J$2:$J$5,M$4)=0,COUNTIFS('Team Calendar'!$A$5:$A$12,$F13,'Team Calendar'!$C$5:$C$12,M$4)=0),1,"")</x:f>
      </x:c>
      <x:c r="N13" s="100" t="str">
        <x:f>IF(AND(ISNUMBER($D13),ISNUMBER($E13),N$4&gt;=$D13,N$4&lt;=$E13,WEEKDAY(N$4,2)&lt;=5,COUNTIF('Sources &amp; Change Log'!$J$2:$J$5,N$4)=0,COUNTIFS('Team Calendar'!$A$5:$A$12,$F13,'Team Calendar'!$C$5:$C$12,N$4)=0),1,"")</x:f>
      </x:c>
      <x:c r="O13" s="100" t="str">
        <x:f>IF(AND(ISNUMBER($D13),ISNUMBER($E13),O$4&gt;=$D13,O$4&lt;=$E13,WEEKDAY(O$4,2)&lt;=5,COUNTIF('Sources &amp; Change Log'!$J$2:$J$5,O$4)=0,COUNTIFS('Team Calendar'!$A$5:$A$12,$F13,'Team Calendar'!$C$5:$C$12,O$4)=0),1,"")</x:f>
      </x:c>
      <x:c r="P13" s="106" t="n">
        <x:f>IF(AND(ISNUMBER($D13),ISNUMBER($E13),P$4&gt;=$D13,P$4&lt;=$E13,WEEKDAY(P$4,2)&lt;=5,COUNTIF('Sources &amp; Change Log'!$J$2:$J$5,P$4)=0,COUNTIFS('Team Calendar'!$A$5:$A$12,$F13,'Team Calendar'!$C$5:$C$12,P$4)=0),1,"")</x:f>
        <x:v>1</x:v>
      </x:c>
      <x:c r="Q13" s="107" t="str">
        <x:f>IF(AND(ISNUMBER($D13),ISNUMBER($E13),Q$4&gt;=$D13,Q$4&lt;=$E13,WEEKDAY(Q$4,2)&lt;=5,COUNTIF('Sources &amp; Change Log'!$J$2:$J$5,Q$4)=0,COUNTIFS('Team Calendar'!$A$5:$A$12,$F13,'Team Calendar'!$C$5:$C$12,Q$4)=0),1,"")</x:f>
      </x:c>
      <x:c r="R13" s="107" t="str">
        <x:f>IF(AND(ISNUMBER($D13),ISNUMBER($E13),R$4&gt;=$D13,R$4&lt;=$E13,WEEKDAY(R$4,2)&lt;=5,COUNTIF('Sources &amp; Change Log'!$J$2:$J$5,R$4)=0,COUNTIFS('Team Calendar'!$A$5:$A$12,$F13,'Team Calendar'!$C$5:$C$12,R$4)=0),1,"")</x:f>
      </x:c>
      <x:c r="S13" s="100" t="n">
        <x:f>IF(AND(ISNUMBER($D13),ISNUMBER($E13),S$4&gt;=$D13,S$4&lt;=$E13,WEEKDAY(S$4,2)&lt;=5,COUNTIF('Sources &amp; Change Log'!$J$2:$J$5,S$4)=0,COUNTIFS('Team Calendar'!$A$5:$A$12,$F13,'Team Calendar'!$C$5:$C$12,S$4)=0),1,"")</x:f>
        <x:v>1</x:v>
      </x:c>
      <x:c r="T13" s="100" t="str">
        <x:f>IF(AND(ISNUMBER($D13),ISNUMBER($E13),T$4&gt;=$D13,T$4&lt;=$E13,WEEKDAY(T$4,2)&lt;=5,COUNTIF('Sources &amp; Change Log'!$J$2:$J$5,T$4)=0,COUNTIFS('Team Calendar'!$A$5:$A$12,$F13,'Team Calendar'!$C$5:$C$12,T$4)=0),1,"")</x:f>
      </x:c>
      <x:c r="U13" s="100" t="str">
        <x:f>IF(AND(ISNUMBER($D13),ISNUMBER($E13),U$4&gt;=$D13,U$4&lt;=$E13,WEEKDAY(U$4,2)&lt;=5,COUNTIF('Sources &amp; Change Log'!$J$2:$J$5,U$4)=0,COUNTIFS('Team Calendar'!$A$5:$A$12,$F13,'Team Calendar'!$C$5:$C$12,U$4)=0),1,"")</x:f>
      </x:c>
      <x:c r="V13" s="100" t="str">
        <x:f>IF(AND(ISNUMBER($D13),ISNUMBER($E13),V$4&gt;=$D13,V$4&lt;=$E13,WEEKDAY(V$4,2)&lt;=5,COUNTIF('Sources &amp; Change Log'!$J$2:$J$5,V$4)=0,COUNTIFS('Team Calendar'!$A$5:$A$12,$F13,'Team Calendar'!$C$5:$C$12,V$4)=0),1,"")</x:f>
      </x:c>
      <x:c r="W13" s="100" t="str">
        <x:f>IF(AND(ISNUMBER($D13),ISNUMBER($E13),W$4&gt;=$D13,W$4&lt;=$E13,WEEKDAY(W$4,2)&lt;=5,COUNTIF('Sources &amp; Change Log'!$J$2:$J$5,W$4)=0,COUNTIFS('Team Calendar'!$A$5:$A$12,$F13,'Team Calendar'!$C$5:$C$12,W$4)=0),1,"")</x:f>
      </x:c>
      <x:c r="X13" s="107" t="str">
        <x:f>IF(AND(ISNUMBER($D13),ISNUMBER($E13),X$4&gt;=$D13,X$4&lt;=$E13,WEEKDAY(X$4,2)&lt;=5,COUNTIF('Sources &amp; Change Log'!$J$2:$J$5,X$4)=0,COUNTIFS('Team Calendar'!$A$5:$A$12,$F13,'Team Calendar'!$C$5:$C$12,X$4)=0),1,"")</x:f>
      </x:c>
      <x:c r="Y13" s="107" t="str">
        <x:f>IF(AND(ISNUMBER($D13),ISNUMBER($E13),Y$4&gt;=$D13,Y$4&lt;=$E13,WEEKDAY(Y$4,2)&lt;=5,COUNTIF('Sources &amp; Change Log'!$J$2:$J$5,Y$4)=0,COUNTIFS('Team Calendar'!$A$5:$A$12,$F13,'Team Calendar'!$C$5:$C$12,Y$4)=0),1,"")</x:f>
      </x:c>
      <x:c r="Z13" s="100" t="str">
        <x:f>IF(AND(ISNUMBER($D13),ISNUMBER($E13),Z$4&gt;=$D13,Z$4&lt;=$E13,WEEKDAY(Z$4,2)&lt;=5,COUNTIF('Sources &amp; Change Log'!$J$2:$J$5,Z$4)=0,COUNTIFS('Team Calendar'!$A$5:$A$12,$F13,'Team Calendar'!$C$5:$C$12,Z$4)=0),1,"")</x:f>
      </x:c>
      <x:c r="AA13" s="100" t="str">
        <x:f>IF(AND(ISNUMBER($D13),ISNUMBER($E13),AA$4&gt;=$D13,AA$4&lt;=$E13,WEEKDAY(AA$4,2)&lt;=5,COUNTIF('Sources &amp; Change Log'!$J$2:$J$5,AA$4)=0,COUNTIFS('Team Calendar'!$A$5:$A$12,$F13,'Team Calendar'!$C$5:$C$12,AA$4)=0),1,"")</x:f>
      </x:c>
      <x:c r="AB13" s="100" t="str">
        <x:f>IF(AND(ISNUMBER($D13),ISNUMBER($E13),AB$4&gt;=$D13,AB$4&lt;=$E13,WEEKDAY(AB$4,2)&lt;=5,COUNTIF('Sources &amp; Change Log'!$J$2:$J$5,AB$4)=0,COUNTIFS('Team Calendar'!$A$5:$A$12,$F13,'Team Calendar'!$C$5:$C$12,AB$4)=0),1,"")</x:f>
      </x:c>
      <x:c r="AC13" s="100" t="str">
        <x:f>IF(AND(ISNUMBER($D13),ISNUMBER($E13),AC$4&gt;=$D13,AC$4&lt;=$E13,WEEKDAY(AC$4,2)&lt;=5,COUNTIF('Sources &amp; Change Log'!$J$2:$J$5,AC$4)=0,COUNTIFS('Team Calendar'!$A$5:$A$12,$F13,'Team Calendar'!$C$5:$C$12,AC$4)=0),1,"")</x:f>
      </x:c>
      <x:c r="AD13" s="100" t="str">
        <x:f>IF(AND(ISNUMBER($D13),ISNUMBER($E13),AD$4&gt;=$D13,AD$4&lt;=$E13,WEEKDAY(AD$4,2)&lt;=5,COUNTIF('Sources &amp; Change Log'!$J$2:$J$5,AD$4)=0,COUNTIFS('Team Calendar'!$A$5:$A$12,$F13,'Team Calendar'!$C$5:$C$12,AD$4)=0),1,"")</x:f>
      </x:c>
      <x:c r="AE13" s="107" t="str">
        <x:f>IF(AND(ISNUMBER($D13),ISNUMBER($E13),AE$4&gt;=$D13,AE$4&lt;=$E13,WEEKDAY(AE$4,2)&lt;=5,COUNTIF('Sources &amp; Change Log'!$J$2:$J$5,AE$4)=0,COUNTIFS('Team Calendar'!$A$5:$A$12,$F13,'Team Calendar'!$C$5:$C$12,AE$4)=0),1,"")</x:f>
      </x:c>
      <x:c r="AF13" s="107" t="str">
        <x:f>IF(AND(ISNUMBER($D13),ISNUMBER($E13),AF$4&gt;=$D13,AF$4&lt;=$E13,WEEKDAY(AF$4,2)&lt;=5,COUNTIF('Sources &amp; Change Log'!$J$2:$J$5,AF$4)=0,COUNTIFS('Team Calendar'!$A$5:$A$12,$F13,'Team Calendar'!$C$5:$C$12,AF$4)=0),1,"")</x:f>
      </x:c>
      <x:c r="AG13" s="100" t="str">
        <x:f>IF(AND(ISNUMBER($D13),ISNUMBER($E13),AG$4&gt;=$D13,AG$4&lt;=$E13,WEEKDAY(AG$4,2)&lt;=5,COUNTIF('Sources &amp; Change Log'!$J$2:$J$5,AG$4)=0,COUNTIFS('Team Calendar'!$A$5:$A$12,$F13,'Team Calendar'!$C$5:$C$12,AG$4)=0),1,"")</x:f>
      </x:c>
      <x:c r="AH13" s="100" t="str">
        <x:f>IF(AND(ISNUMBER($D13),ISNUMBER($E13),AH$4&gt;=$D13,AH$4&lt;=$E13,WEEKDAY(AH$4,2)&lt;=5,COUNTIF('Sources &amp; Change Log'!$J$2:$J$5,AH$4)=0,COUNTIFS('Team Calendar'!$A$5:$A$12,$F13,'Team Calendar'!$C$5:$C$12,AH$4)=0),1,"")</x:f>
      </x:c>
      <x:c r="AI13" s="100" t="str">
        <x:f>IF(AND(ISNUMBER($D13),ISNUMBER($E13),AI$4&gt;=$D13,AI$4&lt;=$E13,WEEKDAY(AI$4,2)&lt;=5,COUNTIF('Sources &amp; Change Log'!$J$2:$J$5,AI$4)=0,COUNTIFS('Team Calendar'!$A$5:$A$12,$F13,'Team Calendar'!$C$5:$C$12,AI$4)=0),1,"")</x:f>
      </x:c>
    </x:row>
    <x:row r="14" ht="24" customHeight="1">
      <x:c r="A14" s="13" t="str">
        <x:f>WBS!A13</x:f>
        <x:v>P1-APP-01</x:v>
      </x:c>
      <x:c r="B14" s="13" t="str">
        <x:f>WBS!B13</x:f>
        <x:v>transaction-api / fds-engine</x:v>
      </x:c>
      <x:c r="C14" s="13" t="str">
        <x:f>WBS!G13</x:f>
        <x:v>In Progress</x:v>
      </x:c>
      <x:c r="D14" s="86" t="n">
        <x:f>IF(WBS!H13="","",WBS!H13)</x:f>
        <x:v>46266</x:v>
      </x:c>
      <x:c r="E14" s="86" t="n">
        <x:f>IF(WBS!I13="","",WBS!I13)</x:f>
        <x:v>46283</x:v>
      </x:c>
      <x:c r="F14" s="13" t="str">
        <x:f>WBS!L13</x:f>
        <x:v>이재환</x:v>
      </x:c>
      <x:c r="G14" s="100" t="str">
        <x:f>IF(AND(ISNUMBER($D14),ISNUMBER($E14),G$4&gt;=$D14,G$4&lt;=$E14,WEEKDAY(G$4,2)&lt;=5,COUNTIF('Sources &amp; Change Log'!$J$2:$J$5,G$4)=0,COUNTIFS('Team Calendar'!$A$5:$A$12,$F14,'Team Calendar'!$C$5:$C$12,G$4)=0),1,"")</x:f>
      </x:c>
      <x:c r="H14" s="100" t="str">
        <x:f>IF(AND(ISNUMBER($D14),ISNUMBER($E14),H$4&gt;=$D14,H$4&lt;=$E14,WEEKDAY(H$4,2)&lt;=5,COUNTIF('Sources &amp; Change Log'!$J$2:$J$5,H$4)=0,COUNTIFS('Team Calendar'!$A$5:$A$12,$F14,'Team Calendar'!$C$5:$C$12,H$4)=0),1,"")</x:f>
      </x:c>
      <x:c r="I14" s="100" t="str">
        <x:f>IF(AND(ISNUMBER($D14),ISNUMBER($E14),I$4&gt;=$D14,I$4&lt;=$E14,WEEKDAY(I$4,2)&lt;=5,COUNTIF('Sources &amp; Change Log'!$J$2:$J$5,I$4)=0,COUNTIFS('Team Calendar'!$A$5:$A$12,$F14,'Team Calendar'!$C$5:$C$12,I$4)=0),1,"")</x:f>
      </x:c>
      <x:c r="J14" s="107" t="str">
        <x:f>IF(AND(ISNUMBER($D14),ISNUMBER($E14),J$4&gt;=$D14,J$4&lt;=$E14,WEEKDAY(J$4,2)&lt;=5,COUNTIF('Sources &amp; Change Log'!$J$2:$J$5,J$4)=0,COUNTIFS('Team Calendar'!$A$5:$A$12,$F14,'Team Calendar'!$C$5:$C$12,J$4)=0),1,"")</x:f>
      </x:c>
      <x:c r="K14" s="107" t="str">
        <x:f>IF(AND(ISNUMBER($D14),ISNUMBER($E14),K$4&gt;=$D14,K$4&lt;=$E14,WEEKDAY(K$4,2)&lt;=5,COUNTIF('Sources &amp; Change Log'!$J$2:$J$5,K$4)=0,COUNTIFS('Team Calendar'!$A$5:$A$12,$F14,'Team Calendar'!$C$5:$C$12,K$4)=0),1,"")</x:f>
      </x:c>
      <x:c r="L14" s="100" t="str">
        <x:f>IF(AND(ISNUMBER($D14),ISNUMBER($E14),L$4&gt;=$D14,L$4&lt;=$E14,WEEKDAY(L$4,2)&lt;=5,COUNTIF('Sources &amp; Change Log'!$J$2:$J$5,L$4)=0,COUNTIFS('Team Calendar'!$A$5:$A$12,$F14,'Team Calendar'!$C$5:$C$12,L$4)=0),1,"")</x:f>
      </x:c>
      <x:c r="M14" s="101" t="n">
        <x:f>IF(AND(ISNUMBER($D14),ISNUMBER($E14),M$4&gt;=$D14,M$4&lt;=$E14,WEEKDAY(M$4,2)&lt;=5,COUNTIF('Sources &amp; Change Log'!$J$2:$J$5,M$4)=0,COUNTIFS('Team Calendar'!$A$5:$A$12,$F14,'Team Calendar'!$C$5:$C$12,M$4)=0),1,"")</x:f>
        <x:v>1</x:v>
      </x:c>
      <x:c r="N14" s="100" t="n">
        <x:f>IF(AND(ISNUMBER($D14),ISNUMBER($E14),N$4&gt;=$D14,N$4&lt;=$E14,WEEKDAY(N$4,2)&lt;=5,COUNTIF('Sources &amp; Change Log'!$J$2:$J$5,N$4)=0,COUNTIFS('Team Calendar'!$A$5:$A$12,$F14,'Team Calendar'!$C$5:$C$12,N$4)=0),1,"")</x:f>
        <x:v>1</x:v>
      </x:c>
      <x:c r="O14" s="100" t="n">
        <x:f>IF(AND(ISNUMBER($D14),ISNUMBER($E14),O$4&gt;=$D14,O$4&lt;=$E14,WEEKDAY(O$4,2)&lt;=5,COUNTIF('Sources &amp; Change Log'!$J$2:$J$5,O$4)=0,COUNTIFS('Team Calendar'!$A$5:$A$12,$F14,'Team Calendar'!$C$5:$C$12,O$4)=0),1,"")</x:f>
        <x:v>1</x:v>
      </x:c>
      <x:c r="P14" s="100" t="str">
        <x:f>IF(AND(ISNUMBER($D14),ISNUMBER($E14),P$4&gt;=$D14,P$4&lt;=$E14,WEEKDAY(P$4,2)&lt;=5,COUNTIF('Sources &amp; Change Log'!$J$2:$J$5,P$4)=0,COUNTIFS('Team Calendar'!$A$5:$A$12,$F14,'Team Calendar'!$C$5:$C$12,P$4)=0),1,"")</x:f>
      </x:c>
      <x:c r="Q14" s="107" t="str">
        <x:f>IF(AND(ISNUMBER($D14),ISNUMBER($E14),Q$4&gt;=$D14,Q$4&lt;=$E14,WEEKDAY(Q$4,2)&lt;=5,COUNTIF('Sources &amp; Change Log'!$J$2:$J$5,Q$4)=0,COUNTIFS('Team Calendar'!$A$5:$A$12,$F14,'Team Calendar'!$C$5:$C$12,Q$4)=0),1,"")</x:f>
      </x:c>
      <x:c r="R14" s="107" t="str">
        <x:f>IF(AND(ISNUMBER($D14),ISNUMBER($E14),R$4&gt;=$D14,R$4&lt;=$E14,WEEKDAY(R$4,2)&lt;=5,COUNTIF('Sources &amp; Change Log'!$J$2:$J$5,R$4)=0,COUNTIFS('Team Calendar'!$A$5:$A$12,$F14,'Team Calendar'!$C$5:$C$12,R$4)=0),1,"")</x:f>
      </x:c>
      <x:c r="S14" s="100" t="n">
        <x:f>IF(AND(ISNUMBER($D14),ISNUMBER($E14),S$4&gt;=$D14,S$4&lt;=$E14,WEEKDAY(S$4,2)&lt;=5,COUNTIF('Sources &amp; Change Log'!$J$2:$J$5,S$4)=0,COUNTIFS('Team Calendar'!$A$5:$A$12,$F14,'Team Calendar'!$C$5:$C$12,S$4)=0),1,"")</x:f>
        <x:v>1</x:v>
      </x:c>
      <x:c r="T14" s="100" t="n">
        <x:f>IF(AND(ISNUMBER($D14),ISNUMBER($E14),T$4&gt;=$D14,T$4&lt;=$E14,WEEKDAY(T$4,2)&lt;=5,COUNTIF('Sources &amp; Change Log'!$J$2:$J$5,T$4)=0,COUNTIFS('Team Calendar'!$A$5:$A$12,$F14,'Team Calendar'!$C$5:$C$12,T$4)=0),1,"")</x:f>
        <x:v>1</x:v>
      </x:c>
      <x:c r="U14" s="100" t="n">
        <x:f>IF(AND(ISNUMBER($D14),ISNUMBER($E14),U$4&gt;=$D14,U$4&lt;=$E14,WEEKDAY(U$4,2)&lt;=5,COUNTIF('Sources &amp; Change Log'!$J$2:$J$5,U$4)=0,COUNTIFS('Team Calendar'!$A$5:$A$12,$F14,'Team Calendar'!$C$5:$C$12,U$4)=0),1,"")</x:f>
        <x:v>1</x:v>
      </x:c>
      <x:c r="V14" s="100" t="n">
        <x:f>IF(AND(ISNUMBER($D14),ISNUMBER($E14),V$4&gt;=$D14,V$4&lt;=$E14,WEEKDAY(V$4,2)&lt;=5,COUNTIF('Sources &amp; Change Log'!$J$2:$J$5,V$4)=0,COUNTIFS('Team Calendar'!$A$5:$A$12,$F14,'Team Calendar'!$C$5:$C$12,V$4)=0),1,"")</x:f>
        <x:v>1</x:v>
      </x:c>
      <x:c r="W14" s="100" t="n">
        <x:f>IF(AND(ISNUMBER($D14),ISNUMBER($E14),W$4&gt;=$D14,W$4&lt;=$E14,WEEKDAY(W$4,2)&lt;=5,COUNTIF('Sources &amp; Change Log'!$J$2:$J$5,W$4)=0,COUNTIFS('Team Calendar'!$A$5:$A$12,$F14,'Team Calendar'!$C$5:$C$12,W$4)=0),1,"")</x:f>
        <x:v>1</x:v>
      </x:c>
      <x:c r="X14" s="107" t="str">
        <x:f>IF(AND(ISNUMBER($D14),ISNUMBER($E14),X$4&gt;=$D14,X$4&lt;=$E14,WEEKDAY(X$4,2)&lt;=5,COUNTIF('Sources &amp; Change Log'!$J$2:$J$5,X$4)=0,COUNTIFS('Team Calendar'!$A$5:$A$12,$F14,'Team Calendar'!$C$5:$C$12,X$4)=0),1,"")</x:f>
      </x:c>
      <x:c r="Y14" s="107" t="str">
        <x:f>IF(AND(ISNUMBER($D14),ISNUMBER($E14),Y$4&gt;=$D14,Y$4&lt;=$E14,WEEKDAY(Y$4,2)&lt;=5,COUNTIF('Sources &amp; Change Log'!$J$2:$J$5,Y$4)=0,COUNTIFS('Team Calendar'!$A$5:$A$12,$F14,'Team Calendar'!$C$5:$C$12,Y$4)=0),1,"")</x:f>
      </x:c>
      <x:c r="Z14" s="100" t="str">
        <x:f>IF(AND(ISNUMBER($D14),ISNUMBER($E14),Z$4&gt;=$D14,Z$4&lt;=$E14,WEEKDAY(Z$4,2)&lt;=5,COUNTIF('Sources &amp; Change Log'!$J$2:$J$5,Z$4)=0,COUNTIFS('Team Calendar'!$A$5:$A$12,$F14,'Team Calendar'!$C$5:$C$12,Z$4)=0),1,"")</x:f>
      </x:c>
      <x:c r="AA14" s="100" t="str">
        <x:f>IF(AND(ISNUMBER($D14),ISNUMBER($E14),AA$4&gt;=$D14,AA$4&lt;=$E14,WEEKDAY(AA$4,2)&lt;=5,COUNTIF('Sources &amp; Change Log'!$J$2:$J$5,AA$4)=0,COUNTIFS('Team Calendar'!$A$5:$A$12,$F14,'Team Calendar'!$C$5:$C$12,AA$4)=0),1,"")</x:f>
      </x:c>
      <x:c r="AB14" s="100" t="str">
        <x:f>IF(AND(ISNUMBER($D14),ISNUMBER($E14),AB$4&gt;=$D14,AB$4&lt;=$E14,WEEKDAY(AB$4,2)&lt;=5,COUNTIF('Sources &amp; Change Log'!$J$2:$J$5,AB$4)=0,COUNTIFS('Team Calendar'!$A$5:$A$12,$F14,'Team Calendar'!$C$5:$C$12,AB$4)=0),1,"")</x:f>
      </x:c>
      <x:c r="AC14" s="100" t="str">
        <x:f>IF(AND(ISNUMBER($D14),ISNUMBER($E14),AC$4&gt;=$D14,AC$4&lt;=$E14,WEEKDAY(AC$4,2)&lt;=5,COUNTIF('Sources &amp; Change Log'!$J$2:$J$5,AC$4)=0,COUNTIFS('Team Calendar'!$A$5:$A$12,$F14,'Team Calendar'!$C$5:$C$12,AC$4)=0),1,"")</x:f>
      </x:c>
      <x:c r="AD14" s="100" t="n">
        <x:f>IF(AND(ISNUMBER($D14),ISNUMBER($E14),AD$4&gt;=$D14,AD$4&lt;=$E14,WEEKDAY(AD$4,2)&lt;=5,COUNTIF('Sources &amp; Change Log'!$J$2:$J$5,AD$4)=0,COUNTIFS('Team Calendar'!$A$5:$A$12,$F14,'Team Calendar'!$C$5:$C$12,AD$4)=0),1,"")</x:f>
        <x:v>1</x:v>
      </x:c>
      <x:c r="AE14" s="107" t="str">
        <x:f>IF(AND(ISNUMBER($D14),ISNUMBER($E14),AE$4&gt;=$D14,AE$4&lt;=$E14,WEEKDAY(AE$4,2)&lt;=5,COUNTIF('Sources &amp; Change Log'!$J$2:$J$5,AE$4)=0,COUNTIFS('Team Calendar'!$A$5:$A$12,$F14,'Team Calendar'!$C$5:$C$12,AE$4)=0),1,"")</x:f>
      </x:c>
      <x:c r="AF14" s="107" t="str">
        <x:f>IF(AND(ISNUMBER($D14),ISNUMBER($E14),AF$4&gt;=$D14,AF$4&lt;=$E14,WEEKDAY(AF$4,2)&lt;=5,COUNTIF('Sources &amp; Change Log'!$J$2:$J$5,AF$4)=0,COUNTIFS('Team Calendar'!$A$5:$A$12,$F14,'Team Calendar'!$C$5:$C$12,AF$4)=0),1,"")</x:f>
      </x:c>
      <x:c r="AG14" s="100" t="str">
        <x:f>IF(AND(ISNUMBER($D14),ISNUMBER($E14),AG$4&gt;=$D14,AG$4&lt;=$E14,WEEKDAY(AG$4,2)&lt;=5,COUNTIF('Sources &amp; Change Log'!$J$2:$J$5,AG$4)=0,COUNTIFS('Team Calendar'!$A$5:$A$12,$F14,'Team Calendar'!$C$5:$C$12,AG$4)=0),1,"")</x:f>
      </x:c>
      <x:c r="AH14" s="100" t="str">
        <x:f>IF(AND(ISNUMBER($D14),ISNUMBER($E14),AH$4&gt;=$D14,AH$4&lt;=$E14,WEEKDAY(AH$4,2)&lt;=5,COUNTIF('Sources &amp; Change Log'!$J$2:$J$5,AH$4)=0,COUNTIFS('Team Calendar'!$A$5:$A$12,$F14,'Team Calendar'!$C$5:$C$12,AH$4)=0),1,"")</x:f>
      </x:c>
      <x:c r="AI14" s="100" t="str">
        <x:f>IF(AND(ISNUMBER($D14),ISNUMBER($E14),AI$4&gt;=$D14,AI$4&lt;=$E14,WEEKDAY(AI$4,2)&lt;=5,COUNTIF('Sources &amp; Change Log'!$J$2:$J$5,AI$4)=0,COUNTIFS('Team Calendar'!$A$5:$A$12,$F14,'Team Calendar'!$C$5:$C$12,AI$4)=0),1,"")</x:f>
      </x:c>
    </x:row>
    <x:row r="15" ht="24" customHeight="1">
      <x:c r="A15" s="13" t="str">
        <x:f>WBS!A14</x:f>
        <x:v>P1-CICD-01</x:v>
      </x:c>
      <x:c r="B15" s="13" t="str">
        <x:f>WBS!B14</x:f>
        <x:v>GitHub Actions / Self-hosted Runner Delivery</x:v>
      </x:c>
      <x:c r="C15" s="13" t="str">
        <x:f>WBS!G14</x:f>
        <x:v>In Progress</x:v>
      </x:c>
      <x:c r="D15" s="86" t="n">
        <x:f>IF(WBS!H14="","",WBS!H14)</x:f>
        <x:v>46266</x:v>
      </x:c>
      <x:c r="E15" s="86" t="n">
        <x:f>IF(WBS!I14="","",WBS!I14)</x:f>
        <x:v>46283</x:v>
      </x:c>
      <x:c r="F15" s="13" t="str">
        <x:f>WBS!L14</x:f>
        <x:v>이권욱</x:v>
      </x:c>
      <x:c r="G15" s="100" t="str">
        <x:f>IF(AND(ISNUMBER($D15),ISNUMBER($E15),G$4&gt;=$D15,G$4&lt;=$E15,WEEKDAY(G$4,2)&lt;=5,COUNTIF('Sources &amp; Change Log'!$J$2:$J$5,G$4)=0,COUNTIFS('Team Calendar'!$A$5:$A$12,$F15,'Team Calendar'!$C$5:$C$12,G$4)=0),1,"")</x:f>
      </x:c>
      <x:c r="H15" s="100" t="str">
        <x:f>IF(AND(ISNUMBER($D15),ISNUMBER($E15),H$4&gt;=$D15,H$4&lt;=$E15,WEEKDAY(H$4,2)&lt;=5,COUNTIF('Sources &amp; Change Log'!$J$2:$J$5,H$4)=0,COUNTIFS('Team Calendar'!$A$5:$A$12,$F15,'Team Calendar'!$C$5:$C$12,H$4)=0),1,"")</x:f>
      </x:c>
      <x:c r="I15" s="100" t="str">
        <x:f>IF(AND(ISNUMBER($D15),ISNUMBER($E15),I$4&gt;=$D15,I$4&lt;=$E15,WEEKDAY(I$4,2)&lt;=5,COUNTIF('Sources &amp; Change Log'!$J$2:$J$5,I$4)=0,COUNTIFS('Team Calendar'!$A$5:$A$12,$F15,'Team Calendar'!$C$5:$C$12,I$4)=0),1,"")</x:f>
      </x:c>
      <x:c r="J15" s="107" t="str">
        <x:f>IF(AND(ISNUMBER($D15),ISNUMBER($E15),J$4&gt;=$D15,J$4&lt;=$E15,WEEKDAY(J$4,2)&lt;=5,COUNTIF('Sources &amp; Change Log'!$J$2:$J$5,J$4)=0,COUNTIFS('Team Calendar'!$A$5:$A$12,$F15,'Team Calendar'!$C$5:$C$12,J$4)=0),1,"")</x:f>
      </x:c>
      <x:c r="K15" s="107" t="str">
        <x:f>IF(AND(ISNUMBER($D15),ISNUMBER($E15),K$4&gt;=$D15,K$4&lt;=$E15,WEEKDAY(K$4,2)&lt;=5,COUNTIF('Sources &amp; Change Log'!$J$2:$J$5,K$4)=0,COUNTIFS('Team Calendar'!$A$5:$A$12,$F15,'Team Calendar'!$C$5:$C$12,K$4)=0),1,"")</x:f>
      </x:c>
      <x:c r="L15" s="100" t="str">
        <x:f>IF(AND(ISNUMBER($D15),ISNUMBER($E15),L$4&gt;=$D15,L$4&lt;=$E15,WEEKDAY(L$4,2)&lt;=5,COUNTIF('Sources &amp; Change Log'!$J$2:$J$5,L$4)=0,COUNTIFS('Team Calendar'!$A$5:$A$12,$F15,'Team Calendar'!$C$5:$C$12,L$4)=0),1,"")</x:f>
      </x:c>
      <x:c r="M15" s="101" t="n">
        <x:f>IF(AND(ISNUMBER($D15),ISNUMBER($E15),M$4&gt;=$D15,M$4&lt;=$E15,WEEKDAY(M$4,2)&lt;=5,COUNTIF('Sources &amp; Change Log'!$J$2:$J$5,M$4)=0,COUNTIFS('Team Calendar'!$A$5:$A$12,$F15,'Team Calendar'!$C$5:$C$12,M$4)=0),1,"")</x:f>
        <x:v>1</x:v>
      </x:c>
      <x:c r="N15" s="100" t="n">
        <x:f>IF(AND(ISNUMBER($D15),ISNUMBER($E15),N$4&gt;=$D15,N$4&lt;=$E15,WEEKDAY(N$4,2)&lt;=5,COUNTIF('Sources &amp; Change Log'!$J$2:$J$5,N$4)=0,COUNTIFS('Team Calendar'!$A$5:$A$12,$F15,'Team Calendar'!$C$5:$C$12,N$4)=0),1,"")</x:f>
        <x:v>1</x:v>
      </x:c>
      <x:c r="O15" s="100" t="n">
        <x:f>IF(AND(ISNUMBER($D15),ISNUMBER($E15),O$4&gt;=$D15,O$4&lt;=$E15,WEEKDAY(O$4,2)&lt;=5,COUNTIF('Sources &amp; Change Log'!$J$2:$J$5,O$4)=0,COUNTIFS('Team Calendar'!$A$5:$A$12,$F15,'Team Calendar'!$C$5:$C$12,O$4)=0),1,"")</x:f>
        <x:v>1</x:v>
      </x:c>
      <x:c r="P15" s="100" t="n">
        <x:f>IF(AND(ISNUMBER($D15),ISNUMBER($E15),P$4&gt;=$D15,P$4&lt;=$E15,WEEKDAY(P$4,2)&lt;=5,COUNTIF('Sources &amp; Change Log'!$J$2:$J$5,P$4)=0,COUNTIFS('Team Calendar'!$A$5:$A$12,$F15,'Team Calendar'!$C$5:$C$12,P$4)=0),1,"")</x:f>
        <x:v>1</x:v>
      </x:c>
      <x:c r="Q15" s="107" t="str">
        <x:f>IF(AND(ISNUMBER($D15),ISNUMBER($E15),Q$4&gt;=$D15,Q$4&lt;=$E15,WEEKDAY(Q$4,2)&lt;=5,COUNTIF('Sources &amp; Change Log'!$J$2:$J$5,Q$4)=0,COUNTIFS('Team Calendar'!$A$5:$A$12,$F15,'Team Calendar'!$C$5:$C$12,Q$4)=0),1,"")</x:f>
      </x:c>
      <x:c r="R15" s="107" t="str">
        <x:f>IF(AND(ISNUMBER($D15),ISNUMBER($E15),R$4&gt;=$D15,R$4&lt;=$E15,WEEKDAY(R$4,2)&lt;=5,COUNTIF('Sources &amp; Change Log'!$J$2:$J$5,R$4)=0,COUNTIFS('Team Calendar'!$A$5:$A$12,$F15,'Team Calendar'!$C$5:$C$12,R$4)=0),1,"")</x:f>
      </x:c>
      <x:c r="S15" s="100" t="n">
        <x:f>IF(AND(ISNUMBER($D15),ISNUMBER($E15),S$4&gt;=$D15,S$4&lt;=$E15,WEEKDAY(S$4,2)&lt;=5,COUNTIF('Sources &amp; Change Log'!$J$2:$J$5,S$4)=0,COUNTIFS('Team Calendar'!$A$5:$A$12,$F15,'Team Calendar'!$C$5:$C$12,S$4)=0),1,"")</x:f>
        <x:v>1</x:v>
      </x:c>
      <x:c r="T15" s="100" t="n">
        <x:f>IF(AND(ISNUMBER($D15),ISNUMBER($E15),T$4&gt;=$D15,T$4&lt;=$E15,WEEKDAY(T$4,2)&lt;=5,COUNTIF('Sources &amp; Change Log'!$J$2:$J$5,T$4)=0,COUNTIFS('Team Calendar'!$A$5:$A$12,$F15,'Team Calendar'!$C$5:$C$12,T$4)=0),1,"")</x:f>
        <x:v>1</x:v>
      </x:c>
      <x:c r="U15" s="100" t="n">
        <x:f>IF(AND(ISNUMBER($D15),ISNUMBER($E15),U$4&gt;=$D15,U$4&lt;=$E15,WEEKDAY(U$4,2)&lt;=5,COUNTIF('Sources &amp; Change Log'!$J$2:$J$5,U$4)=0,COUNTIFS('Team Calendar'!$A$5:$A$12,$F15,'Team Calendar'!$C$5:$C$12,U$4)=0),1,"")</x:f>
        <x:v>1</x:v>
      </x:c>
      <x:c r="V15" s="100" t="n">
        <x:f>IF(AND(ISNUMBER($D15),ISNUMBER($E15),V$4&gt;=$D15,V$4&lt;=$E15,WEEKDAY(V$4,2)&lt;=5,COUNTIF('Sources &amp; Change Log'!$J$2:$J$5,V$4)=0,COUNTIFS('Team Calendar'!$A$5:$A$12,$F15,'Team Calendar'!$C$5:$C$12,V$4)=0),1,"")</x:f>
        <x:v>1</x:v>
      </x:c>
      <x:c r="W15" s="100" t="n">
        <x:f>IF(AND(ISNUMBER($D15),ISNUMBER($E15),W$4&gt;=$D15,W$4&lt;=$E15,WEEKDAY(W$4,2)&lt;=5,COUNTIF('Sources &amp; Change Log'!$J$2:$J$5,W$4)=0,COUNTIFS('Team Calendar'!$A$5:$A$12,$F15,'Team Calendar'!$C$5:$C$12,W$4)=0),1,"")</x:f>
        <x:v>1</x:v>
      </x:c>
      <x:c r="X15" s="107" t="str">
        <x:f>IF(AND(ISNUMBER($D15),ISNUMBER($E15),X$4&gt;=$D15,X$4&lt;=$E15,WEEKDAY(X$4,2)&lt;=5,COUNTIF('Sources &amp; Change Log'!$J$2:$J$5,X$4)=0,COUNTIFS('Team Calendar'!$A$5:$A$12,$F15,'Team Calendar'!$C$5:$C$12,X$4)=0),1,"")</x:f>
      </x:c>
      <x:c r="Y15" s="107" t="str">
        <x:f>IF(AND(ISNUMBER($D15),ISNUMBER($E15),Y$4&gt;=$D15,Y$4&lt;=$E15,WEEKDAY(Y$4,2)&lt;=5,COUNTIF('Sources &amp; Change Log'!$J$2:$J$5,Y$4)=0,COUNTIFS('Team Calendar'!$A$5:$A$12,$F15,'Team Calendar'!$C$5:$C$12,Y$4)=0),1,"")</x:f>
      </x:c>
      <x:c r="Z15" s="100" t="n">
        <x:f>IF(AND(ISNUMBER($D15),ISNUMBER($E15),Z$4&gt;=$D15,Z$4&lt;=$E15,WEEKDAY(Z$4,2)&lt;=5,COUNTIF('Sources &amp; Change Log'!$J$2:$J$5,Z$4)=0,COUNTIFS('Team Calendar'!$A$5:$A$12,$F15,'Team Calendar'!$C$5:$C$12,Z$4)=0),1,"")</x:f>
        <x:v>1</x:v>
      </x:c>
      <x:c r="AA15" s="100" t="n">
        <x:f>IF(AND(ISNUMBER($D15),ISNUMBER($E15),AA$4&gt;=$D15,AA$4&lt;=$E15,WEEKDAY(AA$4,2)&lt;=5,COUNTIF('Sources &amp; Change Log'!$J$2:$J$5,AA$4)=0,COUNTIFS('Team Calendar'!$A$5:$A$12,$F15,'Team Calendar'!$C$5:$C$12,AA$4)=0),1,"")</x:f>
        <x:v>1</x:v>
      </x:c>
      <x:c r="AB15" s="100" t="n">
        <x:f>IF(AND(ISNUMBER($D15),ISNUMBER($E15),AB$4&gt;=$D15,AB$4&lt;=$E15,WEEKDAY(AB$4,2)&lt;=5,COUNTIF('Sources &amp; Change Log'!$J$2:$J$5,AB$4)=0,COUNTIFS('Team Calendar'!$A$5:$A$12,$F15,'Team Calendar'!$C$5:$C$12,AB$4)=0),1,"")</x:f>
        <x:v>1</x:v>
      </x:c>
      <x:c r="AC15" s="100" t="n">
        <x:f>IF(AND(ISNUMBER($D15),ISNUMBER($E15),AC$4&gt;=$D15,AC$4&lt;=$E15,WEEKDAY(AC$4,2)&lt;=5,COUNTIF('Sources &amp; Change Log'!$J$2:$J$5,AC$4)=0,COUNTIFS('Team Calendar'!$A$5:$A$12,$F15,'Team Calendar'!$C$5:$C$12,AC$4)=0),1,"")</x:f>
        <x:v>1</x:v>
      </x:c>
      <x:c r="AD15" s="100" t="n">
        <x:f>IF(AND(ISNUMBER($D15),ISNUMBER($E15),AD$4&gt;=$D15,AD$4&lt;=$E15,WEEKDAY(AD$4,2)&lt;=5,COUNTIF('Sources &amp; Change Log'!$J$2:$J$5,AD$4)=0,COUNTIFS('Team Calendar'!$A$5:$A$12,$F15,'Team Calendar'!$C$5:$C$12,AD$4)=0),1,"")</x:f>
        <x:v>1</x:v>
      </x:c>
      <x:c r="AE15" s="107" t="str">
        <x:f>IF(AND(ISNUMBER($D15),ISNUMBER($E15),AE$4&gt;=$D15,AE$4&lt;=$E15,WEEKDAY(AE$4,2)&lt;=5,COUNTIF('Sources &amp; Change Log'!$J$2:$J$5,AE$4)=0,COUNTIFS('Team Calendar'!$A$5:$A$12,$F15,'Team Calendar'!$C$5:$C$12,AE$4)=0),1,"")</x:f>
      </x:c>
      <x:c r="AF15" s="107" t="str">
        <x:f>IF(AND(ISNUMBER($D15),ISNUMBER($E15),AF$4&gt;=$D15,AF$4&lt;=$E15,WEEKDAY(AF$4,2)&lt;=5,COUNTIF('Sources &amp; Change Log'!$J$2:$J$5,AF$4)=0,COUNTIFS('Team Calendar'!$A$5:$A$12,$F15,'Team Calendar'!$C$5:$C$12,AF$4)=0),1,"")</x:f>
      </x:c>
      <x:c r="AG15" s="100" t="str">
        <x:f>IF(AND(ISNUMBER($D15),ISNUMBER($E15),AG$4&gt;=$D15,AG$4&lt;=$E15,WEEKDAY(AG$4,2)&lt;=5,COUNTIF('Sources &amp; Change Log'!$J$2:$J$5,AG$4)=0,COUNTIFS('Team Calendar'!$A$5:$A$12,$F15,'Team Calendar'!$C$5:$C$12,AG$4)=0),1,"")</x:f>
      </x:c>
      <x:c r="AH15" s="100" t="str">
        <x:f>IF(AND(ISNUMBER($D15),ISNUMBER($E15),AH$4&gt;=$D15,AH$4&lt;=$E15,WEEKDAY(AH$4,2)&lt;=5,COUNTIF('Sources &amp; Change Log'!$J$2:$J$5,AH$4)=0,COUNTIFS('Team Calendar'!$A$5:$A$12,$F15,'Team Calendar'!$C$5:$C$12,AH$4)=0),1,"")</x:f>
      </x:c>
      <x:c r="AI15" s="100" t="str">
        <x:f>IF(AND(ISNUMBER($D15),ISNUMBER($E15),AI$4&gt;=$D15,AI$4&lt;=$E15,WEEKDAY(AI$4,2)&lt;=5,COUNTIF('Sources &amp; Change Log'!$J$2:$J$5,AI$4)=0,COUNTIFS('Team Calendar'!$A$5:$A$12,$F15,'Team Calendar'!$C$5:$C$12,AI$4)=0),1,"")</x:f>
      </x:c>
    </x:row>
    <x:row r="16" ht="24" customHeight="1">
      <x:c r="A16" s="13" t="str">
        <x:f>WBS!A16</x:f>
        <x:v>MS-G1-01</x:v>
      </x:c>
      <x:c r="B16" s="13" t="str">
        <x:f>WBS!B16</x:f>
        <x:v>G1 Infrastructure Ready</x:v>
      </x:c>
      <x:c r="C16" s="13" t="str">
        <x:f>WBS!G16</x:f>
        <x:v>To Do</x:v>
      </x:c>
      <x:c r="D16" s="86" t="n">
        <x:f>IF(WBS!H16="","",WBS!H16)</x:f>
        <x:v>46282</x:v>
      </x:c>
      <x:c r="E16" s="86" t="n">
        <x:f>IF(WBS!I16="","",WBS!I16)</x:f>
        <x:v>46282</x:v>
      </x:c>
      <x:c r="F16" s="13" t="str">
        <x:f>WBS!L16</x:f>
        <x:v>이권욱</x:v>
      </x:c>
      <x:c r="G16" s="100" t="str">
        <x:f>IF(AND(ISNUMBER($D16),ISNUMBER($E16),G$4&gt;=$D16,G$4&lt;=$E16,WEEKDAY(G$4,2)&lt;=5,COUNTIF('Sources &amp; Change Log'!$J$2:$J$5,G$4)=0,COUNTIFS('Team Calendar'!$A$5:$A$12,$F16,'Team Calendar'!$C$5:$C$12,G$4)=0),1,"")</x:f>
      </x:c>
      <x:c r="H16" s="100" t="str">
        <x:f>IF(AND(ISNUMBER($D16),ISNUMBER($E16),H$4&gt;=$D16,H$4&lt;=$E16,WEEKDAY(H$4,2)&lt;=5,COUNTIF('Sources &amp; Change Log'!$J$2:$J$5,H$4)=0,COUNTIFS('Team Calendar'!$A$5:$A$12,$F16,'Team Calendar'!$C$5:$C$12,H$4)=0),1,"")</x:f>
      </x:c>
      <x:c r="I16" s="100" t="str">
        <x:f>IF(AND(ISNUMBER($D16),ISNUMBER($E16),I$4&gt;=$D16,I$4&lt;=$E16,WEEKDAY(I$4,2)&lt;=5,COUNTIF('Sources &amp; Change Log'!$J$2:$J$5,I$4)=0,COUNTIFS('Team Calendar'!$A$5:$A$12,$F16,'Team Calendar'!$C$5:$C$12,I$4)=0),1,"")</x:f>
      </x:c>
      <x:c r="J16" s="107" t="str">
        <x:f>IF(AND(ISNUMBER($D16),ISNUMBER($E16),J$4&gt;=$D16,J$4&lt;=$E16,WEEKDAY(J$4,2)&lt;=5,COUNTIF('Sources &amp; Change Log'!$J$2:$J$5,J$4)=0,COUNTIFS('Team Calendar'!$A$5:$A$12,$F16,'Team Calendar'!$C$5:$C$12,J$4)=0),1,"")</x:f>
      </x:c>
      <x:c r="K16" s="107" t="str">
        <x:f>IF(AND(ISNUMBER($D16),ISNUMBER($E16),K$4&gt;=$D16,K$4&lt;=$E16,WEEKDAY(K$4,2)&lt;=5,COUNTIF('Sources &amp; Change Log'!$J$2:$J$5,K$4)=0,COUNTIFS('Team Calendar'!$A$5:$A$12,$F16,'Team Calendar'!$C$5:$C$12,K$4)=0),1,"")</x:f>
      </x:c>
      <x:c r="L16" s="100" t="str">
        <x:f>IF(AND(ISNUMBER($D16),ISNUMBER($E16),L$4&gt;=$D16,L$4&lt;=$E16,WEEKDAY(L$4,2)&lt;=5,COUNTIF('Sources &amp; Change Log'!$J$2:$J$5,L$4)=0,COUNTIFS('Team Calendar'!$A$5:$A$12,$F16,'Team Calendar'!$C$5:$C$12,L$4)=0),1,"")</x:f>
      </x:c>
      <x:c r="M16" s="101" t="str">
        <x:f>IF(AND(ISNUMBER($D16),ISNUMBER($E16),M$4&gt;=$D16,M$4&lt;=$E16,WEEKDAY(M$4,2)&lt;=5,COUNTIF('Sources &amp; Change Log'!$J$2:$J$5,M$4)=0,COUNTIFS('Team Calendar'!$A$5:$A$12,$F16,'Team Calendar'!$C$5:$C$12,M$4)=0),1,"")</x:f>
      </x:c>
      <x:c r="N16" s="100" t="str">
        <x:f>IF(AND(ISNUMBER($D16),ISNUMBER($E16),N$4&gt;=$D16,N$4&lt;=$E16,WEEKDAY(N$4,2)&lt;=5,COUNTIF('Sources &amp; Change Log'!$J$2:$J$5,N$4)=0,COUNTIFS('Team Calendar'!$A$5:$A$12,$F16,'Team Calendar'!$C$5:$C$12,N$4)=0),1,"")</x:f>
      </x:c>
      <x:c r="O16" s="100" t="str">
        <x:f>IF(AND(ISNUMBER($D16),ISNUMBER($E16),O$4&gt;=$D16,O$4&lt;=$E16,WEEKDAY(O$4,2)&lt;=5,COUNTIF('Sources &amp; Change Log'!$J$2:$J$5,O$4)=0,COUNTIFS('Team Calendar'!$A$5:$A$12,$F16,'Team Calendar'!$C$5:$C$12,O$4)=0),1,"")</x:f>
      </x:c>
      <x:c r="P16" s="106" t="str">
        <x:f>IF(AND(ISNUMBER($D16),ISNUMBER($E16),P$4&gt;=$D16,P$4&lt;=$E16,WEEKDAY(P$4,2)&lt;=5,COUNTIF('Sources &amp; Change Log'!$J$2:$J$5,P$4)=0,COUNTIFS('Team Calendar'!$A$5:$A$12,$F16,'Team Calendar'!$C$5:$C$12,P$4)=0),1,"")</x:f>
      </x:c>
      <x:c r="Q16" s="107" t="str">
        <x:f>IF(AND(ISNUMBER($D16),ISNUMBER($E16),Q$4&gt;=$D16,Q$4&lt;=$E16,WEEKDAY(Q$4,2)&lt;=5,COUNTIF('Sources &amp; Change Log'!$J$2:$J$5,Q$4)=0,COUNTIFS('Team Calendar'!$A$5:$A$12,$F16,'Team Calendar'!$C$5:$C$12,Q$4)=0),1,"")</x:f>
      </x:c>
      <x:c r="R16" s="107" t="str">
        <x:f>IF(AND(ISNUMBER($D16),ISNUMBER($E16),R$4&gt;=$D16,R$4&lt;=$E16,WEEKDAY(R$4,2)&lt;=5,COUNTIF('Sources &amp; Change Log'!$J$2:$J$5,R$4)=0,COUNTIFS('Team Calendar'!$A$5:$A$12,$F16,'Team Calendar'!$C$5:$C$12,R$4)=0),1,"")</x:f>
      </x:c>
      <x:c r="S16" s="100" t="str">
        <x:f>IF(AND(ISNUMBER($D16),ISNUMBER($E16),S$4&gt;=$D16,S$4&lt;=$E16,WEEKDAY(S$4,2)&lt;=5,COUNTIF('Sources &amp; Change Log'!$J$2:$J$5,S$4)=0,COUNTIFS('Team Calendar'!$A$5:$A$12,$F16,'Team Calendar'!$C$5:$C$12,S$4)=0),1,"")</x:f>
      </x:c>
      <x:c r="T16" s="100" t="str">
        <x:f>IF(AND(ISNUMBER($D16),ISNUMBER($E16),T$4&gt;=$D16,T$4&lt;=$E16,WEEKDAY(T$4,2)&lt;=5,COUNTIF('Sources &amp; Change Log'!$J$2:$J$5,T$4)=0,COUNTIFS('Team Calendar'!$A$5:$A$12,$F16,'Team Calendar'!$C$5:$C$12,T$4)=0),1,"")</x:f>
      </x:c>
      <x:c r="U16" s="100" t="str">
        <x:f>IF(AND(ISNUMBER($D16),ISNUMBER($E16),U$4&gt;=$D16,U$4&lt;=$E16,WEEKDAY(U$4,2)&lt;=5,COUNTIF('Sources &amp; Change Log'!$J$2:$J$5,U$4)=0,COUNTIFS('Team Calendar'!$A$5:$A$12,$F16,'Team Calendar'!$C$5:$C$12,U$4)=0),1,"")</x:f>
      </x:c>
      <x:c r="V16" s="100" t="str">
        <x:f>IF(AND(ISNUMBER($D16),ISNUMBER($E16),V$4&gt;=$D16,V$4&lt;=$E16,WEEKDAY(V$4,2)&lt;=5,COUNTIF('Sources &amp; Change Log'!$J$2:$J$5,V$4)=0,COUNTIFS('Team Calendar'!$A$5:$A$12,$F16,'Team Calendar'!$C$5:$C$12,V$4)=0),1,"")</x:f>
      </x:c>
      <x:c r="W16" s="100" t="str">
        <x:f>IF(AND(ISNUMBER($D16),ISNUMBER($E16),W$4&gt;=$D16,W$4&lt;=$E16,WEEKDAY(W$4,2)&lt;=5,COUNTIF('Sources &amp; Change Log'!$J$2:$J$5,W$4)=0,COUNTIFS('Team Calendar'!$A$5:$A$12,$F16,'Team Calendar'!$C$5:$C$12,W$4)=0),1,"")</x:f>
      </x:c>
      <x:c r="X16" s="107" t="str">
        <x:f>IF(AND(ISNUMBER($D16),ISNUMBER($E16),X$4&gt;=$D16,X$4&lt;=$E16,WEEKDAY(X$4,2)&lt;=5,COUNTIF('Sources &amp; Change Log'!$J$2:$J$5,X$4)=0,COUNTIFS('Team Calendar'!$A$5:$A$12,$F16,'Team Calendar'!$C$5:$C$12,X$4)=0),1,"")</x:f>
      </x:c>
      <x:c r="Y16" s="107" t="str">
        <x:f>IF(AND(ISNUMBER($D16),ISNUMBER($E16),Y$4&gt;=$D16,Y$4&lt;=$E16,WEEKDAY(Y$4,2)&lt;=5,COUNTIF('Sources &amp; Change Log'!$J$2:$J$5,Y$4)=0,COUNTIFS('Team Calendar'!$A$5:$A$12,$F16,'Team Calendar'!$C$5:$C$12,Y$4)=0),1,"")</x:f>
      </x:c>
      <x:c r="Z16" s="100" t="str">
        <x:f>IF(AND(ISNUMBER($D16),ISNUMBER($E16),Z$4&gt;=$D16,Z$4&lt;=$E16,WEEKDAY(Z$4,2)&lt;=5,COUNTIF('Sources &amp; Change Log'!$J$2:$J$5,Z$4)=0,COUNTIFS('Team Calendar'!$A$5:$A$12,$F16,'Team Calendar'!$C$5:$C$12,Z$4)=0),1,"")</x:f>
      </x:c>
      <x:c r="AA16" s="100" t="str">
        <x:f>IF(AND(ISNUMBER($D16),ISNUMBER($E16),AA$4&gt;=$D16,AA$4&lt;=$E16,WEEKDAY(AA$4,2)&lt;=5,COUNTIF('Sources &amp; Change Log'!$J$2:$J$5,AA$4)=0,COUNTIFS('Team Calendar'!$A$5:$A$12,$F16,'Team Calendar'!$C$5:$C$12,AA$4)=0),1,"")</x:f>
      </x:c>
      <x:c r="AB16" s="100" t="str">
        <x:f>IF(AND(ISNUMBER($D16),ISNUMBER($E16),AB$4&gt;=$D16,AB$4&lt;=$E16,WEEKDAY(AB$4,2)&lt;=5,COUNTIF('Sources &amp; Change Log'!$J$2:$J$5,AB$4)=0,COUNTIFS('Team Calendar'!$A$5:$A$12,$F16,'Team Calendar'!$C$5:$C$12,AB$4)=0),1,"")</x:f>
      </x:c>
      <x:c r="AC16" s="100" t="n">
        <x:f>IF(AND(ISNUMBER($D16),ISNUMBER($E16),AC$4&gt;=$D16,AC$4&lt;=$E16,WEEKDAY(AC$4,2)&lt;=5,COUNTIF('Sources &amp; Change Log'!$J$2:$J$5,AC$4)=0,COUNTIFS('Team Calendar'!$A$5:$A$12,$F16,'Team Calendar'!$C$5:$C$12,AC$4)=0),1,"")</x:f>
        <x:v>1</x:v>
      </x:c>
      <x:c r="AD16" s="100" t="str">
        <x:f>IF(AND(ISNUMBER($D16),ISNUMBER($E16),AD$4&gt;=$D16,AD$4&lt;=$E16,WEEKDAY(AD$4,2)&lt;=5,COUNTIF('Sources &amp; Change Log'!$J$2:$J$5,AD$4)=0,COUNTIFS('Team Calendar'!$A$5:$A$12,$F16,'Team Calendar'!$C$5:$C$12,AD$4)=0),1,"")</x:f>
      </x:c>
      <x:c r="AE16" s="107" t="str">
        <x:f>IF(AND(ISNUMBER($D16),ISNUMBER($E16),AE$4&gt;=$D16,AE$4&lt;=$E16,WEEKDAY(AE$4,2)&lt;=5,COUNTIF('Sources &amp; Change Log'!$J$2:$J$5,AE$4)=0,COUNTIFS('Team Calendar'!$A$5:$A$12,$F16,'Team Calendar'!$C$5:$C$12,AE$4)=0),1,"")</x:f>
      </x:c>
      <x:c r="AF16" s="107" t="str">
        <x:f>IF(AND(ISNUMBER($D16),ISNUMBER($E16),AF$4&gt;=$D16,AF$4&lt;=$E16,WEEKDAY(AF$4,2)&lt;=5,COUNTIF('Sources &amp; Change Log'!$J$2:$J$5,AF$4)=0,COUNTIFS('Team Calendar'!$A$5:$A$12,$F16,'Team Calendar'!$C$5:$C$12,AF$4)=0),1,"")</x:f>
      </x:c>
      <x:c r="AG16" s="100" t="str">
        <x:f>IF(AND(ISNUMBER($D16),ISNUMBER($E16),AG$4&gt;=$D16,AG$4&lt;=$E16,WEEKDAY(AG$4,2)&lt;=5,COUNTIF('Sources &amp; Change Log'!$J$2:$J$5,AG$4)=0,COUNTIFS('Team Calendar'!$A$5:$A$12,$F16,'Team Calendar'!$C$5:$C$12,AG$4)=0),1,"")</x:f>
      </x:c>
      <x:c r="AH16" s="100" t="str">
        <x:f>IF(AND(ISNUMBER($D16),ISNUMBER($E16),AH$4&gt;=$D16,AH$4&lt;=$E16,WEEKDAY(AH$4,2)&lt;=5,COUNTIF('Sources &amp; Change Log'!$J$2:$J$5,AH$4)=0,COUNTIFS('Team Calendar'!$A$5:$A$12,$F16,'Team Calendar'!$C$5:$C$12,AH$4)=0),1,"")</x:f>
      </x:c>
      <x:c r="AI16" s="100" t="str">
        <x:f>IF(AND(ISNUMBER($D16),ISNUMBER($E16),AI$4&gt;=$D16,AI$4&lt;=$E16,WEEKDAY(AI$4,2)&lt;=5,COUNTIF('Sources &amp; Change Log'!$J$2:$J$5,AI$4)=0,COUNTIFS('Team Calendar'!$A$5:$A$12,$F16,'Team Calendar'!$C$5:$C$12,AI$4)=0),1,"")</x:f>
      </x:c>
    </x:row>
    <x:row r="17" ht="24" customHeight="1">
      <x:c r="A17" s="13" t="str">
        <x:f>WBS!A15</x:f>
        <x:v>P1-MON-01</x:v>
      </x:c>
      <x:c r="B17" s="13" t="str">
        <x:f>WBS!B15</x:f>
        <x:v>Kubernetes-Integrated Hybrid Monitoring 구축 및 검증</x:v>
      </x:c>
      <x:c r="C17" s="13" t="str">
        <x:f>WBS!G15</x:f>
        <x:v>In Progress</x:v>
      </x:c>
      <x:c r="D17" s="86" t="n">
        <x:f>IF(WBS!H15="","",WBS!H15)</x:f>
        <x:v>46272</x:v>
      </x:c>
      <x:c r="E17" s="86" t="n">
        <x:f>IF(WBS!I15="","",WBS!I15)</x:f>
        <x:v>46283</x:v>
      </x:c>
      <x:c r="F17" s="13" t="str">
        <x:f>WBS!L15</x:f>
        <x:v>이재환</x:v>
      </x:c>
      <x:c r="G17" s="100" t="str">
        <x:f>IF(AND(ISNUMBER($D17),ISNUMBER($E17),G$4&gt;=$D17,G$4&lt;=$E17,WEEKDAY(G$4,2)&lt;=5,COUNTIF('Sources &amp; Change Log'!$J$2:$J$5,G$4)=0,COUNTIFS('Team Calendar'!$A$5:$A$12,$F17,'Team Calendar'!$C$5:$C$12,G$4)=0),1,"")</x:f>
      </x:c>
      <x:c r="H17" s="100" t="str">
        <x:f>IF(AND(ISNUMBER($D17),ISNUMBER($E17),H$4&gt;=$D17,H$4&lt;=$E17,WEEKDAY(H$4,2)&lt;=5,COUNTIF('Sources &amp; Change Log'!$J$2:$J$5,H$4)=0,COUNTIFS('Team Calendar'!$A$5:$A$12,$F17,'Team Calendar'!$C$5:$C$12,H$4)=0),1,"")</x:f>
      </x:c>
      <x:c r="I17" s="100" t="str">
        <x:f>IF(AND(ISNUMBER($D17),ISNUMBER($E17),I$4&gt;=$D17,I$4&lt;=$E17,WEEKDAY(I$4,2)&lt;=5,COUNTIF('Sources &amp; Change Log'!$J$2:$J$5,I$4)=0,COUNTIFS('Team Calendar'!$A$5:$A$12,$F17,'Team Calendar'!$C$5:$C$12,I$4)=0),1,"")</x:f>
      </x:c>
      <x:c r="J17" s="107" t="str">
        <x:f>IF(AND(ISNUMBER($D17),ISNUMBER($E17),J$4&gt;=$D17,J$4&lt;=$E17,WEEKDAY(J$4,2)&lt;=5,COUNTIF('Sources &amp; Change Log'!$J$2:$J$5,J$4)=0,COUNTIFS('Team Calendar'!$A$5:$A$12,$F17,'Team Calendar'!$C$5:$C$12,J$4)=0),1,"")</x:f>
      </x:c>
      <x:c r="K17" s="107" t="str">
        <x:f>IF(AND(ISNUMBER($D17),ISNUMBER($E17),K$4&gt;=$D17,K$4&lt;=$E17,WEEKDAY(K$4,2)&lt;=5,COUNTIF('Sources &amp; Change Log'!$J$2:$J$5,K$4)=0,COUNTIFS('Team Calendar'!$A$5:$A$12,$F17,'Team Calendar'!$C$5:$C$12,K$4)=0),1,"")</x:f>
      </x:c>
      <x:c r="L17" s="100" t="str">
        <x:f>IF(AND(ISNUMBER($D17),ISNUMBER($E17),L$4&gt;=$D17,L$4&lt;=$E17,WEEKDAY(L$4,2)&lt;=5,COUNTIF('Sources &amp; Change Log'!$J$2:$J$5,L$4)=0,COUNTIFS('Team Calendar'!$A$5:$A$12,$F17,'Team Calendar'!$C$5:$C$12,L$4)=0),1,"")</x:f>
      </x:c>
      <x:c r="M17" s="101" t="str">
        <x:f>IF(AND(ISNUMBER($D17),ISNUMBER($E17),M$4&gt;=$D17,M$4&lt;=$E17,WEEKDAY(M$4,2)&lt;=5,COUNTIF('Sources &amp; Change Log'!$J$2:$J$5,M$4)=0,COUNTIFS('Team Calendar'!$A$5:$A$12,$F17,'Team Calendar'!$C$5:$C$12,M$4)=0),1,"")</x:f>
      </x:c>
      <x:c r="N17" s="100" t="str">
        <x:f>IF(AND(ISNUMBER($D17),ISNUMBER($E17),N$4&gt;=$D17,N$4&lt;=$E17,WEEKDAY(N$4,2)&lt;=5,COUNTIF('Sources &amp; Change Log'!$J$2:$J$5,N$4)=0,COUNTIFS('Team Calendar'!$A$5:$A$12,$F17,'Team Calendar'!$C$5:$C$12,N$4)=0),1,"")</x:f>
      </x:c>
      <x:c r="O17" s="100" t="str">
        <x:f>IF(AND(ISNUMBER($D17),ISNUMBER($E17),O$4&gt;=$D17,O$4&lt;=$E17,WEEKDAY(O$4,2)&lt;=5,COUNTIF('Sources &amp; Change Log'!$J$2:$J$5,O$4)=0,COUNTIFS('Team Calendar'!$A$5:$A$12,$F17,'Team Calendar'!$C$5:$C$12,O$4)=0),1,"")</x:f>
      </x:c>
      <x:c r="P17" s="100" t="str">
        <x:f>IF(AND(ISNUMBER($D17),ISNUMBER($E17),P$4&gt;=$D17,P$4&lt;=$E17,WEEKDAY(P$4,2)&lt;=5,COUNTIF('Sources &amp; Change Log'!$J$2:$J$5,P$4)=0,COUNTIFS('Team Calendar'!$A$5:$A$12,$F17,'Team Calendar'!$C$5:$C$12,P$4)=0),1,"")</x:f>
      </x:c>
      <x:c r="Q17" s="107" t="str">
        <x:f>IF(AND(ISNUMBER($D17),ISNUMBER($E17),Q$4&gt;=$D17,Q$4&lt;=$E17,WEEKDAY(Q$4,2)&lt;=5,COUNTIF('Sources &amp; Change Log'!$J$2:$J$5,Q$4)=0,COUNTIFS('Team Calendar'!$A$5:$A$12,$F17,'Team Calendar'!$C$5:$C$12,Q$4)=0),1,"")</x:f>
      </x:c>
      <x:c r="R17" s="107" t="str">
        <x:f>IF(AND(ISNUMBER($D17),ISNUMBER($E17),R$4&gt;=$D17,R$4&lt;=$E17,WEEKDAY(R$4,2)&lt;=5,COUNTIF('Sources &amp; Change Log'!$J$2:$J$5,R$4)=0,COUNTIFS('Team Calendar'!$A$5:$A$12,$F17,'Team Calendar'!$C$5:$C$12,R$4)=0),1,"")</x:f>
      </x:c>
      <x:c r="S17" s="100" t="n">
        <x:f>IF(AND(ISNUMBER($D17),ISNUMBER($E17),S$4&gt;=$D17,S$4&lt;=$E17,WEEKDAY(S$4,2)&lt;=5,COUNTIF('Sources &amp; Change Log'!$J$2:$J$5,S$4)=0,COUNTIFS('Team Calendar'!$A$5:$A$12,$F17,'Team Calendar'!$C$5:$C$12,S$4)=0),1,"")</x:f>
        <x:v>1</x:v>
      </x:c>
      <x:c r="T17" s="102" t="n">
        <x:f>IF(AND(ISNUMBER($D17),ISNUMBER($E17),T$4&gt;=$D17,T$4&lt;=$E17,WEEKDAY(T$4,2)&lt;=5,COUNTIF('Sources &amp; Change Log'!$J$2:$J$5,T$4)=0,COUNTIFS('Team Calendar'!$A$5:$A$12,$F17,'Team Calendar'!$C$5:$C$12,T$4)=0),1,"")</x:f>
        <x:v>1</x:v>
      </x:c>
      <x:c r="U17" s="100" t="n">
        <x:f>IF(AND(ISNUMBER($D17),ISNUMBER($E17),U$4&gt;=$D17,U$4&lt;=$E17,WEEKDAY(U$4,2)&lt;=5,COUNTIF('Sources &amp; Change Log'!$J$2:$J$5,U$4)=0,COUNTIFS('Team Calendar'!$A$5:$A$12,$F17,'Team Calendar'!$C$5:$C$12,U$4)=0),1,"")</x:f>
        <x:v>1</x:v>
      </x:c>
      <x:c r="V17" s="100" t="n">
        <x:f>IF(AND(ISNUMBER($D17),ISNUMBER($E17),V$4&gt;=$D17,V$4&lt;=$E17,WEEKDAY(V$4,2)&lt;=5,COUNTIF('Sources &amp; Change Log'!$J$2:$J$5,V$4)=0,COUNTIFS('Team Calendar'!$A$5:$A$12,$F17,'Team Calendar'!$C$5:$C$12,V$4)=0),1,"")</x:f>
        <x:v>1</x:v>
      </x:c>
      <x:c r="W17" s="100" t="n">
        <x:f>IF(AND(ISNUMBER($D17),ISNUMBER($E17),W$4&gt;=$D17,W$4&lt;=$E17,WEEKDAY(W$4,2)&lt;=5,COUNTIF('Sources &amp; Change Log'!$J$2:$J$5,W$4)=0,COUNTIFS('Team Calendar'!$A$5:$A$12,$F17,'Team Calendar'!$C$5:$C$12,W$4)=0),1,"")</x:f>
        <x:v>1</x:v>
      </x:c>
      <x:c r="X17" s="107" t="str">
        <x:f>IF(AND(ISNUMBER($D17),ISNUMBER($E17),X$4&gt;=$D17,X$4&lt;=$E17,WEEKDAY(X$4,2)&lt;=5,COUNTIF('Sources &amp; Change Log'!$J$2:$J$5,X$4)=0,COUNTIFS('Team Calendar'!$A$5:$A$12,$F17,'Team Calendar'!$C$5:$C$12,X$4)=0),1,"")</x:f>
      </x:c>
      <x:c r="Y17" s="107" t="str">
        <x:f>IF(AND(ISNUMBER($D17),ISNUMBER($E17),Y$4&gt;=$D17,Y$4&lt;=$E17,WEEKDAY(Y$4,2)&lt;=5,COUNTIF('Sources &amp; Change Log'!$J$2:$J$5,Y$4)=0,COUNTIFS('Team Calendar'!$A$5:$A$12,$F17,'Team Calendar'!$C$5:$C$12,Y$4)=0),1,"")</x:f>
      </x:c>
      <x:c r="Z17" s="100" t="str">
        <x:f>IF(AND(ISNUMBER($D17),ISNUMBER($E17),Z$4&gt;=$D17,Z$4&lt;=$E17,WEEKDAY(Z$4,2)&lt;=5,COUNTIF('Sources &amp; Change Log'!$J$2:$J$5,Z$4)=0,COUNTIFS('Team Calendar'!$A$5:$A$12,$F17,'Team Calendar'!$C$5:$C$12,Z$4)=0),1,"")</x:f>
      </x:c>
      <x:c r="AA17" s="100" t="str">
        <x:f>IF(AND(ISNUMBER($D17),ISNUMBER($E17),AA$4&gt;=$D17,AA$4&lt;=$E17,WEEKDAY(AA$4,2)&lt;=5,COUNTIF('Sources &amp; Change Log'!$J$2:$J$5,AA$4)=0,COUNTIFS('Team Calendar'!$A$5:$A$12,$F17,'Team Calendar'!$C$5:$C$12,AA$4)=0),1,"")</x:f>
      </x:c>
      <x:c r="AB17" s="100" t="str">
        <x:f>IF(AND(ISNUMBER($D17),ISNUMBER($E17),AB$4&gt;=$D17,AB$4&lt;=$E17,WEEKDAY(AB$4,2)&lt;=5,COUNTIF('Sources &amp; Change Log'!$J$2:$J$5,AB$4)=0,COUNTIFS('Team Calendar'!$A$5:$A$12,$F17,'Team Calendar'!$C$5:$C$12,AB$4)=0),1,"")</x:f>
      </x:c>
      <x:c r="AC17" s="100" t="str">
        <x:f>IF(AND(ISNUMBER($D17),ISNUMBER($E17),AC$4&gt;=$D17,AC$4&lt;=$E17,WEEKDAY(AC$4,2)&lt;=5,COUNTIF('Sources &amp; Change Log'!$J$2:$J$5,AC$4)=0,COUNTIFS('Team Calendar'!$A$5:$A$12,$F17,'Team Calendar'!$C$5:$C$12,AC$4)=0),1,"")</x:f>
      </x:c>
      <x:c r="AD17" s="100" t="n">
        <x:f>IF(AND(ISNUMBER($D17),ISNUMBER($E17),AD$4&gt;=$D17,AD$4&lt;=$E17,WEEKDAY(AD$4,2)&lt;=5,COUNTIF('Sources &amp; Change Log'!$J$2:$J$5,AD$4)=0,COUNTIFS('Team Calendar'!$A$5:$A$12,$F17,'Team Calendar'!$C$5:$C$12,AD$4)=0),1,"")</x:f>
        <x:v>1</x:v>
      </x:c>
      <x:c r="AE17" s="107" t="str">
        <x:f>IF(AND(ISNUMBER($D17),ISNUMBER($E17),AE$4&gt;=$D17,AE$4&lt;=$E17,WEEKDAY(AE$4,2)&lt;=5,COUNTIF('Sources &amp; Change Log'!$J$2:$J$5,AE$4)=0,COUNTIFS('Team Calendar'!$A$5:$A$12,$F17,'Team Calendar'!$C$5:$C$12,AE$4)=0),1,"")</x:f>
      </x:c>
      <x:c r="AF17" s="107" t="str">
        <x:f>IF(AND(ISNUMBER($D17),ISNUMBER($E17),AF$4&gt;=$D17,AF$4&lt;=$E17,WEEKDAY(AF$4,2)&lt;=5,COUNTIF('Sources &amp; Change Log'!$J$2:$J$5,AF$4)=0,COUNTIFS('Team Calendar'!$A$5:$A$12,$F17,'Team Calendar'!$C$5:$C$12,AF$4)=0),1,"")</x:f>
      </x:c>
      <x:c r="AG17" s="100" t="str">
        <x:f>IF(AND(ISNUMBER($D17),ISNUMBER($E17),AG$4&gt;=$D17,AG$4&lt;=$E17,WEEKDAY(AG$4,2)&lt;=5,COUNTIF('Sources &amp; Change Log'!$J$2:$J$5,AG$4)=0,COUNTIFS('Team Calendar'!$A$5:$A$12,$F17,'Team Calendar'!$C$5:$C$12,AG$4)=0),1,"")</x:f>
      </x:c>
      <x:c r="AH17" s="100" t="str">
        <x:f>IF(AND(ISNUMBER($D17),ISNUMBER($E17),AH$4&gt;=$D17,AH$4&lt;=$E17,WEEKDAY(AH$4,2)&lt;=5,COUNTIF('Sources &amp; Change Log'!$J$2:$J$5,AH$4)=0,COUNTIFS('Team Calendar'!$A$5:$A$12,$F17,'Team Calendar'!$C$5:$C$12,AH$4)=0),1,"")</x:f>
      </x:c>
      <x:c r="AI17" s="100" t="str">
        <x:f>IF(AND(ISNUMBER($D17),ISNUMBER($E17),AI$4&gt;=$D17,AI$4&lt;=$E17,WEEKDAY(AI$4,2)&lt;=5,COUNTIF('Sources &amp; Change Log'!$J$2:$J$5,AI$4)=0,COUNTIFS('Team Calendar'!$A$5:$A$12,$F17,'Team Calendar'!$C$5:$C$12,AI$4)=0),1,"")</x:f>
      </x:c>
    </x:row>
    <x:row r="18" ht="24" customHeight="1">
      <x:c r="A18" s="13" t="str">
        <x:f>WBS!A17</x:f>
        <x:v>P1-SEC-01</x:v>
      </x:c>
      <x:c r="B18" s="13" t="str">
        <x:f>WBS!B17</x:f>
        <x:v>Kubernetes Security Controls</x:v>
      </x:c>
      <x:c r="C18" s="13" t="str">
        <x:f>WBS!G17</x:f>
        <x:v>In Progress</x:v>
      </x:c>
      <x:c r="D18" s="86" t="n">
        <x:f>IF(WBS!H17="","",WBS!H17)</x:f>
        <x:v>46269</x:v>
      </x:c>
      <x:c r="E18" s="86" t="n">
        <x:f>IF(WBS!I17="","",WBS!I17)</x:f>
        <x:v>46286</x:v>
      </x:c>
      <x:c r="F18" s="13" t="str">
        <x:f>WBS!L17</x:f>
        <x:v>이하영</x:v>
      </x:c>
      <x:c r="G18" s="100" t="str">
        <x:f>IF(AND(ISNUMBER($D18),ISNUMBER($E18),G$4&gt;=$D18,G$4&lt;=$E18,WEEKDAY(G$4,2)&lt;=5,COUNTIF('Sources &amp; Change Log'!$J$2:$J$5,G$4)=0,COUNTIFS('Team Calendar'!$A$5:$A$12,$F18,'Team Calendar'!$C$5:$C$12,G$4)=0),1,"")</x:f>
      </x:c>
      <x:c r="H18" s="100" t="str">
        <x:f>IF(AND(ISNUMBER($D18),ISNUMBER($E18),H$4&gt;=$D18,H$4&lt;=$E18,WEEKDAY(H$4,2)&lt;=5,COUNTIF('Sources &amp; Change Log'!$J$2:$J$5,H$4)=0,COUNTIFS('Team Calendar'!$A$5:$A$12,$F18,'Team Calendar'!$C$5:$C$12,H$4)=0),1,"")</x:f>
      </x:c>
      <x:c r="I18" s="100" t="str">
        <x:f>IF(AND(ISNUMBER($D18),ISNUMBER($E18),I$4&gt;=$D18,I$4&lt;=$E18,WEEKDAY(I$4,2)&lt;=5,COUNTIF('Sources &amp; Change Log'!$J$2:$J$5,I$4)=0,COUNTIFS('Team Calendar'!$A$5:$A$12,$F18,'Team Calendar'!$C$5:$C$12,I$4)=0),1,"")</x:f>
      </x:c>
      <x:c r="J18" s="107" t="str">
        <x:f>IF(AND(ISNUMBER($D18),ISNUMBER($E18),J$4&gt;=$D18,J$4&lt;=$E18,WEEKDAY(J$4,2)&lt;=5,COUNTIF('Sources &amp; Change Log'!$J$2:$J$5,J$4)=0,COUNTIFS('Team Calendar'!$A$5:$A$12,$F18,'Team Calendar'!$C$5:$C$12,J$4)=0),1,"")</x:f>
      </x:c>
      <x:c r="K18" s="107" t="str">
        <x:f>IF(AND(ISNUMBER($D18),ISNUMBER($E18),K$4&gt;=$D18,K$4&lt;=$E18,WEEKDAY(K$4,2)&lt;=5,COUNTIF('Sources &amp; Change Log'!$J$2:$J$5,K$4)=0,COUNTIFS('Team Calendar'!$A$5:$A$12,$F18,'Team Calendar'!$C$5:$C$12,K$4)=0),1,"")</x:f>
      </x:c>
      <x:c r="L18" s="100" t="str">
        <x:f>IF(AND(ISNUMBER($D18),ISNUMBER($E18),L$4&gt;=$D18,L$4&lt;=$E18,WEEKDAY(L$4,2)&lt;=5,COUNTIF('Sources &amp; Change Log'!$J$2:$J$5,L$4)=0,COUNTIFS('Team Calendar'!$A$5:$A$12,$F18,'Team Calendar'!$C$5:$C$12,L$4)=0),1,"")</x:f>
      </x:c>
      <x:c r="M18" s="101" t="str">
        <x:f>IF(AND(ISNUMBER($D18),ISNUMBER($E18),M$4&gt;=$D18,M$4&lt;=$E18,WEEKDAY(M$4,2)&lt;=5,COUNTIF('Sources &amp; Change Log'!$J$2:$J$5,M$4)=0,COUNTIFS('Team Calendar'!$A$5:$A$12,$F18,'Team Calendar'!$C$5:$C$12,M$4)=0),1,"")</x:f>
      </x:c>
      <x:c r="N18" s="100" t="str">
        <x:f>IF(AND(ISNUMBER($D18),ISNUMBER($E18),N$4&gt;=$D18,N$4&lt;=$E18,WEEKDAY(N$4,2)&lt;=5,COUNTIF('Sources &amp; Change Log'!$J$2:$J$5,N$4)=0,COUNTIFS('Team Calendar'!$A$5:$A$12,$F18,'Team Calendar'!$C$5:$C$12,N$4)=0),1,"")</x:f>
      </x:c>
      <x:c r="O18" s="100" t="str">
        <x:f>IF(AND(ISNUMBER($D18),ISNUMBER($E18),O$4&gt;=$D18,O$4&lt;=$E18,WEEKDAY(O$4,2)&lt;=5,COUNTIF('Sources &amp; Change Log'!$J$2:$J$5,O$4)=0,COUNTIFS('Team Calendar'!$A$5:$A$12,$F18,'Team Calendar'!$C$5:$C$12,O$4)=0),1,"")</x:f>
      </x:c>
      <x:c r="P18" s="100" t="n">
        <x:f>IF(AND(ISNUMBER($D18),ISNUMBER($E18),P$4&gt;=$D18,P$4&lt;=$E18,WEEKDAY(P$4,2)&lt;=5,COUNTIF('Sources &amp; Change Log'!$J$2:$J$5,P$4)=0,COUNTIFS('Team Calendar'!$A$5:$A$12,$F18,'Team Calendar'!$C$5:$C$12,P$4)=0),1,"")</x:f>
        <x:v>1</x:v>
      </x:c>
      <x:c r="Q18" s="107" t="str">
        <x:f>IF(AND(ISNUMBER($D18),ISNUMBER($E18),Q$4&gt;=$D18,Q$4&lt;=$E18,WEEKDAY(Q$4,2)&lt;=5,COUNTIF('Sources &amp; Change Log'!$J$2:$J$5,Q$4)=0,COUNTIFS('Team Calendar'!$A$5:$A$12,$F18,'Team Calendar'!$C$5:$C$12,Q$4)=0),1,"")</x:f>
      </x:c>
      <x:c r="R18" s="107" t="str">
        <x:f>IF(AND(ISNUMBER($D18),ISNUMBER($E18),R$4&gt;=$D18,R$4&lt;=$E18,WEEKDAY(R$4,2)&lt;=5,COUNTIF('Sources &amp; Change Log'!$J$2:$J$5,R$4)=0,COUNTIFS('Team Calendar'!$A$5:$A$12,$F18,'Team Calendar'!$C$5:$C$12,R$4)=0),1,"")</x:f>
      </x:c>
      <x:c r="S18" s="100" t="n">
        <x:f>IF(AND(ISNUMBER($D18),ISNUMBER($E18),S$4&gt;=$D18,S$4&lt;=$E18,WEEKDAY(S$4,2)&lt;=5,COUNTIF('Sources &amp; Change Log'!$J$2:$J$5,S$4)=0,COUNTIFS('Team Calendar'!$A$5:$A$12,$F18,'Team Calendar'!$C$5:$C$12,S$4)=0),1,"")</x:f>
        <x:v>1</x:v>
      </x:c>
      <x:c r="T18" s="100" t="str">
        <x:f>IF(AND(ISNUMBER($D18),ISNUMBER($E18),T$4&gt;=$D18,T$4&lt;=$E18,WEEKDAY(T$4,2)&lt;=5,COUNTIF('Sources &amp; Change Log'!$J$2:$J$5,T$4)=0,COUNTIFS('Team Calendar'!$A$5:$A$12,$F18,'Team Calendar'!$C$5:$C$12,T$4)=0),1,"")</x:f>
      </x:c>
      <x:c r="U18" s="100" t="n">
        <x:f>IF(AND(ISNUMBER($D18),ISNUMBER($E18),U$4&gt;=$D18,U$4&lt;=$E18,WEEKDAY(U$4,2)&lt;=5,COUNTIF('Sources &amp; Change Log'!$J$2:$J$5,U$4)=0,COUNTIFS('Team Calendar'!$A$5:$A$12,$F18,'Team Calendar'!$C$5:$C$12,U$4)=0),1,"")</x:f>
        <x:v>1</x:v>
      </x:c>
      <x:c r="V18" s="100" t="str">
        <x:f>IF(AND(ISNUMBER($D18),ISNUMBER($E18),V$4&gt;=$D18,V$4&lt;=$E18,WEEKDAY(V$4,2)&lt;=5,COUNTIF('Sources &amp; Change Log'!$J$2:$J$5,V$4)=0,COUNTIFS('Team Calendar'!$A$5:$A$12,$F18,'Team Calendar'!$C$5:$C$12,V$4)=0),1,"")</x:f>
      </x:c>
      <x:c r="W18" s="100" t="n">
        <x:f>IF(AND(ISNUMBER($D18),ISNUMBER($E18),W$4&gt;=$D18,W$4&lt;=$E18,WEEKDAY(W$4,2)&lt;=5,COUNTIF('Sources &amp; Change Log'!$J$2:$J$5,W$4)=0,COUNTIFS('Team Calendar'!$A$5:$A$12,$F18,'Team Calendar'!$C$5:$C$12,W$4)=0),1,"")</x:f>
        <x:v>1</x:v>
      </x:c>
      <x:c r="X18" s="107" t="str">
        <x:f>IF(AND(ISNUMBER($D18),ISNUMBER($E18),X$4&gt;=$D18,X$4&lt;=$E18,WEEKDAY(X$4,2)&lt;=5,COUNTIF('Sources &amp; Change Log'!$J$2:$J$5,X$4)=0,COUNTIFS('Team Calendar'!$A$5:$A$12,$F18,'Team Calendar'!$C$5:$C$12,X$4)=0),1,"")</x:f>
      </x:c>
      <x:c r="Y18" s="107" t="str">
        <x:f>IF(AND(ISNUMBER($D18),ISNUMBER($E18),Y$4&gt;=$D18,Y$4&lt;=$E18,WEEKDAY(Y$4,2)&lt;=5,COUNTIF('Sources &amp; Change Log'!$J$2:$J$5,Y$4)=0,COUNTIFS('Team Calendar'!$A$5:$A$12,$F18,'Team Calendar'!$C$5:$C$12,Y$4)=0),1,"")</x:f>
      </x:c>
      <x:c r="Z18" s="100" t="n">
        <x:f>IF(AND(ISNUMBER($D18),ISNUMBER($E18),Z$4&gt;=$D18,Z$4&lt;=$E18,WEEKDAY(Z$4,2)&lt;=5,COUNTIF('Sources &amp; Change Log'!$J$2:$J$5,Z$4)=0,COUNTIFS('Team Calendar'!$A$5:$A$12,$F18,'Team Calendar'!$C$5:$C$12,Z$4)=0),1,"")</x:f>
        <x:v>1</x:v>
      </x:c>
      <x:c r="AA18" s="100" t="n">
        <x:f>IF(AND(ISNUMBER($D18),ISNUMBER($E18),AA$4&gt;=$D18,AA$4&lt;=$E18,WEEKDAY(AA$4,2)&lt;=5,COUNTIF('Sources &amp; Change Log'!$J$2:$J$5,AA$4)=0,COUNTIFS('Team Calendar'!$A$5:$A$12,$F18,'Team Calendar'!$C$5:$C$12,AA$4)=0),1,"")</x:f>
        <x:v>1</x:v>
      </x:c>
      <x:c r="AB18" s="100" t="n">
        <x:f>IF(AND(ISNUMBER($D18),ISNUMBER($E18),AB$4&gt;=$D18,AB$4&lt;=$E18,WEEKDAY(AB$4,2)&lt;=5,COUNTIF('Sources &amp; Change Log'!$J$2:$J$5,AB$4)=0,COUNTIFS('Team Calendar'!$A$5:$A$12,$F18,'Team Calendar'!$C$5:$C$12,AB$4)=0),1,"")</x:f>
        <x:v>1</x:v>
      </x:c>
      <x:c r="AC18" s="100" t="n">
        <x:f>IF(AND(ISNUMBER($D18),ISNUMBER($E18),AC$4&gt;=$D18,AC$4&lt;=$E18,WEEKDAY(AC$4,2)&lt;=5,COUNTIF('Sources &amp; Change Log'!$J$2:$J$5,AC$4)=0,COUNTIFS('Team Calendar'!$A$5:$A$12,$F18,'Team Calendar'!$C$5:$C$12,AC$4)=0),1,"")</x:f>
        <x:v>1</x:v>
      </x:c>
      <x:c r="AD18" s="100" t="n">
        <x:f>IF(AND(ISNUMBER($D18),ISNUMBER($E18),AD$4&gt;=$D18,AD$4&lt;=$E18,WEEKDAY(AD$4,2)&lt;=5,COUNTIF('Sources &amp; Change Log'!$J$2:$J$5,AD$4)=0,COUNTIFS('Team Calendar'!$A$5:$A$12,$F18,'Team Calendar'!$C$5:$C$12,AD$4)=0),1,"")</x:f>
        <x:v>1</x:v>
      </x:c>
      <x:c r="AE18" s="107" t="str">
        <x:f>IF(AND(ISNUMBER($D18),ISNUMBER($E18),AE$4&gt;=$D18,AE$4&lt;=$E18,WEEKDAY(AE$4,2)&lt;=5,COUNTIF('Sources &amp; Change Log'!$J$2:$J$5,AE$4)=0,COUNTIFS('Team Calendar'!$A$5:$A$12,$F18,'Team Calendar'!$C$5:$C$12,AE$4)=0),1,"")</x:f>
      </x:c>
      <x:c r="AF18" s="107" t="str">
        <x:f>IF(AND(ISNUMBER($D18),ISNUMBER($E18),AF$4&gt;=$D18,AF$4&lt;=$E18,WEEKDAY(AF$4,2)&lt;=5,COUNTIF('Sources &amp; Change Log'!$J$2:$J$5,AF$4)=0,COUNTIFS('Team Calendar'!$A$5:$A$12,$F18,'Team Calendar'!$C$5:$C$12,AF$4)=0),1,"")</x:f>
      </x:c>
      <x:c r="AG18" s="100" t="n">
        <x:f>IF(AND(ISNUMBER($D18),ISNUMBER($E18),AG$4&gt;=$D18,AG$4&lt;=$E18,WEEKDAY(AG$4,2)&lt;=5,COUNTIF('Sources &amp; Change Log'!$J$2:$J$5,AG$4)=0,COUNTIFS('Team Calendar'!$A$5:$A$12,$F18,'Team Calendar'!$C$5:$C$12,AG$4)=0),1,"")</x:f>
        <x:v>1</x:v>
      </x:c>
      <x:c r="AH18" s="100" t="str">
        <x:f>IF(AND(ISNUMBER($D18),ISNUMBER($E18),AH$4&gt;=$D18,AH$4&lt;=$E18,WEEKDAY(AH$4,2)&lt;=5,COUNTIF('Sources &amp; Change Log'!$J$2:$J$5,AH$4)=0,COUNTIFS('Team Calendar'!$A$5:$A$12,$F18,'Team Calendar'!$C$5:$C$12,AH$4)=0),1,"")</x:f>
      </x:c>
      <x:c r="AI18" s="100" t="str">
        <x:f>IF(AND(ISNUMBER($D18),ISNUMBER($E18),AI$4&gt;=$D18,AI$4&lt;=$E18,WEEKDAY(AI$4,2)&lt;=5,COUNTIF('Sources &amp; Change Log'!$J$2:$J$5,AI$4)=0,COUNTIFS('Team Calendar'!$A$5:$A$12,$F18,'Team Calendar'!$C$5:$C$12,AI$4)=0),1,"")</x:f>
      </x:c>
    </x:row>
    <x:row r="19" ht="24" customHeight="1">
      <x:c r="A19" s="13" t="str">
        <x:f>WBS!A18</x:f>
        <x:v>P1-E2E-01</x:v>
      </x:c>
      <x:c r="B19" s="13" t="str">
        <x:f>WBS!B18</x:f>
        <x:v>Initial / Final E2E &amp; Regression</x:v>
      </x:c>
      <x:c r="C19" s="13" t="str">
        <x:f>WBS!G18</x:f>
        <x:v>To Do</x:v>
      </x:c>
      <x:c r="D19" s="86" t="n">
        <x:f>IF(WBS!H18="","",WBS!H18)</x:f>
        <x:v>46276</x:v>
      </x:c>
      <x:c r="E19" s="86" t="n">
        <x:f>IF(WBS!I18="","",WBS!I18)</x:f>
        <x:v>46287</x:v>
      </x:c>
      <x:c r="F19" s="13" t="str">
        <x:f>WBS!L18</x:f>
        <x:v>이재환</x:v>
      </x:c>
      <x:c r="G19" s="100" t="str">
        <x:f>IF(AND(ISNUMBER($D19),ISNUMBER($E19),G$4&gt;=$D19,G$4&lt;=$E19,WEEKDAY(G$4,2)&lt;=5,COUNTIF('Sources &amp; Change Log'!$J$2:$J$5,G$4)=0,COUNTIFS('Team Calendar'!$A$5:$A$12,$F19,'Team Calendar'!$C$5:$C$12,G$4)=0),1,"")</x:f>
      </x:c>
      <x:c r="H19" s="100" t="str">
        <x:f>IF(AND(ISNUMBER($D19),ISNUMBER($E19),H$4&gt;=$D19,H$4&lt;=$E19,WEEKDAY(H$4,2)&lt;=5,COUNTIF('Sources &amp; Change Log'!$J$2:$J$5,H$4)=0,COUNTIFS('Team Calendar'!$A$5:$A$12,$F19,'Team Calendar'!$C$5:$C$12,H$4)=0),1,"")</x:f>
      </x:c>
      <x:c r="I19" s="100" t="str">
        <x:f>IF(AND(ISNUMBER($D19),ISNUMBER($E19),I$4&gt;=$D19,I$4&lt;=$E19,WEEKDAY(I$4,2)&lt;=5,COUNTIF('Sources &amp; Change Log'!$J$2:$J$5,I$4)=0,COUNTIFS('Team Calendar'!$A$5:$A$12,$F19,'Team Calendar'!$C$5:$C$12,I$4)=0),1,"")</x:f>
      </x:c>
      <x:c r="J19" s="107" t="str">
        <x:f>IF(AND(ISNUMBER($D19),ISNUMBER($E19),J$4&gt;=$D19,J$4&lt;=$E19,WEEKDAY(J$4,2)&lt;=5,COUNTIF('Sources &amp; Change Log'!$J$2:$J$5,J$4)=0,COUNTIFS('Team Calendar'!$A$5:$A$12,$F19,'Team Calendar'!$C$5:$C$12,J$4)=0),1,"")</x:f>
      </x:c>
      <x:c r="K19" s="107" t="str">
        <x:f>IF(AND(ISNUMBER($D19),ISNUMBER($E19),K$4&gt;=$D19,K$4&lt;=$E19,WEEKDAY(K$4,2)&lt;=5,COUNTIF('Sources &amp; Change Log'!$J$2:$J$5,K$4)=0,COUNTIFS('Team Calendar'!$A$5:$A$12,$F19,'Team Calendar'!$C$5:$C$12,K$4)=0),1,"")</x:f>
      </x:c>
      <x:c r="L19" s="100" t="str">
        <x:f>IF(AND(ISNUMBER($D19),ISNUMBER($E19),L$4&gt;=$D19,L$4&lt;=$E19,WEEKDAY(L$4,2)&lt;=5,COUNTIF('Sources &amp; Change Log'!$J$2:$J$5,L$4)=0,COUNTIFS('Team Calendar'!$A$5:$A$12,$F19,'Team Calendar'!$C$5:$C$12,L$4)=0),1,"")</x:f>
      </x:c>
      <x:c r="M19" s="101" t="str">
        <x:f>IF(AND(ISNUMBER($D19),ISNUMBER($E19),M$4&gt;=$D19,M$4&lt;=$E19,WEEKDAY(M$4,2)&lt;=5,COUNTIF('Sources &amp; Change Log'!$J$2:$J$5,M$4)=0,COUNTIFS('Team Calendar'!$A$5:$A$12,$F19,'Team Calendar'!$C$5:$C$12,M$4)=0),1,"")</x:f>
      </x:c>
      <x:c r="N19" s="100" t="str">
        <x:f>IF(AND(ISNUMBER($D19),ISNUMBER($E19),N$4&gt;=$D19,N$4&lt;=$E19,WEEKDAY(N$4,2)&lt;=5,COUNTIF('Sources &amp; Change Log'!$J$2:$J$5,N$4)=0,COUNTIFS('Team Calendar'!$A$5:$A$12,$F19,'Team Calendar'!$C$5:$C$12,N$4)=0),1,"")</x:f>
      </x:c>
      <x:c r="O19" s="100" t="str">
        <x:f>IF(AND(ISNUMBER($D19),ISNUMBER($E19),O$4&gt;=$D19,O$4&lt;=$E19,WEEKDAY(O$4,2)&lt;=5,COUNTIF('Sources &amp; Change Log'!$J$2:$J$5,O$4)=0,COUNTIFS('Team Calendar'!$A$5:$A$12,$F19,'Team Calendar'!$C$5:$C$12,O$4)=0),1,"")</x:f>
      </x:c>
      <x:c r="P19" s="100" t="str">
        <x:f>IF(AND(ISNUMBER($D19),ISNUMBER($E19),P$4&gt;=$D19,P$4&lt;=$E19,WEEKDAY(P$4,2)&lt;=5,COUNTIF('Sources &amp; Change Log'!$J$2:$J$5,P$4)=0,COUNTIFS('Team Calendar'!$A$5:$A$12,$F19,'Team Calendar'!$C$5:$C$12,P$4)=0),1,"")</x:f>
      </x:c>
      <x:c r="Q19" s="107" t="str">
        <x:f>IF(AND(ISNUMBER($D19),ISNUMBER($E19),Q$4&gt;=$D19,Q$4&lt;=$E19,WEEKDAY(Q$4,2)&lt;=5,COUNTIF('Sources &amp; Change Log'!$J$2:$J$5,Q$4)=0,COUNTIFS('Team Calendar'!$A$5:$A$12,$F19,'Team Calendar'!$C$5:$C$12,Q$4)=0),1,"")</x:f>
      </x:c>
      <x:c r="R19" s="107" t="str">
        <x:f>IF(AND(ISNUMBER($D19),ISNUMBER($E19),R$4&gt;=$D19,R$4&lt;=$E19,WEEKDAY(R$4,2)&lt;=5,COUNTIF('Sources &amp; Change Log'!$J$2:$J$5,R$4)=0,COUNTIFS('Team Calendar'!$A$5:$A$12,$F19,'Team Calendar'!$C$5:$C$12,R$4)=0),1,"")</x:f>
      </x:c>
      <x:c r="S19" s="100" t="str">
        <x:f>IF(AND(ISNUMBER($D19),ISNUMBER($E19),S$4&gt;=$D19,S$4&lt;=$E19,WEEKDAY(S$4,2)&lt;=5,COUNTIF('Sources &amp; Change Log'!$J$2:$J$5,S$4)=0,COUNTIFS('Team Calendar'!$A$5:$A$12,$F19,'Team Calendar'!$C$5:$C$12,S$4)=0),1,"")</x:f>
      </x:c>
      <x:c r="T19" s="100" t="str">
        <x:f>IF(AND(ISNUMBER($D19),ISNUMBER($E19),T$4&gt;=$D19,T$4&lt;=$E19,WEEKDAY(T$4,2)&lt;=5,COUNTIF('Sources &amp; Change Log'!$J$2:$J$5,T$4)=0,COUNTIFS('Team Calendar'!$A$5:$A$12,$F19,'Team Calendar'!$C$5:$C$12,T$4)=0),1,"")</x:f>
      </x:c>
      <x:c r="U19" s="100" t="str">
        <x:f>IF(AND(ISNUMBER($D19),ISNUMBER($E19),U$4&gt;=$D19,U$4&lt;=$E19,WEEKDAY(U$4,2)&lt;=5,COUNTIF('Sources &amp; Change Log'!$J$2:$J$5,U$4)=0,COUNTIFS('Team Calendar'!$A$5:$A$12,$F19,'Team Calendar'!$C$5:$C$12,U$4)=0),1,"")</x:f>
      </x:c>
      <x:c r="V19" s="100" t="str">
        <x:f>IF(AND(ISNUMBER($D19),ISNUMBER($E19),V$4&gt;=$D19,V$4&lt;=$E19,WEEKDAY(V$4,2)&lt;=5,COUNTIF('Sources &amp; Change Log'!$J$2:$J$5,V$4)=0,COUNTIFS('Team Calendar'!$A$5:$A$12,$F19,'Team Calendar'!$C$5:$C$12,V$4)=0),1,"")</x:f>
      </x:c>
      <x:c r="W19" s="100" t="n">
        <x:f>IF(AND(ISNUMBER($D19),ISNUMBER($E19),W$4&gt;=$D19,W$4&lt;=$E19,WEEKDAY(W$4,2)&lt;=5,COUNTIF('Sources &amp; Change Log'!$J$2:$J$5,W$4)=0,COUNTIFS('Team Calendar'!$A$5:$A$12,$F19,'Team Calendar'!$C$5:$C$12,W$4)=0),1,"")</x:f>
        <x:v>1</x:v>
      </x:c>
      <x:c r="X19" s="107" t="str">
        <x:f>IF(AND(ISNUMBER($D19),ISNUMBER($E19),X$4&gt;=$D19,X$4&lt;=$E19,WEEKDAY(X$4,2)&lt;=5,COUNTIF('Sources &amp; Change Log'!$J$2:$J$5,X$4)=0,COUNTIFS('Team Calendar'!$A$5:$A$12,$F19,'Team Calendar'!$C$5:$C$12,X$4)=0),1,"")</x:f>
      </x:c>
      <x:c r="Y19" s="107" t="str">
        <x:f>IF(AND(ISNUMBER($D19),ISNUMBER($E19),Y$4&gt;=$D19,Y$4&lt;=$E19,WEEKDAY(Y$4,2)&lt;=5,COUNTIF('Sources &amp; Change Log'!$J$2:$J$5,Y$4)=0,COUNTIFS('Team Calendar'!$A$5:$A$12,$F19,'Team Calendar'!$C$5:$C$12,Y$4)=0),1,"")</x:f>
      </x:c>
      <x:c r="Z19" s="100" t="str">
        <x:f>IF(AND(ISNUMBER($D19),ISNUMBER($E19),Z$4&gt;=$D19,Z$4&lt;=$E19,WEEKDAY(Z$4,2)&lt;=5,COUNTIF('Sources &amp; Change Log'!$J$2:$J$5,Z$4)=0,COUNTIFS('Team Calendar'!$A$5:$A$12,$F19,'Team Calendar'!$C$5:$C$12,Z$4)=0),1,"")</x:f>
      </x:c>
      <x:c r="AA19" s="100" t="str">
        <x:f>IF(AND(ISNUMBER($D19),ISNUMBER($E19),AA$4&gt;=$D19,AA$4&lt;=$E19,WEEKDAY(AA$4,2)&lt;=5,COUNTIF('Sources &amp; Change Log'!$J$2:$J$5,AA$4)=0,COUNTIFS('Team Calendar'!$A$5:$A$12,$F19,'Team Calendar'!$C$5:$C$12,AA$4)=0),1,"")</x:f>
      </x:c>
      <x:c r="AB19" s="100" t="str">
        <x:f>IF(AND(ISNUMBER($D19),ISNUMBER($E19),AB$4&gt;=$D19,AB$4&lt;=$E19,WEEKDAY(AB$4,2)&lt;=5,COUNTIF('Sources &amp; Change Log'!$J$2:$J$5,AB$4)=0,COUNTIFS('Team Calendar'!$A$5:$A$12,$F19,'Team Calendar'!$C$5:$C$12,AB$4)=0),1,"")</x:f>
      </x:c>
      <x:c r="AC19" s="100" t="str">
        <x:f>IF(AND(ISNUMBER($D19),ISNUMBER($E19),AC$4&gt;=$D19,AC$4&lt;=$E19,WEEKDAY(AC$4,2)&lt;=5,COUNTIF('Sources &amp; Change Log'!$J$2:$J$5,AC$4)=0,COUNTIFS('Team Calendar'!$A$5:$A$12,$F19,'Team Calendar'!$C$5:$C$12,AC$4)=0),1,"")</x:f>
      </x:c>
      <x:c r="AD19" s="100" t="n">
        <x:f>IF(AND(ISNUMBER($D19),ISNUMBER($E19),AD$4&gt;=$D19,AD$4&lt;=$E19,WEEKDAY(AD$4,2)&lt;=5,COUNTIF('Sources &amp; Change Log'!$J$2:$J$5,AD$4)=0,COUNTIFS('Team Calendar'!$A$5:$A$12,$F19,'Team Calendar'!$C$5:$C$12,AD$4)=0),1,"")</x:f>
        <x:v>1</x:v>
      </x:c>
      <x:c r="AE19" s="107" t="str">
        <x:f>IF(AND(ISNUMBER($D19),ISNUMBER($E19),AE$4&gt;=$D19,AE$4&lt;=$E19,WEEKDAY(AE$4,2)&lt;=5,COUNTIF('Sources &amp; Change Log'!$J$2:$J$5,AE$4)=0,COUNTIFS('Team Calendar'!$A$5:$A$12,$F19,'Team Calendar'!$C$5:$C$12,AE$4)=0),1,"")</x:f>
      </x:c>
      <x:c r="AF19" s="107" t="str">
        <x:f>IF(AND(ISNUMBER($D19),ISNUMBER($E19),AF$4&gt;=$D19,AF$4&lt;=$E19,WEEKDAY(AF$4,2)&lt;=5,COUNTIF('Sources &amp; Change Log'!$J$2:$J$5,AF$4)=0,COUNTIFS('Team Calendar'!$A$5:$A$12,$F19,'Team Calendar'!$C$5:$C$12,AF$4)=0),1,"")</x:f>
      </x:c>
      <x:c r="AG19" s="100" t="n">
        <x:f>IF(AND(ISNUMBER($D19),ISNUMBER($E19),AG$4&gt;=$D19,AG$4&lt;=$E19,WEEKDAY(AG$4,2)&lt;=5,COUNTIF('Sources &amp; Change Log'!$J$2:$J$5,AG$4)=0,COUNTIFS('Team Calendar'!$A$5:$A$12,$F19,'Team Calendar'!$C$5:$C$12,AG$4)=0),1,"")</x:f>
        <x:v>1</x:v>
      </x:c>
      <x:c r="AH19" s="100" t="n">
        <x:f>IF(AND(ISNUMBER($D19),ISNUMBER($E19),AH$4&gt;=$D19,AH$4&lt;=$E19,WEEKDAY(AH$4,2)&lt;=5,COUNTIF('Sources &amp; Change Log'!$J$2:$J$5,AH$4)=0,COUNTIFS('Team Calendar'!$A$5:$A$12,$F19,'Team Calendar'!$C$5:$C$12,AH$4)=0),1,"")</x:f>
        <x:v>1</x:v>
      </x:c>
      <x:c r="AI19" s="100" t="str">
        <x:f>IF(AND(ISNUMBER($D19),ISNUMBER($E19),AI$4&gt;=$D19,AI$4&lt;=$E19,WEEKDAY(AI$4,2)&lt;=5,COUNTIF('Sources &amp; Change Log'!$J$2:$J$5,AI$4)=0,COUNTIFS('Team Calendar'!$A$5:$A$12,$F19,'Team Calendar'!$C$5:$C$12,AI$4)=0),1,"")</x:f>
      </x:c>
    </x:row>
    <x:row r="20" ht="24" customHeight="1">
      <x:c r="A20" s="13" t="str">
        <x:f>WBS!A19</x:f>
        <x:v>P1-DR-01</x:v>
      </x:c>
      <x:c r="B20" s="13" t="str">
        <x:f>WBS!B19</x:f>
        <x:v>PostgreSQL Backup / Restore</x:v>
      </x:c>
      <x:c r="C20" s="13" t="str">
        <x:f>WBS!G19</x:f>
        <x:v>To Do</x:v>
      </x:c>
      <x:c r="D20" s="86" t="n">
        <x:f>IF(WBS!H19="","",WBS!H19)</x:f>
        <x:v>46276</x:v>
      </x:c>
      <x:c r="E20" s="86" t="n">
        <x:f>IF(WBS!I19="","",WBS!I19)</x:f>
        <x:v>46286</x:v>
      </x:c>
      <x:c r="F20" s="13" t="str">
        <x:f>WBS!L19</x:f>
        <x:v>이재환</x:v>
      </x:c>
      <x:c r="G20" s="100" t="str">
        <x:f>IF(AND(ISNUMBER($D20),ISNUMBER($E20),G$4&gt;=$D20,G$4&lt;=$E20,WEEKDAY(G$4,2)&lt;=5,COUNTIF('Sources &amp; Change Log'!$J$2:$J$5,G$4)=0,COUNTIFS('Team Calendar'!$A$5:$A$12,$F20,'Team Calendar'!$C$5:$C$12,G$4)=0),1,"")</x:f>
      </x:c>
      <x:c r="H20" s="100" t="str">
        <x:f>IF(AND(ISNUMBER($D20),ISNUMBER($E20),H$4&gt;=$D20,H$4&lt;=$E20,WEEKDAY(H$4,2)&lt;=5,COUNTIF('Sources &amp; Change Log'!$J$2:$J$5,H$4)=0,COUNTIFS('Team Calendar'!$A$5:$A$12,$F20,'Team Calendar'!$C$5:$C$12,H$4)=0),1,"")</x:f>
      </x:c>
      <x:c r="I20" s="100" t="str">
        <x:f>IF(AND(ISNUMBER($D20),ISNUMBER($E20),I$4&gt;=$D20,I$4&lt;=$E20,WEEKDAY(I$4,2)&lt;=5,COUNTIF('Sources &amp; Change Log'!$J$2:$J$5,I$4)=0,COUNTIFS('Team Calendar'!$A$5:$A$12,$F20,'Team Calendar'!$C$5:$C$12,I$4)=0),1,"")</x:f>
      </x:c>
      <x:c r="J20" s="107" t="str">
        <x:f>IF(AND(ISNUMBER($D20),ISNUMBER($E20),J$4&gt;=$D20,J$4&lt;=$E20,WEEKDAY(J$4,2)&lt;=5,COUNTIF('Sources &amp; Change Log'!$J$2:$J$5,J$4)=0,COUNTIFS('Team Calendar'!$A$5:$A$12,$F20,'Team Calendar'!$C$5:$C$12,J$4)=0),1,"")</x:f>
      </x:c>
      <x:c r="K20" s="107" t="str">
        <x:f>IF(AND(ISNUMBER($D20),ISNUMBER($E20),K$4&gt;=$D20,K$4&lt;=$E20,WEEKDAY(K$4,2)&lt;=5,COUNTIF('Sources &amp; Change Log'!$J$2:$J$5,K$4)=0,COUNTIFS('Team Calendar'!$A$5:$A$12,$F20,'Team Calendar'!$C$5:$C$12,K$4)=0),1,"")</x:f>
      </x:c>
      <x:c r="L20" s="100" t="str">
        <x:f>IF(AND(ISNUMBER($D20),ISNUMBER($E20),L$4&gt;=$D20,L$4&lt;=$E20,WEEKDAY(L$4,2)&lt;=5,COUNTIF('Sources &amp; Change Log'!$J$2:$J$5,L$4)=0,COUNTIFS('Team Calendar'!$A$5:$A$12,$F20,'Team Calendar'!$C$5:$C$12,L$4)=0),1,"")</x:f>
      </x:c>
      <x:c r="M20" s="101" t="str">
        <x:f>IF(AND(ISNUMBER($D20),ISNUMBER($E20),M$4&gt;=$D20,M$4&lt;=$E20,WEEKDAY(M$4,2)&lt;=5,COUNTIF('Sources &amp; Change Log'!$J$2:$J$5,M$4)=0,COUNTIFS('Team Calendar'!$A$5:$A$12,$F20,'Team Calendar'!$C$5:$C$12,M$4)=0),1,"")</x:f>
      </x:c>
      <x:c r="N20" s="100" t="str">
        <x:f>IF(AND(ISNUMBER($D20),ISNUMBER($E20),N$4&gt;=$D20,N$4&lt;=$E20,WEEKDAY(N$4,2)&lt;=5,COUNTIF('Sources &amp; Change Log'!$J$2:$J$5,N$4)=0,COUNTIFS('Team Calendar'!$A$5:$A$12,$F20,'Team Calendar'!$C$5:$C$12,N$4)=0),1,"")</x:f>
      </x:c>
      <x:c r="O20" s="100" t="str">
        <x:f>IF(AND(ISNUMBER($D20),ISNUMBER($E20),O$4&gt;=$D20,O$4&lt;=$E20,WEEKDAY(O$4,2)&lt;=5,COUNTIF('Sources &amp; Change Log'!$J$2:$J$5,O$4)=0,COUNTIFS('Team Calendar'!$A$5:$A$12,$F20,'Team Calendar'!$C$5:$C$12,O$4)=0),1,"")</x:f>
      </x:c>
      <x:c r="P20" s="100" t="str">
        <x:f>IF(AND(ISNUMBER($D20),ISNUMBER($E20),P$4&gt;=$D20,P$4&lt;=$E20,WEEKDAY(P$4,2)&lt;=5,COUNTIF('Sources &amp; Change Log'!$J$2:$J$5,P$4)=0,COUNTIFS('Team Calendar'!$A$5:$A$12,$F20,'Team Calendar'!$C$5:$C$12,P$4)=0),1,"")</x:f>
      </x:c>
      <x:c r="Q20" s="107" t="str">
        <x:f>IF(AND(ISNUMBER($D20),ISNUMBER($E20),Q$4&gt;=$D20,Q$4&lt;=$E20,WEEKDAY(Q$4,2)&lt;=5,COUNTIF('Sources &amp; Change Log'!$J$2:$J$5,Q$4)=0,COUNTIFS('Team Calendar'!$A$5:$A$12,$F20,'Team Calendar'!$C$5:$C$12,Q$4)=0),1,"")</x:f>
      </x:c>
      <x:c r="R20" s="107" t="str">
        <x:f>IF(AND(ISNUMBER($D20),ISNUMBER($E20),R$4&gt;=$D20,R$4&lt;=$E20,WEEKDAY(R$4,2)&lt;=5,COUNTIF('Sources &amp; Change Log'!$J$2:$J$5,R$4)=0,COUNTIFS('Team Calendar'!$A$5:$A$12,$F20,'Team Calendar'!$C$5:$C$12,R$4)=0),1,"")</x:f>
      </x:c>
      <x:c r="S20" s="100" t="str">
        <x:f>IF(AND(ISNUMBER($D20),ISNUMBER($E20),S$4&gt;=$D20,S$4&lt;=$E20,WEEKDAY(S$4,2)&lt;=5,COUNTIF('Sources &amp; Change Log'!$J$2:$J$5,S$4)=0,COUNTIFS('Team Calendar'!$A$5:$A$12,$F20,'Team Calendar'!$C$5:$C$12,S$4)=0),1,"")</x:f>
      </x:c>
      <x:c r="T20" s="100" t="str">
        <x:f>IF(AND(ISNUMBER($D20),ISNUMBER($E20),T$4&gt;=$D20,T$4&lt;=$E20,WEEKDAY(T$4,2)&lt;=5,COUNTIF('Sources &amp; Change Log'!$J$2:$J$5,T$4)=0,COUNTIFS('Team Calendar'!$A$5:$A$12,$F20,'Team Calendar'!$C$5:$C$12,T$4)=0),1,"")</x:f>
      </x:c>
      <x:c r="U20" s="100" t="str">
        <x:f>IF(AND(ISNUMBER($D20),ISNUMBER($E20),U$4&gt;=$D20,U$4&lt;=$E20,WEEKDAY(U$4,2)&lt;=5,COUNTIF('Sources &amp; Change Log'!$J$2:$J$5,U$4)=0,COUNTIFS('Team Calendar'!$A$5:$A$12,$F20,'Team Calendar'!$C$5:$C$12,U$4)=0),1,"")</x:f>
      </x:c>
      <x:c r="V20" s="100" t="str">
        <x:f>IF(AND(ISNUMBER($D20),ISNUMBER($E20),V$4&gt;=$D20,V$4&lt;=$E20,WEEKDAY(V$4,2)&lt;=5,COUNTIF('Sources &amp; Change Log'!$J$2:$J$5,V$4)=0,COUNTIFS('Team Calendar'!$A$5:$A$12,$F20,'Team Calendar'!$C$5:$C$12,V$4)=0),1,"")</x:f>
      </x:c>
      <x:c r="W20" s="100" t="n">
        <x:f>IF(AND(ISNUMBER($D20),ISNUMBER($E20),W$4&gt;=$D20,W$4&lt;=$E20,WEEKDAY(W$4,2)&lt;=5,COUNTIF('Sources &amp; Change Log'!$J$2:$J$5,W$4)=0,COUNTIFS('Team Calendar'!$A$5:$A$12,$F20,'Team Calendar'!$C$5:$C$12,W$4)=0),1,"")</x:f>
        <x:v>1</x:v>
      </x:c>
      <x:c r="X20" s="107" t="str">
        <x:f>IF(AND(ISNUMBER($D20),ISNUMBER($E20),X$4&gt;=$D20,X$4&lt;=$E20,WEEKDAY(X$4,2)&lt;=5,COUNTIF('Sources &amp; Change Log'!$J$2:$J$5,X$4)=0,COUNTIFS('Team Calendar'!$A$5:$A$12,$F20,'Team Calendar'!$C$5:$C$12,X$4)=0),1,"")</x:f>
      </x:c>
      <x:c r="Y20" s="107" t="str">
        <x:f>IF(AND(ISNUMBER($D20),ISNUMBER($E20),Y$4&gt;=$D20,Y$4&lt;=$E20,WEEKDAY(Y$4,2)&lt;=5,COUNTIF('Sources &amp; Change Log'!$J$2:$J$5,Y$4)=0,COUNTIFS('Team Calendar'!$A$5:$A$12,$F20,'Team Calendar'!$C$5:$C$12,Y$4)=0),1,"")</x:f>
      </x:c>
      <x:c r="Z20" s="100" t="str">
        <x:f>IF(AND(ISNUMBER($D20),ISNUMBER($E20),Z$4&gt;=$D20,Z$4&lt;=$E20,WEEKDAY(Z$4,2)&lt;=5,COUNTIF('Sources &amp; Change Log'!$J$2:$J$5,Z$4)=0,COUNTIFS('Team Calendar'!$A$5:$A$12,$F20,'Team Calendar'!$C$5:$C$12,Z$4)=0),1,"")</x:f>
      </x:c>
      <x:c r="AA20" s="100" t="str">
        <x:f>IF(AND(ISNUMBER($D20),ISNUMBER($E20),AA$4&gt;=$D20,AA$4&lt;=$E20,WEEKDAY(AA$4,2)&lt;=5,COUNTIF('Sources &amp; Change Log'!$J$2:$J$5,AA$4)=0,COUNTIFS('Team Calendar'!$A$5:$A$12,$F20,'Team Calendar'!$C$5:$C$12,AA$4)=0),1,"")</x:f>
      </x:c>
      <x:c r="AB20" s="100" t="str">
        <x:f>IF(AND(ISNUMBER($D20),ISNUMBER($E20),AB$4&gt;=$D20,AB$4&lt;=$E20,WEEKDAY(AB$4,2)&lt;=5,COUNTIF('Sources &amp; Change Log'!$J$2:$J$5,AB$4)=0,COUNTIFS('Team Calendar'!$A$5:$A$12,$F20,'Team Calendar'!$C$5:$C$12,AB$4)=0),1,"")</x:f>
      </x:c>
      <x:c r="AC20" s="100" t="str">
        <x:f>IF(AND(ISNUMBER($D20),ISNUMBER($E20),AC$4&gt;=$D20,AC$4&lt;=$E20,WEEKDAY(AC$4,2)&lt;=5,COUNTIF('Sources &amp; Change Log'!$J$2:$J$5,AC$4)=0,COUNTIFS('Team Calendar'!$A$5:$A$12,$F20,'Team Calendar'!$C$5:$C$12,AC$4)=0),1,"")</x:f>
      </x:c>
      <x:c r="AD20" s="100" t="n">
        <x:f>IF(AND(ISNUMBER($D20),ISNUMBER($E20),AD$4&gt;=$D20,AD$4&lt;=$E20,WEEKDAY(AD$4,2)&lt;=5,COUNTIF('Sources &amp; Change Log'!$J$2:$J$5,AD$4)=0,COUNTIFS('Team Calendar'!$A$5:$A$12,$F20,'Team Calendar'!$C$5:$C$12,AD$4)=0),1,"")</x:f>
        <x:v>1</x:v>
      </x:c>
      <x:c r="AE20" s="107" t="str">
        <x:f>IF(AND(ISNUMBER($D20),ISNUMBER($E20),AE$4&gt;=$D20,AE$4&lt;=$E20,WEEKDAY(AE$4,2)&lt;=5,COUNTIF('Sources &amp; Change Log'!$J$2:$J$5,AE$4)=0,COUNTIFS('Team Calendar'!$A$5:$A$12,$F20,'Team Calendar'!$C$5:$C$12,AE$4)=0),1,"")</x:f>
      </x:c>
      <x:c r="AF20" s="107" t="str">
        <x:f>IF(AND(ISNUMBER($D20),ISNUMBER($E20),AF$4&gt;=$D20,AF$4&lt;=$E20,WEEKDAY(AF$4,2)&lt;=5,COUNTIF('Sources &amp; Change Log'!$J$2:$J$5,AF$4)=0,COUNTIFS('Team Calendar'!$A$5:$A$12,$F20,'Team Calendar'!$C$5:$C$12,AF$4)=0),1,"")</x:f>
      </x:c>
      <x:c r="AG20" s="100" t="n">
        <x:f>IF(AND(ISNUMBER($D20),ISNUMBER($E20),AG$4&gt;=$D20,AG$4&lt;=$E20,WEEKDAY(AG$4,2)&lt;=5,COUNTIF('Sources &amp; Change Log'!$J$2:$J$5,AG$4)=0,COUNTIFS('Team Calendar'!$A$5:$A$12,$F20,'Team Calendar'!$C$5:$C$12,AG$4)=0),1,"")</x:f>
        <x:v>1</x:v>
      </x:c>
      <x:c r="AH20" s="100" t="str">
        <x:f>IF(AND(ISNUMBER($D20),ISNUMBER($E20),AH$4&gt;=$D20,AH$4&lt;=$E20,WEEKDAY(AH$4,2)&lt;=5,COUNTIF('Sources &amp; Change Log'!$J$2:$J$5,AH$4)=0,COUNTIFS('Team Calendar'!$A$5:$A$12,$F20,'Team Calendar'!$C$5:$C$12,AH$4)=0),1,"")</x:f>
      </x:c>
      <x:c r="AI20" s="100" t="str">
        <x:f>IF(AND(ISNUMBER($D20),ISNUMBER($E20),AI$4&gt;=$D20,AI$4&lt;=$E20,WEEKDAY(AI$4,2)&lt;=5,COUNTIF('Sources &amp; Change Log'!$J$2:$J$5,AI$4)=0,COUNTIFS('Team Calendar'!$A$5:$A$12,$F20,'Team Calendar'!$C$5:$C$12,AI$4)=0),1,"")</x:f>
      </x:c>
    </x:row>
    <x:row r="21" ht="24" customHeight="1">
      <x:c r="A21" s="13" t="str">
        <x:f>WBS!A20</x:f>
        <x:v>P1-HA-01</x:v>
      </x:c>
      <x:c r="B21" s="13" t="str">
        <x:f>WBS!B20</x:f>
        <x:v>Worker Drain Continuity</x:v>
      </x:c>
      <x:c r="C21" s="13" t="str">
        <x:f>WBS!G20</x:f>
        <x:v>To Do</x:v>
      </x:c>
      <x:c r="D21" s="86" t="n">
        <x:f>IF(WBS!H20="","",WBS!H20)</x:f>
        <x:v>46276</x:v>
      </x:c>
      <x:c r="E21" s="86" t="n">
        <x:f>IF(WBS!I20="","",WBS!I20)</x:f>
        <x:v>46286</x:v>
      </x:c>
      <x:c r="F21" s="13" t="str">
        <x:f>WBS!L20</x:f>
        <x:v>이재환</x:v>
      </x:c>
      <x:c r="G21" s="100" t="str">
        <x:f>IF(AND(ISNUMBER($D21),ISNUMBER($E21),G$4&gt;=$D21,G$4&lt;=$E21,WEEKDAY(G$4,2)&lt;=5,COUNTIF('Sources &amp; Change Log'!$J$2:$J$5,G$4)=0,COUNTIFS('Team Calendar'!$A$5:$A$12,$F21,'Team Calendar'!$C$5:$C$12,G$4)=0),1,"")</x:f>
      </x:c>
      <x:c r="H21" s="100" t="str">
        <x:f>IF(AND(ISNUMBER($D21),ISNUMBER($E21),H$4&gt;=$D21,H$4&lt;=$E21,WEEKDAY(H$4,2)&lt;=5,COUNTIF('Sources &amp; Change Log'!$J$2:$J$5,H$4)=0,COUNTIFS('Team Calendar'!$A$5:$A$12,$F21,'Team Calendar'!$C$5:$C$12,H$4)=0),1,"")</x:f>
      </x:c>
      <x:c r="I21" s="100" t="str">
        <x:f>IF(AND(ISNUMBER($D21),ISNUMBER($E21),I$4&gt;=$D21,I$4&lt;=$E21,WEEKDAY(I$4,2)&lt;=5,COUNTIF('Sources &amp; Change Log'!$J$2:$J$5,I$4)=0,COUNTIFS('Team Calendar'!$A$5:$A$12,$F21,'Team Calendar'!$C$5:$C$12,I$4)=0),1,"")</x:f>
      </x:c>
      <x:c r="J21" s="107" t="str">
        <x:f>IF(AND(ISNUMBER($D21),ISNUMBER($E21),J$4&gt;=$D21,J$4&lt;=$E21,WEEKDAY(J$4,2)&lt;=5,COUNTIF('Sources &amp; Change Log'!$J$2:$J$5,J$4)=0,COUNTIFS('Team Calendar'!$A$5:$A$12,$F21,'Team Calendar'!$C$5:$C$12,J$4)=0),1,"")</x:f>
      </x:c>
      <x:c r="K21" s="107" t="str">
        <x:f>IF(AND(ISNUMBER($D21),ISNUMBER($E21),K$4&gt;=$D21,K$4&lt;=$E21,WEEKDAY(K$4,2)&lt;=5,COUNTIF('Sources &amp; Change Log'!$J$2:$J$5,K$4)=0,COUNTIFS('Team Calendar'!$A$5:$A$12,$F21,'Team Calendar'!$C$5:$C$12,K$4)=0),1,"")</x:f>
      </x:c>
      <x:c r="L21" s="100" t="str">
        <x:f>IF(AND(ISNUMBER($D21),ISNUMBER($E21),L$4&gt;=$D21,L$4&lt;=$E21,WEEKDAY(L$4,2)&lt;=5,COUNTIF('Sources &amp; Change Log'!$J$2:$J$5,L$4)=0,COUNTIFS('Team Calendar'!$A$5:$A$12,$F21,'Team Calendar'!$C$5:$C$12,L$4)=0),1,"")</x:f>
      </x:c>
      <x:c r="M21" s="101" t="str">
        <x:f>IF(AND(ISNUMBER($D21),ISNUMBER($E21),M$4&gt;=$D21,M$4&lt;=$E21,WEEKDAY(M$4,2)&lt;=5,COUNTIF('Sources &amp; Change Log'!$J$2:$J$5,M$4)=0,COUNTIFS('Team Calendar'!$A$5:$A$12,$F21,'Team Calendar'!$C$5:$C$12,M$4)=0),1,"")</x:f>
      </x:c>
      <x:c r="N21" s="100" t="str">
        <x:f>IF(AND(ISNUMBER($D21),ISNUMBER($E21),N$4&gt;=$D21,N$4&lt;=$E21,WEEKDAY(N$4,2)&lt;=5,COUNTIF('Sources &amp; Change Log'!$J$2:$J$5,N$4)=0,COUNTIFS('Team Calendar'!$A$5:$A$12,$F21,'Team Calendar'!$C$5:$C$12,N$4)=0),1,"")</x:f>
      </x:c>
      <x:c r="O21" s="100" t="str">
        <x:f>IF(AND(ISNUMBER($D21),ISNUMBER($E21),O$4&gt;=$D21,O$4&lt;=$E21,WEEKDAY(O$4,2)&lt;=5,COUNTIF('Sources &amp; Change Log'!$J$2:$J$5,O$4)=0,COUNTIFS('Team Calendar'!$A$5:$A$12,$F21,'Team Calendar'!$C$5:$C$12,O$4)=0),1,"")</x:f>
      </x:c>
      <x:c r="P21" s="100" t="str">
        <x:f>IF(AND(ISNUMBER($D21),ISNUMBER($E21),P$4&gt;=$D21,P$4&lt;=$E21,WEEKDAY(P$4,2)&lt;=5,COUNTIF('Sources &amp; Change Log'!$J$2:$J$5,P$4)=0,COUNTIFS('Team Calendar'!$A$5:$A$12,$F21,'Team Calendar'!$C$5:$C$12,P$4)=0),1,"")</x:f>
      </x:c>
      <x:c r="Q21" s="107" t="str">
        <x:f>IF(AND(ISNUMBER($D21),ISNUMBER($E21),Q$4&gt;=$D21,Q$4&lt;=$E21,WEEKDAY(Q$4,2)&lt;=5,COUNTIF('Sources &amp; Change Log'!$J$2:$J$5,Q$4)=0,COUNTIFS('Team Calendar'!$A$5:$A$12,$F21,'Team Calendar'!$C$5:$C$12,Q$4)=0),1,"")</x:f>
      </x:c>
      <x:c r="R21" s="107" t="str">
        <x:f>IF(AND(ISNUMBER($D21),ISNUMBER($E21),R$4&gt;=$D21,R$4&lt;=$E21,WEEKDAY(R$4,2)&lt;=5,COUNTIF('Sources &amp; Change Log'!$J$2:$J$5,R$4)=0,COUNTIFS('Team Calendar'!$A$5:$A$12,$F21,'Team Calendar'!$C$5:$C$12,R$4)=0),1,"")</x:f>
      </x:c>
      <x:c r="S21" s="100" t="str">
        <x:f>IF(AND(ISNUMBER($D21),ISNUMBER($E21),S$4&gt;=$D21,S$4&lt;=$E21,WEEKDAY(S$4,2)&lt;=5,COUNTIF('Sources &amp; Change Log'!$J$2:$J$5,S$4)=0,COUNTIFS('Team Calendar'!$A$5:$A$12,$F21,'Team Calendar'!$C$5:$C$12,S$4)=0),1,"")</x:f>
      </x:c>
      <x:c r="T21" s="100" t="str">
        <x:f>IF(AND(ISNUMBER($D21),ISNUMBER($E21),T$4&gt;=$D21,T$4&lt;=$E21,WEEKDAY(T$4,2)&lt;=5,COUNTIF('Sources &amp; Change Log'!$J$2:$J$5,T$4)=0,COUNTIFS('Team Calendar'!$A$5:$A$12,$F21,'Team Calendar'!$C$5:$C$12,T$4)=0),1,"")</x:f>
      </x:c>
      <x:c r="U21" s="100" t="str">
        <x:f>IF(AND(ISNUMBER($D21),ISNUMBER($E21),U$4&gt;=$D21,U$4&lt;=$E21,WEEKDAY(U$4,2)&lt;=5,COUNTIF('Sources &amp; Change Log'!$J$2:$J$5,U$4)=0,COUNTIFS('Team Calendar'!$A$5:$A$12,$F21,'Team Calendar'!$C$5:$C$12,U$4)=0),1,"")</x:f>
      </x:c>
      <x:c r="V21" s="100" t="str">
        <x:f>IF(AND(ISNUMBER($D21),ISNUMBER($E21),V$4&gt;=$D21,V$4&lt;=$E21,WEEKDAY(V$4,2)&lt;=5,COUNTIF('Sources &amp; Change Log'!$J$2:$J$5,V$4)=0,COUNTIFS('Team Calendar'!$A$5:$A$12,$F21,'Team Calendar'!$C$5:$C$12,V$4)=0),1,"")</x:f>
      </x:c>
      <x:c r="W21" s="100" t="n">
        <x:f>IF(AND(ISNUMBER($D21),ISNUMBER($E21),W$4&gt;=$D21,W$4&lt;=$E21,WEEKDAY(W$4,2)&lt;=5,COUNTIF('Sources &amp; Change Log'!$J$2:$J$5,W$4)=0,COUNTIFS('Team Calendar'!$A$5:$A$12,$F21,'Team Calendar'!$C$5:$C$12,W$4)=0),1,"")</x:f>
        <x:v>1</x:v>
      </x:c>
      <x:c r="X21" s="107" t="str">
        <x:f>IF(AND(ISNUMBER($D21),ISNUMBER($E21),X$4&gt;=$D21,X$4&lt;=$E21,WEEKDAY(X$4,2)&lt;=5,COUNTIF('Sources &amp; Change Log'!$J$2:$J$5,X$4)=0,COUNTIFS('Team Calendar'!$A$5:$A$12,$F21,'Team Calendar'!$C$5:$C$12,X$4)=0),1,"")</x:f>
      </x:c>
      <x:c r="Y21" s="107" t="str">
        <x:f>IF(AND(ISNUMBER($D21),ISNUMBER($E21),Y$4&gt;=$D21,Y$4&lt;=$E21,WEEKDAY(Y$4,2)&lt;=5,COUNTIF('Sources &amp; Change Log'!$J$2:$J$5,Y$4)=0,COUNTIFS('Team Calendar'!$A$5:$A$12,$F21,'Team Calendar'!$C$5:$C$12,Y$4)=0),1,"")</x:f>
      </x:c>
      <x:c r="Z21" s="100" t="str">
        <x:f>IF(AND(ISNUMBER($D21),ISNUMBER($E21),Z$4&gt;=$D21,Z$4&lt;=$E21,WEEKDAY(Z$4,2)&lt;=5,COUNTIF('Sources &amp; Change Log'!$J$2:$J$5,Z$4)=0,COUNTIFS('Team Calendar'!$A$5:$A$12,$F21,'Team Calendar'!$C$5:$C$12,Z$4)=0),1,"")</x:f>
      </x:c>
      <x:c r="AA21" s="100" t="str">
        <x:f>IF(AND(ISNUMBER($D21),ISNUMBER($E21),AA$4&gt;=$D21,AA$4&lt;=$E21,WEEKDAY(AA$4,2)&lt;=5,COUNTIF('Sources &amp; Change Log'!$J$2:$J$5,AA$4)=0,COUNTIFS('Team Calendar'!$A$5:$A$12,$F21,'Team Calendar'!$C$5:$C$12,AA$4)=0),1,"")</x:f>
      </x:c>
      <x:c r="AB21" s="100" t="str">
        <x:f>IF(AND(ISNUMBER($D21),ISNUMBER($E21),AB$4&gt;=$D21,AB$4&lt;=$E21,WEEKDAY(AB$4,2)&lt;=5,COUNTIF('Sources &amp; Change Log'!$J$2:$J$5,AB$4)=0,COUNTIFS('Team Calendar'!$A$5:$A$12,$F21,'Team Calendar'!$C$5:$C$12,AB$4)=0),1,"")</x:f>
      </x:c>
      <x:c r="AC21" s="100" t="str">
        <x:f>IF(AND(ISNUMBER($D21),ISNUMBER($E21),AC$4&gt;=$D21,AC$4&lt;=$E21,WEEKDAY(AC$4,2)&lt;=5,COUNTIF('Sources &amp; Change Log'!$J$2:$J$5,AC$4)=0,COUNTIFS('Team Calendar'!$A$5:$A$12,$F21,'Team Calendar'!$C$5:$C$12,AC$4)=0),1,"")</x:f>
      </x:c>
      <x:c r="AD21" s="100" t="n">
        <x:f>IF(AND(ISNUMBER($D21),ISNUMBER($E21),AD$4&gt;=$D21,AD$4&lt;=$E21,WEEKDAY(AD$4,2)&lt;=5,COUNTIF('Sources &amp; Change Log'!$J$2:$J$5,AD$4)=0,COUNTIFS('Team Calendar'!$A$5:$A$12,$F21,'Team Calendar'!$C$5:$C$12,AD$4)=0),1,"")</x:f>
        <x:v>1</x:v>
      </x:c>
      <x:c r="AE21" s="107" t="str">
        <x:f>IF(AND(ISNUMBER($D21),ISNUMBER($E21),AE$4&gt;=$D21,AE$4&lt;=$E21,WEEKDAY(AE$4,2)&lt;=5,COUNTIF('Sources &amp; Change Log'!$J$2:$J$5,AE$4)=0,COUNTIFS('Team Calendar'!$A$5:$A$12,$F21,'Team Calendar'!$C$5:$C$12,AE$4)=0),1,"")</x:f>
      </x:c>
      <x:c r="AF21" s="107" t="str">
        <x:f>IF(AND(ISNUMBER($D21),ISNUMBER($E21),AF$4&gt;=$D21,AF$4&lt;=$E21,WEEKDAY(AF$4,2)&lt;=5,COUNTIF('Sources &amp; Change Log'!$J$2:$J$5,AF$4)=0,COUNTIFS('Team Calendar'!$A$5:$A$12,$F21,'Team Calendar'!$C$5:$C$12,AF$4)=0),1,"")</x:f>
      </x:c>
      <x:c r="AG21" s="100" t="n">
        <x:f>IF(AND(ISNUMBER($D21),ISNUMBER($E21),AG$4&gt;=$D21,AG$4&lt;=$E21,WEEKDAY(AG$4,2)&lt;=5,COUNTIF('Sources &amp; Change Log'!$J$2:$J$5,AG$4)=0,COUNTIFS('Team Calendar'!$A$5:$A$12,$F21,'Team Calendar'!$C$5:$C$12,AG$4)=0),1,"")</x:f>
        <x:v>1</x:v>
      </x:c>
      <x:c r="AH21" s="100" t="str">
        <x:f>IF(AND(ISNUMBER($D21),ISNUMBER($E21),AH$4&gt;=$D21,AH$4&lt;=$E21,WEEKDAY(AH$4,2)&lt;=5,COUNTIF('Sources &amp; Change Log'!$J$2:$J$5,AH$4)=0,COUNTIFS('Team Calendar'!$A$5:$A$12,$F21,'Team Calendar'!$C$5:$C$12,AH$4)=0),1,"")</x:f>
      </x:c>
      <x:c r="AI21" s="100" t="str">
        <x:f>IF(AND(ISNUMBER($D21),ISNUMBER($E21),AI$4&gt;=$D21,AI$4&lt;=$E21,WEEKDAY(AI$4,2)&lt;=5,COUNTIF('Sources &amp; Change Log'!$J$2:$J$5,AI$4)=0,COUNTIFS('Team Calendar'!$A$5:$A$12,$F21,'Team Calendar'!$C$5:$C$12,AI$4)=0),1,"")</x:f>
      </x:c>
    </x:row>
    <x:row r="22" ht="24" customHeight="1">
      <x:c r="A22" s="13" t="str">
        <x:f>WBS!A21</x:f>
        <x:v>MS-G2-01</x:v>
      </x:c>
      <x:c r="B22" s="13" t="str">
        <x:f>WBS!B21</x:f>
        <x:v>G2 Security / Feature Ready</x:v>
      </x:c>
      <x:c r="C22" s="13" t="str">
        <x:f>WBS!G21</x:f>
        <x:v>To Do</x:v>
      </x:c>
      <x:c r="D22" s="86" t="n">
        <x:f>IF(WBS!H21="","",WBS!H21)</x:f>
        <x:v>46286</x:v>
      </x:c>
      <x:c r="E22" s="86" t="n">
        <x:f>IF(WBS!I21="","",WBS!I21)</x:f>
        <x:v>46286</x:v>
      </x:c>
      <x:c r="F22" s="13" t="str">
        <x:f>WBS!L21</x:f>
        <x:v>이하영</x:v>
      </x:c>
      <x:c r="G22" s="100" t="str">
        <x:f>IF(AND(ISNUMBER($D22),ISNUMBER($E22),G$4&gt;=$D22,G$4&lt;=$E22,WEEKDAY(G$4,2)&lt;=5,COUNTIF('Sources &amp; Change Log'!$J$2:$J$5,G$4)=0,COUNTIFS('Team Calendar'!$A$5:$A$12,$F22,'Team Calendar'!$C$5:$C$12,G$4)=0),1,"")</x:f>
      </x:c>
      <x:c r="H22" s="100" t="str">
        <x:f>IF(AND(ISNUMBER($D22),ISNUMBER($E22),H$4&gt;=$D22,H$4&lt;=$E22,WEEKDAY(H$4,2)&lt;=5,COUNTIF('Sources &amp; Change Log'!$J$2:$J$5,H$4)=0,COUNTIFS('Team Calendar'!$A$5:$A$12,$F22,'Team Calendar'!$C$5:$C$12,H$4)=0),1,"")</x:f>
      </x:c>
      <x:c r="I22" s="100" t="str">
        <x:f>IF(AND(ISNUMBER($D22),ISNUMBER($E22),I$4&gt;=$D22,I$4&lt;=$E22,WEEKDAY(I$4,2)&lt;=5,COUNTIF('Sources &amp; Change Log'!$J$2:$J$5,I$4)=0,COUNTIFS('Team Calendar'!$A$5:$A$12,$F22,'Team Calendar'!$C$5:$C$12,I$4)=0),1,"")</x:f>
      </x:c>
      <x:c r="J22" s="107" t="str">
        <x:f>IF(AND(ISNUMBER($D22),ISNUMBER($E22),J$4&gt;=$D22,J$4&lt;=$E22,WEEKDAY(J$4,2)&lt;=5,COUNTIF('Sources &amp; Change Log'!$J$2:$J$5,J$4)=0,COUNTIFS('Team Calendar'!$A$5:$A$12,$F22,'Team Calendar'!$C$5:$C$12,J$4)=0),1,"")</x:f>
      </x:c>
      <x:c r="K22" s="107" t="str">
        <x:f>IF(AND(ISNUMBER($D22),ISNUMBER($E22),K$4&gt;=$D22,K$4&lt;=$E22,WEEKDAY(K$4,2)&lt;=5,COUNTIF('Sources &amp; Change Log'!$J$2:$J$5,K$4)=0,COUNTIFS('Team Calendar'!$A$5:$A$12,$F22,'Team Calendar'!$C$5:$C$12,K$4)=0),1,"")</x:f>
      </x:c>
      <x:c r="L22" s="100" t="str">
        <x:f>IF(AND(ISNUMBER($D22),ISNUMBER($E22),L$4&gt;=$D22,L$4&lt;=$E22,WEEKDAY(L$4,2)&lt;=5,COUNTIF('Sources &amp; Change Log'!$J$2:$J$5,L$4)=0,COUNTIFS('Team Calendar'!$A$5:$A$12,$F22,'Team Calendar'!$C$5:$C$12,L$4)=0),1,"")</x:f>
      </x:c>
      <x:c r="M22" s="101" t="str">
        <x:f>IF(AND(ISNUMBER($D22),ISNUMBER($E22),M$4&gt;=$D22,M$4&lt;=$E22,WEEKDAY(M$4,2)&lt;=5,COUNTIF('Sources &amp; Change Log'!$J$2:$J$5,M$4)=0,COUNTIFS('Team Calendar'!$A$5:$A$12,$F22,'Team Calendar'!$C$5:$C$12,M$4)=0),1,"")</x:f>
      </x:c>
      <x:c r="N22" s="100" t="str">
        <x:f>IF(AND(ISNUMBER($D22),ISNUMBER($E22),N$4&gt;=$D22,N$4&lt;=$E22,WEEKDAY(N$4,2)&lt;=5,COUNTIF('Sources &amp; Change Log'!$J$2:$J$5,N$4)=0,COUNTIFS('Team Calendar'!$A$5:$A$12,$F22,'Team Calendar'!$C$5:$C$12,N$4)=0),1,"")</x:f>
      </x:c>
      <x:c r="O22" s="100" t="str">
        <x:f>IF(AND(ISNUMBER($D22),ISNUMBER($E22),O$4&gt;=$D22,O$4&lt;=$E22,WEEKDAY(O$4,2)&lt;=5,COUNTIF('Sources &amp; Change Log'!$J$2:$J$5,O$4)=0,COUNTIFS('Team Calendar'!$A$5:$A$12,$F22,'Team Calendar'!$C$5:$C$12,O$4)=0),1,"")</x:f>
      </x:c>
      <x:c r="P22" s="100" t="str">
        <x:f>IF(AND(ISNUMBER($D22),ISNUMBER($E22),P$4&gt;=$D22,P$4&lt;=$E22,WEEKDAY(P$4,2)&lt;=5,COUNTIF('Sources &amp; Change Log'!$J$2:$J$5,P$4)=0,COUNTIFS('Team Calendar'!$A$5:$A$12,$F22,'Team Calendar'!$C$5:$C$12,P$4)=0),1,"")</x:f>
      </x:c>
      <x:c r="Q22" s="107" t="str">
        <x:f>IF(AND(ISNUMBER($D22),ISNUMBER($E22),Q$4&gt;=$D22,Q$4&lt;=$E22,WEEKDAY(Q$4,2)&lt;=5,COUNTIF('Sources &amp; Change Log'!$J$2:$J$5,Q$4)=0,COUNTIFS('Team Calendar'!$A$5:$A$12,$F22,'Team Calendar'!$C$5:$C$12,Q$4)=0),1,"")</x:f>
      </x:c>
      <x:c r="R22" s="107" t="str">
        <x:f>IF(AND(ISNUMBER($D22),ISNUMBER($E22),R$4&gt;=$D22,R$4&lt;=$E22,WEEKDAY(R$4,2)&lt;=5,COUNTIF('Sources &amp; Change Log'!$J$2:$J$5,R$4)=0,COUNTIFS('Team Calendar'!$A$5:$A$12,$F22,'Team Calendar'!$C$5:$C$12,R$4)=0),1,"")</x:f>
      </x:c>
      <x:c r="S22" s="100" t="str">
        <x:f>IF(AND(ISNUMBER($D22),ISNUMBER($E22),S$4&gt;=$D22,S$4&lt;=$E22,WEEKDAY(S$4,2)&lt;=5,COUNTIF('Sources &amp; Change Log'!$J$2:$J$5,S$4)=0,COUNTIFS('Team Calendar'!$A$5:$A$12,$F22,'Team Calendar'!$C$5:$C$12,S$4)=0),1,"")</x:f>
      </x:c>
      <x:c r="T22" s="100" t="str">
        <x:f>IF(AND(ISNUMBER($D22),ISNUMBER($E22),T$4&gt;=$D22,T$4&lt;=$E22,WEEKDAY(T$4,2)&lt;=5,COUNTIF('Sources &amp; Change Log'!$J$2:$J$5,T$4)=0,COUNTIFS('Team Calendar'!$A$5:$A$12,$F22,'Team Calendar'!$C$5:$C$12,T$4)=0),1,"")</x:f>
      </x:c>
      <x:c r="U22" s="100" t="str">
        <x:f>IF(AND(ISNUMBER($D22),ISNUMBER($E22),U$4&gt;=$D22,U$4&lt;=$E22,WEEKDAY(U$4,2)&lt;=5,COUNTIF('Sources &amp; Change Log'!$J$2:$J$5,U$4)=0,COUNTIFS('Team Calendar'!$A$5:$A$12,$F22,'Team Calendar'!$C$5:$C$12,U$4)=0),1,"")</x:f>
      </x:c>
      <x:c r="V22" s="100" t="str">
        <x:f>IF(AND(ISNUMBER($D22),ISNUMBER($E22),V$4&gt;=$D22,V$4&lt;=$E22,WEEKDAY(V$4,2)&lt;=5,COUNTIF('Sources &amp; Change Log'!$J$2:$J$5,V$4)=0,COUNTIFS('Team Calendar'!$A$5:$A$12,$F22,'Team Calendar'!$C$5:$C$12,V$4)=0),1,"")</x:f>
      </x:c>
      <x:c r="W22" s="100" t="str">
        <x:f>IF(AND(ISNUMBER($D22),ISNUMBER($E22),W$4&gt;=$D22,W$4&lt;=$E22,WEEKDAY(W$4,2)&lt;=5,COUNTIF('Sources &amp; Change Log'!$J$2:$J$5,W$4)=0,COUNTIFS('Team Calendar'!$A$5:$A$12,$F22,'Team Calendar'!$C$5:$C$12,W$4)=0),1,"")</x:f>
      </x:c>
      <x:c r="X22" s="107" t="str">
        <x:f>IF(AND(ISNUMBER($D22),ISNUMBER($E22),X$4&gt;=$D22,X$4&lt;=$E22,WEEKDAY(X$4,2)&lt;=5,COUNTIF('Sources &amp; Change Log'!$J$2:$J$5,X$4)=0,COUNTIFS('Team Calendar'!$A$5:$A$12,$F22,'Team Calendar'!$C$5:$C$12,X$4)=0),1,"")</x:f>
      </x:c>
      <x:c r="Y22" s="107" t="str">
        <x:f>IF(AND(ISNUMBER($D22),ISNUMBER($E22),Y$4&gt;=$D22,Y$4&lt;=$E22,WEEKDAY(Y$4,2)&lt;=5,COUNTIF('Sources &amp; Change Log'!$J$2:$J$5,Y$4)=0,COUNTIFS('Team Calendar'!$A$5:$A$12,$F22,'Team Calendar'!$C$5:$C$12,Y$4)=0),1,"")</x:f>
      </x:c>
      <x:c r="Z22" s="100" t="str">
        <x:f>IF(AND(ISNUMBER($D22),ISNUMBER($E22),Z$4&gt;=$D22,Z$4&lt;=$E22,WEEKDAY(Z$4,2)&lt;=5,COUNTIF('Sources &amp; Change Log'!$J$2:$J$5,Z$4)=0,COUNTIFS('Team Calendar'!$A$5:$A$12,$F22,'Team Calendar'!$C$5:$C$12,Z$4)=0),1,"")</x:f>
      </x:c>
      <x:c r="AA22" s="100" t="str">
        <x:f>IF(AND(ISNUMBER($D22),ISNUMBER($E22),AA$4&gt;=$D22,AA$4&lt;=$E22,WEEKDAY(AA$4,2)&lt;=5,COUNTIF('Sources &amp; Change Log'!$J$2:$J$5,AA$4)=0,COUNTIFS('Team Calendar'!$A$5:$A$12,$F22,'Team Calendar'!$C$5:$C$12,AA$4)=0),1,"")</x:f>
      </x:c>
      <x:c r="AB22" s="100" t="str">
        <x:f>IF(AND(ISNUMBER($D22),ISNUMBER($E22),AB$4&gt;=$D22,AB$4&lt;=$E22,WEEKDAY(AB$4,2)&lt;=5,COUNTIF('Sources &amp; Change Log'!$J$2:$J$5,AB$4)=0,COUNTIFS('Team Calendar'!$A$5:$A$12,$F22,'Team Calendar'!$C$5:$C$12,AB$4)=0),1,"")</x:f>
      </x:c>
      <x:c r="AC22" s="100" t="str">
        <x:f>IF(AND(ISNUMBER($D22),ISNUMBER($E22),AC$4&gt;=$D22,AC$4&lt;=$E22,WEEKDAY(AC$4,2)&lt;=5,COUNTIF('Sources &amp; Change Log'!$J$2:$J$5,AC$4)=0,COUNTIFS('Team Calendar'!$A$5:$A$12,$F22,'Team Calendar'!$C$5:$C$12,AC$4)=0),1,"")</x:f>
      </x:c>
      <x:c r="AD22" s="100" t="str">
        <x:f>IF(AND(ISNUMBER($D22),ISNUMBER($E22),AD$4&gt;=$D22,AD$4&lt;=$E22,WEEKDAY(AD$4,2)&lt;=5,COUNTIF('Sources &amp; Change Log'!$J$2:$J$5,AD$4)=0,COUNTIFS('Team Calendar'!$A$5:$A$12,$F22,'Team Calendar'!$C$5:$C$12,AD$4)=0),1,"")</x:f>
      </x:c>
      <x:c r="AE22" s="107" t="str">
        <x:f>IF(AND(ISNUMBER($D22),ISNUMBER($E22),AE$4&gt;=$D22,AE$4&lt;=$E22,WEEKDAY(AE$4,2)&lt;=5,COUNTIF('Sources &amp; Change Log'!$J$2:$J$5,AE$4)=0,COUNTIFS('Team Calendar'!$A$5:$A$12,$F22,'Team Calendar'!$C$5:$C$12,AE$4)=0),1,"")</x:f>
      </x:c>
      <x:c r="AF22" s="107" t="str">
        <x:f>IF(AND(ISNUMBER($D22),ISNUMBER($E22),AF$4&gt;=$D22,AF$4&lt;=$E22,WEEKDAY(AF$4,2)&lt;=5,COUNTIF('Sources &amp; Change Log'!$J$2:$J$5,AF$4)=0,COUNTIFS('Team Calendar'!$A$5:$A$12,$F22,'Team Calendar'!$C$5:$C$12,AF$4)=0),1,"")</x:f>
      </x:c>
      <x:c r="AG22" s="100" t="n">
        <x:f>IF(AND(ISNUMBER($D22),ISNUMBER($E22),AG$4&gt;=$D22,AG$4&lt;=$E22,WEEKDAY(AG$4,2)&lt;=5,COUNTIF('Sources &amp; Change Log'!$J$2:$J$5,AG$4)=0,COUNTIFS('Team Calendar'!$A$5:$A$12,$F22,'Team Calendar'!$C$5:$C$12,AG$4)=0),1,"")</x:f>
        <x:v>1</x:v>
      </x:c>
      <x:c r="AH22" s="100" t="str">
        <x:f>IF(AND(ISNUMBER($D22),ISNUMBER($E22),AH$4&gt;=$D22,AH$4&lt;=$E22,WEEKDAY(AH$4,2)&lt;=5,COUNTIF('Sources &amp; Change Log'!$J$2:$J$5,AH$4)=0,COUNTIFS('Team Calendar'!$A$5:$A$12,$F22,'Team Calendar'!$C$5:$C$12,AH$4)=0),1,"")</x:f>
      </x:c>
      <x:c r="AI22" s="100" t="str">
        <x:f>IF(AND(ISNUMBER($D22),ISNUMBER($E22),AI$4&gt;=$D22,AI$4&lt;=$E22,WEEKDAY(AI$4,2)&lt;=5,COUNTIF('Sources &amp; Change Log'!$J$2:$J$5,AI$4)=0,COUNTIFS('Team Calendar'!$A$5:$A$12,$F22,'Team Calendar'!$C$5:$C$12,AI$4)=0),1,"")</x:f>
      </x:c>
    </x:row>
    <x:row r="23" ht="24" customHeight="1">
      <x:c r="A23" s="13" t="str">
        <x:f>WBS!A22</x:f>
        <x:v>P1-DOC-01</x:v>
      </x:c>
      <x:c r="B23" s="13" t="str">
        <x:f>WBS!B22</x:f>
        <x:v>Architecture / Test / Runbook Freeze</x:v>
      </x:c>
      <x:c r="C23" s="13" t="str">
        <x:f>WBS!G22</x:f>
        <x:v>To Do</x:v>
      </x:c>
      <x:c r="D23" s="86" t="n">
        <x:f>IF(WBS!H22="","",WBS!H22)</x:f>
        <x:v>46276</x:v>
      </x:c>
      <x:c r="E23" s="86" t="n">
        <x:f>IF(WBS!I22="","",WBS!I22)</x:f>
        <x:v>46287</x:v>
      </x:c>
      <x:c r="F23" s="13" t="str">
        <x:f>WBS!L22</x:f>
        <x:v>이권욱</x:v>
      </x:c>
      <x:c r="G23" s="100" t="str">
        <x:f>IF(AND(ISNUMBER($D23),ISNUMBER($E23),G$4&gt;=$D23,G$4&lt;=$E23,WEEKDAY(G$4,2)&lt;=5,COUNTIF('Sources &amp; Change Log'!$J$2:$J$5,G$4)=0,COUNTIFS('Team Calendar'!$A$5:$A$12,$F23,'Team Calendar'!$C$5:$C$12,G$4)=0),1,"")</x:f>
      </x:c>
      <x:c r="H23" s="100" t="str">
        <x:f>IF(AND(ISNUMBER($D23),ISNUMBER($E23),H$4&gt;=$D23,H$4&lt;=$E23,WEEKDAY(H$4,2)&lt;=5,COUNTIF('Sources &amp; Change Log'!$J$2:$J$5,H$4)=0,COUNTIFS('Team Calendar'!$A$5:$A$12,$F23,'Team Calendar'!$C$5:$C$12,H$4)=0),1,"")</x:f>
      </x:c>
      <x:c r="I23" s="100" t="str">
        <x:f>IF(AND(ISNUMBER($D23),ISNUMBER($E23),I$4&gt;=$D23,I$4&lt;=$E23,WEEKDAY(I$4,2)&lt;=5,COUNTIF('Sources &amp; Change Log'!$J$2:$J$5,I$4)=0,COUNTIFS('Team Calendar'!$A$5:$A$12,$F23,'Team Calendar'!$C$5:$C$12,I$4)=0),1,"")</x:f>
      </x:c>
      <x:c r="J23" s="107" t="str">
        <x:f>IF(AND(ISNUMBER($D23),ISNUMBER($E23),J$4&gt;=$D23,J$4&lt;=$E23,WEEKDAY(J$4,2)&lt;=5,COUNTIF('Sources &amp; Change Log'!$J$2:$J$5,J$4)=0,COUNTIFS('Team Calendar'!$A$5:$A$12,$F23,'Team Calendar'!$C$5:$C$12,J$4)=0),1,"")</x:f>
      </x:c>
      <x:c r="K23" s="107" t="str">
        <x:f>IF(AND(ISNUMBER($D23),ISNUMBER($E23),K$4&gt;=$D23,K$4&lt;=$E23,WEEKDAY(K$4,2)&lt;=5,COUNTIF('Sources &amp; Change Log'!$J$2:$J$5,K$4)=0,COUNTIFS('Team Calendar'!$A$5:$A$12,$F23,'Team Calendar'!$C$5:$C$12,K$4)=0),1,"")</x:f>
      </x:c>
      <x:c r="L23" s="100" t="str">
        <x:f>IF(AND(ISNUMBER($D23),ISNUMBER($E23),L$4&gt;=$D23,L$4&lt;=$E23,WEEKDAY(L$4,2)&lt;=5,COUNTIF('Sources &amp; Change Log'!$J$2:$J$5,L$4)=0,COUNTIFS('Team Calendar'!$A$5:$A$12,$F23,'Team Calendar'!$C$5:$C$12,L$4)=0),1,"")</x:f>
      </x:c>
      <x:c r="M23" s="101" t="str">
        <x:f>IF(AND(ISNUMBER($D23),ISNUMBER($E23),M$4&gt;=$D23,M$4&lt;=$E23,WEEKDAY(M$4,2)&lt;=5,COUNTIF('Sources &amp; Change Log'!$J$2:$J$5,M$4)=0,COUNTIFS('Team Calendar'!$A$5:$A$12,$F23,'Team Calendar'!$C$5:$C$12,M$4)=0),1,"")</x:f>
      </x:c>
      <x:c r="N23" s="100" t="str">
        <x:f>IF(AND(ISNUMBER($D23),ISNUMBER($E23),N$4&gt;=$D23,N$4&lt;=$E23,WEEKDAY(N$4,2)&lt;=5,COUNTIF('Sources &amp; Change Log'!$J$2:$J$5,N$4)=0,COUNTIFS('Team Calendar'!$A$5:$A$12,$F23,'Team Calendar'!$C$5:$C$12,N$4)=0),1,"")</x:f>
      </x:c>
      <x:c r="O23" s="100" t="str">
        <x:f>IF(AND(ISNUMBER($D23),ISNUMBER($E23),O$4&gt;=$D23,O$4&lt;=$E23,WEEKDAY(O$4,2)&lt;=5,COUNTIF('Sources &amp; Change Log'!$J$2:$J$5,O$4)=0,COUNTIFS('Team Calendar'!$A$5:$A$12,$F23,'Team Calendar'!$C$5:$C$12,O$4)=0),1,"")</x:f>
      </x:c>
      <x:c r="P23" s="100" t="str">
        <x:f>IF(AND(ISNUMBER($D23),ISNUMBER($E23),P$4&gt;=$D23,P$4&lt;=$E23,WEEKDAY(P$4,2)&lt;=5,COUNTIF('Sources &amp; Change Log'!$J$2:$J$5,P$4)=0,COUNTIFS('Team Calendar'!$A$5:$A$12,$F23,'Team Calendar'!$C$5:$C$12,P$4)=0),1,"")</x:f>
      </x:c>
      <x:c r="Q23" s="107" t="str">
        <x:f>IF(AND(ISNUMBER($D23),ISNUMBER($E23),Q$4&gt;=$D23,Q$4&lt;=$E23,WEEKDAY(Q$4,2)&lt;=5,COUNTIF('Sources &amp; Change Log'!$J$2:$J$5,Q$4)=0,COUNTIFS('Team Calendar'!$A$5:$A$12,$F23,'Team Calendar'!$C$5:$C$12,Q$4)=0),1,"")</x:f>
      </x:c>
      <x:c r="R23" s="107" t="str">
        <x:f>IF(AND(ISNUMBER($D23),ISNUMBER($E23),R$4&gt;=$D23,R$4&lt;=$E23,WEEKDAY(R$4,2)&lt;=5,COUNTIF('Sources &amp; Change Log'!$J$2:$J$5,R$4)=0,COUNTIFS('Team Calendar'!$A$5:$A$12,$F23,'Team Calendar'!$C$5:$C$12,R$4)=0),1,"")</x:f>
      </x:c>
      <x:c r="S23" s="100" t="str">
        <x:f>IF(AND(ISNUMBER($D23),ISNUMBER($E23),S$4&gt;=$D23,S$4&lt;=$E23,WEEKDAY(S$4,2)&lt;=5,COUNTIF('Sources &amp; Change Log'!$J$2:$J$5,S$4)=0,COUNTIFS('Team Calendar'!$A$5:$A$12,$F23,'Team Calendar'!$C$5:$C$12,S$4)=0),1,"")</x:f>
      </x:c>
      <x:c r="T23" s="100" t="str">
        <x:f>IF(AND(ISNUMBER($D23),ISNUMBER($E23),T$4&gt;=$D23,T$4&lt;=$E23,WEEKDAY(T$4,2)&lt;=5,COUNTIF('Sources &amp; Change Log'!$J$2:$J$5,T$4)=0,COUNTIFS('Team Calendar'!$A$5:$A$12,$F23,'Team Calendar'!$C$5:$C$12,T$4)=0),1,"")</x:f>
      </x:c>
      <x:c r="U23" s="100" t="str">
        <x:f>IF(AND(ISNUMBER($D23),ISNUMBER($E23),U$4&gt;=$D23,U$4&lt;=$E23,WEEKDAY(U$4,2)&lt;=5,COUNTIF('Sources &amp; Change Log'!$J$2:$J$5,U$4)=0,COUNTIFS('Team Calendar'!$A$5:$A$12,$F23,'Team Calendar'!$C$5:$C$12,U$4)=0),1,"")</x:f>
      </x:c>
      <x:c r="V23" s="100" t="str">
        <x:f>IF(AND(ISNUMBER($D23),ISNUMBER($E23),V$4&gt;=$D23,V$4&lt;=$E23,WEEKDAY(V$4,2)&lt;=5,COUNTIF('Sources &amp; Change Log'!$J$2:$J$5,V$4)=0,COUNTIFS('Team Calendar'!$A$5:$A$12,$F23,'Team Calendar'!$C$5:$C$12,V$4)=0),1,"")</x:f>
      </x:c>
      <x:c r="W23" s="100" t="n">
        <x:f>IF(AND(ISNUMBER($D23),ISNUMBER($E23),W$4&gt;=$D23,W$4&lt;=$E23,WEEKDAY(W$4,2)&lt;=5,COUNTIF('Sources &amp; Change Log'!$J$2:$J$5,W$4)=0,COUNTIFS('Team Calendar'!$A$5:$A$12,$F23,'Team Calendar'!$C$5:$C$12,W$4)=0),1,"")</x:f>
        <x:v>1</x:v>
      </x:c>
      <x:c r="X23" s="107" t="str">
        <x:f>IF(AND(ISNUMBER($D23),ISNUMBER($E23),X$4&gt;=$D23,X$4&lt;=$E23,WEEKDAY(X$4,2)&lt;=5,COUNTIF('Sources &amp; Change Log'!$J$2:$J$5,X$4)=0,COUNTIFS('Team Calendar'!$A$5:$A$12,$F23,'Team Calendar'!$C$5:$C$12,X$4)=0),1,"")</x:f>
      </x:c>
      <x:c r="Y23" s="107" t="str">
        <x:f>IF(AND(ISNUMBER($D23),ISNUMBER($E23),Y$4&gt;=$D23,Y$4&lt;=$E23,WEEKDAY(Y$4,2)&lt;=5,COUNTIF('Sources &amp; Change Log'!$J$2:$J$5,Y$4)=0,COUNTIFS('Team Calendar'!$A$5:$A$12,$F23,'Team Calendar'!$C$5:$C$12,Y$4)=0),1,"")</x:f>
      </x:c>
      <x:c r="Z23" s="100" t="n">
        <x:f>IF(AND(ISNUMBER($D23),ISNUMBER($E23),Z$4&gt;=$D23,Z$4&lt;=$E23,WEEKDAY(Z$4,2)&lt;=5,COUNTIF('Sources &amp; Change Log'!$J$2:$J$5,Z$4)=0,COUNTIFS('Team Calendar'!$A$5:$A$12,$F23,'Team Calendar'!$C$5:$C$12,Z$4)=0),1,"")</x:f>
        <x:v>1</x:v>
      </x:c>
      <x:c r="AA23" s="100" t="n">
        <x:f>IF(AND(ISNUMBER($D23),ISNUMBER($E23),AA$4&gt;=$D23,AA$4&lt;=$E23,WEEKDAY(AA$4,2)&lt;=5,COUNTIF('Sources &amp; Change Log'!$J$2:$J$5,AA$4)=0,COUNTIFS('Team Calendar'!$A$5:$A$12,$F23,'Team Calendar'!$C$5:$C$12,AA$4)=0),1,"")</x:f>
        <x:v>1</x:v>
      </x:c>
      <x:c r="AB23" s="100" t="n">
        <x:f>IF(AND(ISNUMBER($D23),ISNUMBER($E23),AB$4&gt;=$D23,AB$4&lt;=$E23,WEEKDAY(AB$4,2)&lt;=5,COUNTIF('Sources &amp; Change Log'!$J$2:$J$5,AB$4)=0,COUNTIFS('Team Calendar'!$A$5:$A$12,$F23,'Team Calendar'!$C$5:$C$12,AB$4)=0),1,"")</x:f>
        <x:v>1</x:v>
      </x:c>
      <x:c r="AC23" s="100" t="n">
        <x:f>IF(AND(ISNUMBER($D23),ISNUMBER($E23),AC$4&gt;=$D23,AC$4&lt;=$E23,WEEKDAY(AC$4,2)&lt;=5,COUNTIF('Sources &amp; Change Log'!$J$2:$J$5,AC$4)=0,COUNTIFS('Team Calendar'!$A$5:$A$12,$F23,'Team Calendar'!$C$5:$C$12,AC$4)=0),1,"")</x:f>
        <x:v>1</x:v>
      </x:c>
      <x:c r="AD23" s="100" t="n">
        <x:f>IF(AND(ISNUMBER($D23),ISNUMBER($E23),AD$4&gt;=$D23,AD$4&lt;=$E23,WEEKDAY(AD$4,2)&lt;=5,COUNTIF('Sources &amp; Change Log'!$J$2:$J$5,AD$4)=0,COUNTIFS('Team Calendar'!$A$5:$A$12,$F23,'Team Calendar'!$C$5:$C$12,AD$4)=0),1,"")</x:f>
        <x:v>1</x:v>
      </x:c>
      <x:c r="AE23" s="107" t="str">
        <x:f>IF(AND(ISNUMBER($D23),ISNUMBER($E23),AE$4&gt;=$D23,AE$4&lt;=$E23,WEEKDAY(AE$4,2)&lt;=5,COUNTIF('Sources &amp; Change Log'!$J$2:$J$5,AE$4)=0,COUNTIFS('Team Calendar'!$A$5:$A$12,$F23,'Team Calendar'!$C$5:$C$12,AE$4)=0),1,"")</x:f>
      </x:c>
      <x:c r="AF23" s="107" t="str">
        <x:f>IF(AND(ISNUMBER($D23),ISNUMBER($E23),AF$4&gt;=$D23,AF$4&lt;=$E23,WEEKDAY(AF$4,2)&lt;=5,COUNTIF('Sources &amp; Change Log'!$J$2:$J$5,AF$4)=0,COUNTIFS('Team Calendar'!$A$5:$A$12,$F23,'Team Calendar'!$C$5:$C$12,AF$4)=0),1,"")</x:f>
      </x:c>
      <x:c r="AG23" s="100" t="n">
        <x:f>IF(AND(ISNUMBER($D23),ISNUMBER($E23),AG$4&gt;=$D23,AG$4&lt;=$E23,WEEKDAY(AG$4,2)&lt;=5,COUNTIF('Sources &amp; Change Log'!$J$2:$J$5,AG$4)=0,COUNTIFS('Team Calendar'!$A$5:$A$12,$F23,'Team Calendar'!$C$5:$C$12,AG$4)=0),1,"")</x:f>
        <x:v>1</x:v>
      </x:c>
      <x:c r="AH23" s="100" t="n">
        <x:f>IF(AND(ISNUMBER($D23),ISNUMBER($E23),AH$4&gt;=$D23,AH$4&lt;=$E23,WEEKDAY(AH$4,2)&lt;=5,COUNTIF('Sources &amp; Change Log'!$J$2:$J$5,AH$4)=0,COUNTIFS('Team Calendar'!$A$5:$A$12,$F23,'Team Calendar'!$C$5:$C$12,AH$4)=0),1,"")</x:f>
        <x:v>1</x:v>
      </x:c>
      <x:c r="AI23" s="100" t="str">
        <x:f>IF(AND(ISNUMBER($D23),ISNUMBER($E23),AI$4&gt;=$D23,AI$4&lt;=$E23,WEEKDAY(AI$4,2)&lt;=5,COUNTIF('Sources &amp; Change Log'!$J$2:$J$5,AI$4)=0,COUNTIFS('Team Calendar'!$A$5:$A$12,$F23,'Team Calendar'!$C$5:$C$12,AI$4)=0),1,"")</x:f>
      </x:c>
    </x:row>
    <x:row r="24" ht="24" customHeight="1">
      <x:c r="A24" s="13" t="str">
        <x:f>WBS!A23</x:f>
        <x:v>P1-MON-02</x:v>
      </x:c>
      <x:c r="B24" s="13" t="str">
        <x:f>WBS!B23</x:f>
        <x:v>Dashboard / Alert Enhancement</x:v>
      </x:c>
      <x:c r="C24" s="13" t="str">
        <x:f>WBS!G23</x:f>
        <x:v>To Do</x:v>
      </x:c>
      <x:c r="D24" s="86" t="str">
        <x:f>IF(WBS!H23="","",WBS!H23)</x:f>
      </x:c>
      <x:c r="E24" s="86" t="str">
        <x:f>IF(WBS!I23="","",WBS!I23)</x:f>
      </x:c>
      <x:c r="F24" s="13" t="str">
        <x:f>WBS!L23</x:f>
        <x:v>이재환</x:v>
      </x:c>
      <x:c r="G24" s="100" t="str">
        <x:f>IF(AND(ISNUMBER($D24),ISNUMBER($E24),G$4&gt;=$D24,G$4&lt;=$E24,WEEKDAY(G$4,2)&lt;=5,COUNTIF('Sources &amp; Change Log'!$J$2:$J$5,G$4)=0,COUNTIFS('Team Calendar'!$A$5:$A$12,$F24,'Team Calendar'!$C$5:$C$12,G$4)=0),1,"")</x:f>
      </x:c>
      <x:c r="H24" s="100" t="str">
        <x:f>IF(AND(ISNUMBER($D24),ISNUMBER($E24),H$4&gt;=$D24,H$4&lt;=$E24,WEEKDAY(H$4,2)&lt;=5,COUNTIF('Sources &amp; Change Log'!$J$2:$J$5,H$4)=0,COUNTIFS('Team Calendar'!$A$5:$A$12,$F24,'Team Calendar'!$C$5:$C$12,H$4)=0),1,"")</x:f>
      </x:c>
      <x:c r="I24" s="100" t="str">
        <x:f>IF(AND(ISNUMBER($D24),ISNUMBER($E24),I$4&gt;=$D24,I$4&lt;=$E24,WEEKDAY(I$4,2)&lt;=5,COUNTIF('Sources &amp; Change Log'!$J$2:$J$5,I$4)=0,COUNTIFS('Team Calendar'!$A$5:$A$12,$F24,'Team Calendar'!$C$5:$C$12,I$4)=0),1,"")</x:f>
      </x:c>
      <x:c r="J24" s="107" t="str">
        <x:f>IF(AND(ISNUMBER($D24),ISNUMBER($E24),J$4&gt;=$D24,J$4&lt;=$E24,WEEKDAY(J$4,2)&lt;=5,COUNTIF('Sources &amp; Change Log'!$J$2:$J$5,J$4)=0,COUNTIFS('Team Calendar'!$A$5:$A$12,$F24,'Team Calendar'!$C$5:$C$12,J$4)=0),1,"")</x:f>
      </x:c>
      <x:c r="K24" s="107" t="str">
        <x:f>IF(AND(ISNUMBER($D24),ISNUMBER($E24),K$4&gt;=$D24,K$4&lt;=$E24,WEEKDAY(K$4,2)&lt;=5,COUNTIF('Sources &amp; Change Log'!$J$2:$J$5,K$4)=0,COUNTIFS('Team Calendar'!$A$5:$A$12,$F24,'Team Calendar'!$C$5:$C$12,K$4)=0),1,"")</x:f>
      </x:c>
      <x:c r="L24" s="100" t="str">
        <x:f>IF(AND(ISNUMBER($D24),ISNUMBER($E24),L$4&gt;=$D24,L$4&lt;=$E24,WEEKDAY(L$4,2)&lt;=5,COUNTIF('Sources &amp; Change Log'!$J$2:$J$5,L$4)=0,COUNTIFS('Team Calendar'!$A$5:$A$12,$F24,'Team Calendar'!$C$5:$C$12,L$4)=0),1,"")</x:f>
      </x:c>
      <x:c r="M24" s="101" t="str">
        <x:f>IF(AND(ISNUMBER($D24),ISNUMBER($E24),M$4&gt;=$D24,M$4&lt;=$E24,WEEKDAY(M$4,2)&lt;=5,COUNTIF('Sources &amp; Change Log'!$J$2:$J$5,M$4)=0,COUNTIFS('Team Calendar'!$A$5:$A$12,$F24,'Team Calendar'!$C$5:$C$12,M$4)=0),1,"")</x:f>
      </x:c>
      <x:c r="N24" s="100" t="str">
        <x:f>IF(AND(ISNUMBER($D24),ISNUMBER($E24),N$4&gt;=$D24,N$4&lt;=$E24,WEEKDAY(N$4,2)&lt;=5,COUNTIF('Sources &amp; Change Log'!$J$2:$J$5,N$4)=0,COUNTIFS('Team Calendar'!$A$5:$A$12,$F24,'Team Calendar'!$C$5:$C$12,N$4)=0),1,"")</x:f>
      </x:c>
      <x:c r="O24" s="100" t="str">
        <x:f>IF(AND(ISNUMBER($D24),ISNUMBER($E24),O$4&gt;=$D24,O$4&lt;=$E24,WEEKDAY(O$4,2)&lt;=5,COUNTIF('Sources &amp; Change Log'!$J$2:$J$5,O$4)=0,COUNTIFS('Team Calendar'!$A$5:$A$12,$F24,'Team Calendar'!$C$5:$C$12,O$4)=0),1,"")</x:f>
      </x:c>
      <x:c r="P24" s="100" t="str">
        <x:f>IF(AND(ISNUMBER($D24),ISNUMBER($E24),P$4&gt;=$D24,P$4&lt;=$E24,WEEKDAY(P$4,2)&lt;=5,COUNTIF('Sources &amp; Change Log'!$J$2:$J$5,P$4)=0,COUNTIFS('Team Calendar'!$A$5:$A$12,$F24,'Team Calendar'!$C$5:$C$12,P$4)=0),1,"")</x:f>
      </x:c>
      <x:c r="Q24" s="107" t="str">
        <x:f>IF(AND(ISNUMBER($D24),ISNUMBER($E24),Q$4&gt;=$D24,Q$4&lt;=$E24,WEEKDAY(Q$4,2)&lt;=5,COUNTIF('Sources &amp; Change Log'!$J$2:$J$5,Q$4)=0,COUNTIFS('Team Calendar'!$A$5:$A$12,$F24,'Team Calendar'!$C$5:$C$12,Q$4)=0),1,"")</x:f>
      </x:c>
      <x:c r="R24" s="107" t="str">
        <x:f>IF(AND(ISNUMBER($D24),ISNUMBER($E24),R$4&gt;=$D24,R$4&lt;=$E24,WEEKDAY(R$4,2)&lt;=5,COUNTIF('Sources &amp; Change Log'!$J$2:$J$5,R$4)=0,COUNTIFS('Team Calendar'!$A$5:$A$12,$F24,'Team Calendar'!$C$5:$C$12,R$4)=0),1,"")</x:f>
      </x:c>
      <x:c r="S24" s="100" t="str">
        <x:f>IF(AND(ISNUMBER($D24),ISNUMBER($E24),S$4&gt;=$D24,S$4&lt;=$E24,WEEKDAY(S$4,2)&lt;=5,COUNTIF('Sources &amp; Change Log'!$J$2:$J$5,S$4)=0,COUNTIFS('Team Calendar'!$A$5:$A$12,$F24,'Team Calendar'!$C$5:$C$12,S$4)=0),1,"")</x:f>
      </x:c>
      <x:c r="T24" s="100" t="str">
        <x:f>IF(AND(ISNUMBER($D24),ISNUMBER($E24),T$4&gt;=$D24,T$4&lt;=$E24,WEEKDAY(T$4,2)&lt;=5,COUNTIF('Sources &amp; Change Log'!$J$2:$J$5,T$4)=0,COUNTIFS('Team Calendar'!$A$5:$A$12,$F24,'Team Calendar'!$C$5:$C$12,T$4)=0),1,"")</x:f>
      </x:c>
      <x:c r="U24" s="100" t="str">
        <x:f>IF(AND(ISNUMBER($D24),ISNUMBER($E24),U$4&gt;=$D24,U$4&lt;=$E24,WEEKDAY(U$4,2)&lt;=5,COUNTIF('Sources &amp; Change Log'!$J$2:$J$5,U$4)=0,COUNTIFS('Team Calendar'!$A$5:$A$12,$F24,'Team Calendar'!$C$5:$C$12,U$4)=0),1,"")</x:f>
      </x:c>
      <x:c r="V24" s="100" t="str">
        <x:f>IF(AND(ISNUMBER($D24),ISNUMBER($E24),V$4&gt;=$D24,V$4&lt;=$E24,WEEKDAY(V$4,2)&lt;=5,COUNTIF('Sources &amp; Change Log'!$J$2:$J$5,V$4)=0,COUNTIFS('Team Calendar'!$A$5:$A$12,$F24,'Team Calendar'!$C$5:$C$12,V$4)=0),1,"")</x:f>
      </x:c>
      <x:c r="W24" s="100" t="str">
        <x:f>IF(AND(ISNUMBER($D24),ISNUMBER($E24),W$4&gt;=$D24,W$4&lt;=$E24,WEEKDAY(W$4,2)&lt;=5,COUNTIF('Sources &amp; Change Log'!$J$2:$J$5,W$4)=0,COUNTIFS('Team Calendar'!$A$5:$A$12,$F24,'Team Calendar'!$C$5:$C$12,W$4)=0),1,"")</x:f>
      </x:c>
      <x:c r="X24" s="107" t="str">
        <x:f>IF(AND(ISNUMBER($D24),ISNUMBER($E24),X$4&gt;=$D24,X$4&lt;=$E24,WEEKDAY(X$4,2)&lt;=5,COUNTIF('Sources &amp; Change Log'!$J$2:$J$5,X$4)=0,COUNTIFS('Team Calendar'!$A$5:$A$12,$F24,'Team Calendar'!$C$5:$C$12,X$4)=0),1,"")</x:f>
      </x:c>
      <x:c r="Y24" s="107" t="str">
        <x:f>IF(AND(ISNUMBER($D24),ISNUMBER($E24),Y$4&gt;=$D24,Y$4&lt;=$E24,WEEKDAY(Y$4,2)&lt;=5,COUNTIF('Sources &amp; Change Log'!$J$2:$J$5,Y$4)=0,COUNTIFS('Team Calendar'!$A$5:$A$12,$F24,'Team Calendar'!$C$5:$C$12,Y$4)=0),1,"")</x:f>
      </x:c>
      <x:c r="Z24" s="100" t="str">
        <x:f>IF(AND(ISNUMBER($D24),ISNUMBER($E24),Z$4&gt;=$D24,Z$4&lt;=$E24,WEEKDAY(Z$4,2)&lt;=5,COUNTIF('Sources &amp; Change Log'!$J$2:$J$5,Z$4)=0,COUNTIFS('Team Calendar'!$A$5:$A$12,$F24,'Team Calendar'!$C$5:$C$12,Z$4)=0),1,"")</x:f>
      </x:c>
      <x:c r="AA24" s="100" t="str">
        <x:f>IF(AND(ISNUMBER($D24),ISNUMBER($E24),AA$4&gt;=$D24,AA$4&lt;=$E24,WEEKDAY(AA$4,2)&lt;=5,COUNTIF('Sources &amp; Change Log'!$J$2:$J$5,AA$4)=0,COUNTIFS('Team Calendar'!$A$5:$A$12,$F24,'Team Calendar'!$C$5:$C$12,AA$4)=0),1,"")</x:f>
      </x:c>
      <x:c r="AB24" s="100" t="str">
        <x:f>IF(AND(ISNUMBER($D24),ISNUMBER($E24),AB$4&gt;=$D24,AB$4&lt;=$E24,WEEKDAY(AB$4,2)&lt;=5,COUNTIF('Sources &amp; Change Log'!$J$2:$J$5,AB$4)=0,COUNTIFS('Team Calendar'!$A$5:$A$12,$F24,'Team Calendar'!$C$5:$C$12,AB$4)=0),1,"")</x:f>
      </x:c>
      <x:c r="AC24" s="100" t="str">
        <x:f>IF(AND(ISNUMBER($D24),ISNUMBER($E24),AC$4&gt;=$D24,AC$4&lt;=$E24,WEEKDAY(AC$4,2)&lt;=5,COUNTIF('Sources &amp; Change Log'!$J$2:$J$5,AC$4)=0,COUNTIFS('Team Calendar'!$A$5:$A$12,$F24,'Team Calendar'!$C$5:$C$12,AC$4)=0),1,"")</x:f>
      </x:c>
      <x:c r="AD24" s="100" t="str">
        <x:f>IF(AND(ISNUMBER($D24),ISNUMBER($E24),AD$4&gt;=$D24,AD$4&lt;=$E24,WEEKDAY(AD$4,2)&lt;=5,COUNTIF('Sources &amp; Change Log'!$J$2:$J$5,AD$4)=0,COUNTIFS('Team Calendar'!$A$5:$A$12,$F24,'Team Calendar'!$C$5:$C$12,AD$4)=0),1,"")</x:f>
      </x:c>
      <x:c r="AE24" s="107" t="str">
        <x:f>IF(AND(ISNUMBER($D24),ISNUMBER($E24),AE$4&gt;=$D24,AE$4&lt;=$E24,WEEKDAY(AE$4,2)&lt;=5,COUNTIF('Sources &amp; Change Log'!$J$2:$J$5,AE$4)=0,COUNTIFS('Team Calendar'!$A$5:$A$12,$F24,'Team Calendar'!$C$5:$C$12,AE$4)=0),1,"")</x:f>
      </x:c>
      <x:c r="AF24" s="107" t="str">
        <x:f>IF(AND(ISNUMBER($D24),ISNUMBER($E24),AF$4&gt;=$D24,AF$4&lt;=$E24,WEEKDAY(AF$4,2)&lt;=5,COUNTIF('Sources &amp; Change Log'!$J$2:$J$5,AF$4)=0,COUNTIFS('Team Calendar'!$A$5:$A$12,$F24,'Team Calendar'!$C$5:$C$12,AF$4)=0),1,"")</x:f>
      </x:c>
      <x:c r="AG24" s="100" t="str">
        <x:f>IF(AND(ISNUMBER($D24),ISNUMBER($E24),AG$4&gt;=$D24,AG$4&lt;=$E24,WEEKDAY(AG$4,2)&lt;=5,COUNTIF('Sources &amp; Change Log'!$J$2:$J$5,AG$4)=0,COUNTIFS('Team Calendar'!$A$5:$A$12,$F24,'Team Calendar'!$C$5:$C$12,AG$4)=0),1,"")</x:f>
      </x:c>
      <x:c r="AH24" s="100" t="str">
        <x:f>IF(AND(ISNUMBER($D24),ISNUMBER($E24),AH$4&gt;=$D24,AH$4&lt;=$E24,WEEKDAY(AH$4,2)&lt;=5,COUNTIF('Sources &amp; Change Log'!$J$2:$J$5,AH$4)=0,COUNTIFS('Team Calendar'!$A$5:$A$12,$F24,'Team Calendar'!$C$5:$C$12,AH$4)=0),1,"")</x:f>
      </x:c>
      <x:c r="AI24" s="100" t="str">
        <x:f>IF(AND(ISNUMBER($D24),ISNUMBER($E24),AI$4&gt;=$D24,AI$4&lt;=$E24,WEEKDAY(AI$4,2)&lt;=5,COUNTIF('Sources &amp; Change Log'!$J$2:$J$5,AI$4)=0,COUNTIFS('Team Calendar'!$A$5:$A$12,$F24,'Team Calendar'!$C$5:$C$12,AI$4)=0),1,"")</x:f>
      </x:c>
    </x:row>
    <x:row r="25" ht="24" customHeight="1">
      <x:c r="A25" s="13" t="str">
        <x:f>WBS!A24</x:f>
        <x:v>P1-DR-02</x:v>
      </x:c>
      <x:c r="B25" s="13" t="str">
        <x:f>WBS!B24</x:f>
        <x:v>Harbor / etcd Backup and Restore</x:v>
      </x:c>
      <x:c r="C25" s="13" t="str">
        <x:f>WBS!G24</x:f>
        <x:v>To Do</x:v>
      </x:c>
      <x:c r="D25" s="86" t="str">
        <x:f>IF(WBS!H24="","",WBS!H24)</x:f>
      </x:c>
      <x:c r="E25" s="86" t="str">
        <x:f>IF(WBS!I24="","",WBS!I24)</x:f>
      </x:c>
      <x:c r="F25" s="13" t="str">
        <x:f>WBS!L24</x:f>
        <x:v>이하영</x:v>
      </x:c>
      <x:c r="G25" s="100" t="str">
        <x:f>IF(AND(ISNUMBER($D25),ISNUMBER($E25),G$4&gt;=$D25,G$4&lt;=$E25,WEEKDAY(G$4,2)&lt;=5,COUNTIF('Sources &amp; Change Log'!$J$2:$J$5,G$4)=0,COUNTIFS('Team Calendar'!$A$5:$A$12,$F25,'Team Calendar'!$C$5:$C$12,G$4)=0),1,"")</x:f>
      </x:c>
      <x:c r="H25" s="100" t="str">
        <x:f>IF(AND(ISNUMBER($D25),ISNUMBER($E25),H$4&gt;=$D25,H$4&lt;=$E25,WEEKDAY(H$4,2)&lt;=5,COUNTIF('Sources &amp; Change Log'!$J$2:$J$5,H$4)=0,COUNTIFS('Team Calendar'!$A$5:$A$12,$F25,'Team Calendar'!$C$5:$C$12,H$4)=0),1,"")</x:f>
      </x:c>
      <x:c r="I25" s="100" t="str">
        <x:f>IF(AND(ISNUMBER($D25),ISNUMBER($E25),I$4&gt;=$D25,I$4&lt;=$E25,WEEKDAY(I$4,2)&lt;=5,COUNTIF('Sources &amp; Change Log'!$J$2:$J$5,I$4)=0,COUNTIFS('Team Calendar'!$A$5:$A$12,$F25,'Team Calendar'!$C$5:$C$12,I$4)=0),1,"")</x:f>
      </x:c>
      <x:c r="J25" s="107" t="str">
        <x:f>IF(AND(ISNUMBER($D25),ISNUMBER($E25),J$4&gt;=$D25,J$4&lt;=$E25,WEEKDAY(J$4,2)&lt;=5,COUNTIF('Sources &amp; Change Log'!$J$2:$J$5,J$4)=0,COUNTIFS('Team Calendar'!$A$5:$A$12,$F25,'Team Calendar'!$C$5:$C$12,J$4)=0),1,"")</x:f>
      </x:c>
      <x:c r="K25" s="107" t="str">
        <x:f>IF(AND(ISNUMBER($D25),ISNUMBER($E25),K$4&gt;=$D25,K$4&lt;=$E25,WEEKDAY(K$4,2)&lt;=5,COUNTIF('Sources &amp; Change Log'!$J$2:$J$5,K$4)=0,COUNTIFS('Team Calendar'!$A$5:$A$12,$F25,'Team Calendar'!$C$5:$C$12,K$4)=0),1,"")</x:f>
      </x:c>
      <x:c r="L25" s="100" t="str">
        <x:f>IF(AND(ISNUMBER($D25),ISNUMBER($E25),L$4&gt;=$D25,L$4&lt;=$E25,WEEKDAY(L$4,2)&lt;=5,COUNTIF('Sources &amp; Change Log'!$J$2:$J$5,L$4)=0,COUNTIFS('Team Calendar'!$A$5:$A$12,$F25,'Team Calendar'!$C$5:$C$12,L$4)=0),1,"")</x:f>
      </x:c>
      <x:c r="M25" s="101" t="str">
        <x:f>IF(AND(ISNUMBER($D25),ISNUMBER($E25),M$4&gt;=$D25,M$4&lt;=$E25,WEEKDAY(M$4,2)&lt;=5,COUNTIF('Sources &amp; Change Log'!$J$2:$J$5,M$4)=0,COUNTIFS('Team Calendar'!$A$5:$A$12,$F25,'Team Calendar'!$C$5:$C$12,M$4)=0),1,"")</x:f>
      </x:c>
      <x:c r="N25" s="100" t="str">
        <x:f>IF(AND(ISNUMBER($D25),ISNUMBER($E25),N$4&gt;=$D25,N$4&lt;=$E25,WEEKDAY(N$4,2)&lt;=5,COUNTIF('Sources &amp; Change Log'!$J$2:$J$5,N$4)=0,COUNTIFS('Team Calendar'!$A$5:$A$12,$F25,'Team Calendar'!$C$5:$C$12,N$4)=0),1,"")</x:f>
      </x:c>
      <x:c r="O25" s="100" t="str">
        <x:f>IF(AND(ISNUMBER($D25),ISNUMBER($E25),O$4&gt;=$D25,O$4&lt;=$E25,WEEKDAY(O$4,2)&lt;=5,COUNTIF('Sources &amp; Change Log'!$J$2:$J$5,O$4)=0,COUNTIFS('Team Calendar'!$A$5:$A$12,$F25,'Team Calendar'!$C$5:$C$12,O$4)=0),1,"")</x:f>
      </x:c>
      <x:c r="P25" s="100" t="str">
        <x:f>IF(AND(ISNUMBER($D25),ISNUMBER($E25),P$4&gt;=$D25,P$4&lt;=$E25,WEEKDAY(P$4,2)&lt;=5,COUNTIF('Sources &amp; Change Log'!$J$2:$J$5,P$4)=0,COUNTIFS('Team Calendar'!$A$5:$A$12,$F25,'Team Calendar'!$C$5:$C$12,P$4)=0),1,"")</x:f>
      </x:c>
      <x:c r="Q25" s="107" t="str">
        <x:f>IF(AND(ISNUMBER($D25),ISNUMBER($E25),Q$4&gt;=$D25,Q$4&lt;=$E25,WEEKDAY(Q$4,2)&lt;=5,COUNTIF('Sources &amp; Change Log'!$J$2:$J$5,Q$4)=0,COUNTIFS('Team Calendar'!$A$5:$A$12,$F25,'Team Calendar'!$C$5:$C$12,Q$4)=0),1,"")</x:f>
      </x:c>
      <x:c r="R25" s="107" t="str">
        <x:f>IF(AND(ISNUMBER($D25),ISNUMBER($E25),R$4&gt;=$D25,R$4&lt;=$E25,WEEKDAY(R$4,2)&lt;=5,COUNTIF('Sources &amp; Change Log'!$J$2:$J$5,R$4)=0,COUNTIFS('Team Calendar'!$A$5:$A$12,$F25,'Team Calendar'!$C$5:$C$12,R$4)=0),1,"")</x:f>
      </x:c>
      <x:c r="S25" s="100" t="str">
        <x:f>IF(AND(ISNUMBER($D25),ISNUMBER($E25),S$4&gt;=$D25,S$4&lt;=$E25,WEEKDAY(S$4,2)&lt;=5,COUNTIF('Sources &amp; Change Log'!$J$2:$J$5,S$4)=0,COUNTIFS('Team Calendar'!$A$5:$A$12,$F25,'Team Calendar'!$C$5:$C$12,S$4)=0),1,"")</x:f>
      </x:c>
      <x:c r="T25" s="100" t="str">
        <x:f>IF(AND(ISNUMBER($D25),ISNUMBER($E25),T$4&gt;=$D25,T$4&lt;=$E25,WEEKDAY(T$4,2)&lt;=5,COUNTIF('Sources &amp; Change Log'!$J$2:$J$5,T$4)=0,COUNTIFS('Team Calendar'!$A$5:$A$12,$F25,'Team Calendar'!$C$5:$C$12,T$4)=0),1,"")</x:f>
      </x:c>
      <x:c r="U25" s="100" t="str">
        <x:f>IF(AND(ISNUMBER($D25),ISNUMBER($E25),U$4&gt;=$D25,U$4&lt;=$E25,WEEKDAY(U$4,2)&lt;=5,COUNTIF('Sources &amp; Change Log'!$J$2:$J$5,U$4)=0,COUNTIFS('Team Calendar'!$A$5:$A$12,$F25,'Team Calendar'!$C$5:$C$12,U$4)=0),1,"")</x:f>
      </x:c>
      <x:c r="V25" s="100" t="str">
        <x:f>IF(AND(ISNUMBER($D25),ISNUMBER($E25),V$4&gt;=$D25,V$4&lt;=$E25,WEEKDAY(V$4,2)&lt;=5,COUNTIF('Sources &amp; Change Log'!$J$2:$J$5,V$4)=0,COUNTIFS('Team Calendar'!$A$5:$A$12,$F25,'Team Calendar'!$C$5:$C$12,V$4)=0),1,"")</x:f>
      </x:c>
      <x:c r="W25" s="100" t="str">
        <x:f>IF(AND(ISNUMBER($D25),ISNUMBER($E25),W$4&gt;=$D25,W$4&lt;=$E25,WEEKDAY(W$4,2)&lt;=5,COUNTIF('Sources &amp; Change Log'!$J$2:$J$5,W$4)=0,COUNTIFS('Team Calendar'!$A$5:$A$12,$F25,'Team Calendar'!$C$5:$C$12,W$4)=0),1,"")</x:f>
      </x:c>
      <x:c r="X25" s="107" t="str">
        <x:f>IF(AND(ISNUMBER($D25),ISNUMBER($E25),X$4&gt;=$D25,X$4&lt;=$E25,WEEKDAY(X$4,2)&lt;=5,COUNTIF('Sources &amp; Change Log'!$J$2:$J$5,X$4)=0,COUNTIFS('Team Calendar'!$A$5:$A$12,$F25,'Team Calendar'!$C$5:$C$12,X$4)=0),1,"")</x:f>
      </x:c>
      <x:c r="Y25" s="107" t="str">
        <x:f>IF(AND(ISNUMBER($D25),ISNUMBER($E25),Y$4&gt;=$D25,Y$4&lt;=$E25,WEEKDAY(Y$4,2)&lt;=5,COUNTIF('Sources &amp; Change Log'!$J$2:$J$5,Y$4)=0,COUNTIFS('Team Calendar'!$A$5:$A$12,$F25,'Team Calendar'!$C$5:$C$12,Y$4)=0),1,"")</x:f>
      </x:c>
      <x:c r="Z25" s="100" t="str">
        <x:f>IF(AND(ISNUMBER($D25),ISNUMBER($E25),Z$4&gt;=$D25,Z$4&lt;=$E25,WEEKDAY(Z$4,2)&lt;=5,COUNTIF('Sources &amp; Change Log'!$J$2:$J$5,Z$4)=0,COUNTIFS('Team Calendar'!$A$5:$A$12,$F25,'Team Calendar'!$C$5:$C$12,Z$4)=0),1,"")</x:f>
      </x:c>
      <x:c r="AA25" s="100" t="str">
        <x:f>IF(AND(ISNUMBER($D25),ISNUMBER($E25),AA$4&gt;=$D25,AA$4&lt;=$E25,WEEKDAY(AA$4,2)&lt;=5,COUNTIF('Sources &amp; Change Log'!$J$2:$J$5,AA$4)=0,COUNTIFS('Team Calendar'!$A$5:$A$12,$F25,'Team Calendar'!$C$5:$C$12,AA$4)=0),1,"")</x:f>
      </x:c>
      <x:c r="AB25" s="100" t="str">
        <x:f>IF(AND(ISNUMBER($D25),ISNUMBER($E25),AB$4&gt;=$D25,AB$4&lt;=$E25,WEEKDAY(AB$4,2)&lt;=5,COUNTIF('Sources &amp; Change Log'!$J$2:$J$5,AB$4)=0,COUNTIFS('Team Calendar'!$A$5:$A$12,$F25,'Team Calendar'!$C$5:$C$12,AB$4)=0),1,"")</x:f>
      </x:c>
      <x:c r="AC25" s="100" t="str">
        <x:f>IF(AND(ISNUMBER($D25),ISNUMBER($E25),AC$4&gt;=$D25,AC$4&lt;=$E25,WEEKDAY(AC$4,2)&lt;=5,COUNTIF('Sources &amp; Change Log'!$J$2:$J$5,AC$4)=0,COUNTIFS('Team Calendar'!$A$5:$A$12,$F25,'Team Calendar'!$C$5:$C$12,AC$4)=0),1,"")</x:f>
      </x:c>
      <x:c r="AD25" s="100" t="str">
        <x:f>IF(AND(ISNUMBER($D25),ISNUMBER($E25),AD$4&gt;=$D25,AD$4&lt;=$E25,WEEKDAY(AD$4,2)&lt;=5,COUNTIF('Sources &amp; Change Log'!$J$2:$J$5,AD$4)=0,COUNTIFS('Team Calendar'!$A$5:$A$12,$F25,'Team Calendar'!$C$5:$C$12,AD$4)=0),1,"")</x:f>
      </x:c>
      <x:c r="AE25" s="107" t="str">
        <x:f>IF(AND(ISNUMBER($D25),ISNUMBER($E25),AE$4&gt;=$D25,AE$4&lt;=$E25,WEEKDAY(AE$4,2)&lt;=5,COUNTIF('Sources &amp; Change Log'!$J$2:$J$5,AE$4)=0,COUNTIFS('Team Calendar'!$A$5:$A$12,$F25,'Team Calendar'!$C$5:$C$12,AE$4)=0),1,"")</x:f>
      </x:c>
      <x:c r="AF25" s="107" t="str">
        <x:f>IF(AND(ISNUMBER($D25),ISNUMBER($E25),AF$4&gt;=$D25,AF$4&lt;=$E25,WEEKDAY(AF$4,2)&lt;=5,COUNTIF('Sources &amp; Change Log'!$J$2:$J$5,AF$4)=0,COUNTIFS('Team Calendar'!$A$5:$A$12,$F25,'Team Calendar'!$C$5:$C$12,AF$4)=0),1,"")</x:f>
      </x:c>
      <x:c r="AG25" s="100" t="str">
        <x:f>IF(AND(ISNUMBER($D25),ISNUMBER($E25),AG$4&gt;=$D25,AG$4&lt;=$E25,WEEKDAY(AG$4,2)&lt;=5,COUNTIF('Sources &amp; Change Log'!$J$2:$J$5,AG$4)=0,COUNTIFS('Team Calendar'!$A$5:$A$12,$F25,'Team Calendar'!$C$5:$C$12,AG$4)=0),1,"")</x:f>
      </x:c>
      <x:c r="AH25" s="100" t="str">
        <x:f>IF(AND(ISNUMBER($D25),ISNUMBER($E25),AH$4&gt;=$D25,AH$4&lt;=$E25,WEEKDAY(AH$4,2)&lt;=5,COUNTIF('Sources &amp; Change Log'!$J$2:$J$5,AH$4)=0,COUNTIFS('Team Calendar'!$A$5:$A$12,$F25,'Team Calendar'!$C$5:$C$12,AH$4)=0),1,"")</x:f>
      </x:c>
      <x:c r="AI25" s="100" t="str">
        <x:f>IF(AND(ISNUMBER($D25),ISNUMBER($E25),AI$4&gt;=$D25,AI$4&lt;=$E25,WEEKDAY(AI$4,2)&lt;=5,COUNTIF('Sources &amp; Change Log'!$J$2:$J$5,AI$4)=0,COUNTIFS('Team Calendar'!$A$5:$A$12,$F25,'Team Calendar'!$C$5:$C$12,AI$4)=0),1,"")</x:f>
      </x:c>
    </x:row>
    <x:row r="26" ht="24" customHeight="1">
      <x:c r="A26" s="13" t="str">
        <x:f>WBS!A25</x:f>
        <x:v>P1-HA-02</x:v>
      </x:c>
      <x:c r="B26" s="13" t="str">
        <x:f>WBS!B25</x:f>
        <x:v>Platform Resilience P1 Validation</x:v>
      </x:c>
      <x:c r="C26" s="13" t="str">
        <x:f>WBS!G25</x:f>
        <x:v>To Do</x:v>
      </x:c>
      <x:c r="D26" s="86" t="str">
        <x:f>IF(WBS!H25="","",WBS!H25)</x:f>
      </x:c>
      <x:c r="E26" s="86" t="str">
        <x:f>IF(WBS!I25="","",WBS!I25)</x:f>
      </x:c>
      <x:c r="F26" s="13" t="str">
        <x:f>WBS!L25</x:f>
        <x:v>이하영</x:v>
      </x:c>
      <x:c r="G26" s="100" t="str">
        <x:f>IF(AND(ISNUMBER($D26),ISNUMBER($E26),G$4&gt;=$D26,G$4&lt;=$E26,WEEKDAY(G$4,2)&lt;=5,COUNTIF('Sources &amp; Change Log'!$J$2:$J$5,G$4)=0,COUNTIFS('Team Calendar'!$A$5:$A$12,$F26,'Team Calendar'!$C$5:$C$12,G$4)=0),1,"")</x:f>
      </x:c>
      <x:c r="H26" s="100" t="str">
        <x:f>IF(AND(ISNUMBER($D26),ISNUMBER($E26),H$4&gt;=$D26,H$4&lt;=$E26,WEEKDAY(H$4,2)&lt;=5,COUNTIF('Sources &amp; Change Log'!$J$2:$J$5,H$4)=0,COUNTIFS('Team Calendar'!$A$5:$A$12,$F26,'Team Calendar'!$C$5:$C$12,H$4)=0),1,"")</x:f>
      </x:c>
      <x:c r="I26" s="100" t="str">
        <x:f>IF(AND(ISNUMBER($D26),ISNUMBER($E26),I$4&gt;=$D26,I$4&lt;=$E26,WEEKDAY(I$4,2)&lt;=5,COUNTIF('Sources &amp; Change Log'!$J$2:$J$5,I$4)=0,COUNTIFS('Team Calendar'!$A$5:$A$12,$F26,'Team Calendar'!$C$5:$C$12,I$4)=0),1,"")</x:f>
      </x:c>
      <x:c r="J26" s="107" t="str">
        <x:f>IF(AND(ISNUMBER($D26),ISNUMBER($E26),J$4&gt;=$D26,J$4&lt;=$E26,WEEKDAY(J$4,2)&lt;=5,COUNTIF('Sources &amp; Change Log'!$J$2:$J$5,J$4)=0,COUNTIFS('Team Calendar'!$A$5:$A$12,$F26,'Team Calendar'!$C$5:$C$12,J$4)=0),1,"")</x:f>
      </x:c>
      <x:c r="K26" s="107" t="str">
        <x:f>IF(AND(ISNUMBER($D26),ISNUMBER($E26),K$4&gt;=$D26,K$4&lt;=$E26,WEEKDAY(K$4,2)&lt;=5,COUNTIF('Sources &amp; Change Log'!$J$2:$J$5,K$4)=0,COUNTIFS('Team Calendar'!$A$5:$A$12,$F26,'Team Calendar'!$C$5:$C$12,K$4)=0),1,"")</x:f>
      </x:c>
      <x:c r="L26" s="100" t="str">
        <x:f>IF(AND(ISNUMBER($D26),ISNUMBER($E26),L$4&gt;=$D26,L$4&lt;=$E26,WEEKDAY(L$4,2)&lt;=5,COUNTIF('Sources &amp; Change Log'!$J$2:$J$5,L$4)=0,COUNTIFS('Team Calendar'!$A$5:$A$12,$F26,'Team Calendar'!$C$5:$C$12,L$4)=0),1,"")</x:f>
      </x:c>
      <x:c r="M26" s="101" t="str">
        <x:f>IF(AND(ISNUMBER($D26),ISNUMBER($E26),M$4&gt;=$D26,M$4&lt;=$E26,WEEKDAY(M$4,2)&lt;=5,COUNTIF('Sources &amp; Change Log'!$J$2:$J$5,M$4)=0,COUNTIFS('Team Calendar'!$A$5:$A$12,$F26,'Team Calendar'!$C$5:$C$12,M$4)=0),1,"")</x:f>
      </x:c>
      <x:c r="N26" s="100" t="str">
        <x:f>IF(AND(ISNUMBER($D26),ISNUMBER($E26),N$4&gt;=$D26,N$4&lt;=$E26,WEEKDAY(N$4,2)&lt;=5,COUNTIF('Sources &amp; Change Log'!$J$2:$J$5,N$4)=0,COUNTIFS('Team Calendar'!$A$5:$A$12,$F26,'Team Calendar'!$C$5:$C$12,N$4)=0),1,"")</x:f>
      </x:c>
      <x:c r="O26" s="100" t="str">
        <x:f>IF(AND(ISNUMBER($D26),ISNUMBER($E26),O$4&gt;=$D26,O$4&lt;=$E26,WEEKDAY(O$4,2)&lt;=5,COUNTIF('Sources &amp; Change Log'!$J$2:$J$5,O$4)=0,COUNTIFS('Team Calendar'!$A$5:$A$12,$F26,'Team Calendar'!$C$5:$C$12,O$4)=0),1,"")</x:f>
      </x:c>
      <x:c r="P26" s="100" t="str">
        <x:f>IF(AND(ISNUMBER($D26),ISNUMBER($E26),P$4&gt;=$D26,P$4&lt;=$E26,WEEKDAY(P$4,2)&lt;=5,COUNTIF('Sources &amp; Change Log'!$J$2:$J$5,P$4)=0,COUNTIFS('Team Calendar'!$A$5:$A$12,$F26,'Team Calendar'!$C$5:$C$12,P$4)=0),1,"")</x:f>
      </x:c>
      <x:c r="Q26" s="107" t="str">
        <x:f>IF(AND(ISNUMBER($D26),ISNUMBER($E26),Q$4&gt;=$D26,Q$4&lt;=$E26,WEEKDAY(Q$4,2)&lt;=5,COUNTIF('Sources &amp; Change Log'!$J$2:$J$5,Q$4)=0,COUNTIFS('Team Calendar'!$A$5:$A$12,$F26,'Team Calendar'!$C$5:$C$12,Q$4)=0),1,"")</x:f>
      </x:c>
      <x:c r="R26" s="107" t="str">
        <x:f>IF(AND(ISNUMBER($D26),ISNUMBER($E26),R$4&gt;=$D26,R$4&lt;=$E26,WEEKDAY(R$4,2)&lt;=5,COUNTIF('Sources &amp; Change Log'!$J$2:$J$5,R$4)=0,COUNTIFS('Team Calendar'!$A$5:$A$12,$F26,'Team Calendar'!$C$5:$C$12,R$4)=0),1,"")</x:f>
      </x:c>
      <x:c r="S26" s="100" t="str">
        <x:f>IF(AND(ISNUMBER($D26),ISNUMBER($E26),S$4&gt;=$D26,S$4&lt;=$E26,WEEKDAY(S$4,2)&lt;=5,COUNTIF('Sources &amp; Change Log'!$J$2:$J$5,S$4)=0,COUNTIFS('Team Calendar'!$A$5:$A$12,$F26,'Team Calendar'!$C$5:$C$12,S$4)=0),1,"")</x:f>
      </x:c>
      <x:c r="T26" s="100" t="str">
        <x:f>IF(AND(ISNUMBER($D26),ISNUMBER($E26),T$4&gt;=$D26,T$4&lt;=$E26,WEEKDAY(T$4,2)&lt;=5,COUNTIF('Sources &amp; Change Log'!$J$2:$J$5,T$4)=0,COUNTIFS('Team Calendar'!$A$5:$A$12,$F26,'Team Calendar'!$C$5:$C$12,T$4)=0),1,"")</x:f>
      </x:c>
      <x:c r="U26" s="100" t="str">
        <x:f>IF(AND(ISNUMBER($D26),ISNUMBER($E26),U$4&gt;=$D26,U$4&lt;=$E26,WEEKDAY(U$4,2)&lt;=5,COUNTIF('Sources &amp; Change Log'!$J$2:$J$5,U$4)=0,COUNTIFS('Team Calendar'!$A$5:$A$12,$F26,'Team Calendar'!$C$5:$C$12,U$4)=0),1,"")</x:f>
      </x:c>
      <x:c r="V26" s="100" t="str">
        <x:f>IF(AND(ISNUMBER($D26),ISNUMBER($E26),V$4&gt;=$D26,V$4&lt;=$E26,WEEKDAY(V$4,2)&lt;=5,COUNTIF('Sources &amp; Change Log'!$J$2:$J$5,V$4)=0,COUNTIFS('Team Calendar'!$A$5:$A$12,$F26,'Team Calendar'!$C$5:$C$12,V$4)=0),1,"")</x:f>
      </x:c>
      <x:c r="W26" s="100" t="str">
        <x:f>IF(AND(ISNUMBER($D26),ISNUMBER($E26),W$4&gt;=$D26,W$4&lt;=$E26,WEEKDAY(W$4,2)&lt;=5,COUNTIF('Sources &amp; Change Log'!$J$2:$J$5,W$4)=0,COUNTIFS('Team Calendar'!$A$5:$A$12,$F26,'Team Calendar'!$C$5:$C$12,W$4)=0),1,"")</x:f>
      </x:c>
      <x:c r="X26" s="107" t="str">
        <x:f>IF(AND(ISNUMBER($D26),ISNUMBER($E26),X$4&gt;=$D26,X$4&lt;=$E26,WEEKDAY(X$4,2)&lt;=5,COUNTIF('Sources &amp; Change Log'!$J$2:$J$5,X$4)=0,COUNTIFS('Team Calendar'!$A$5:$A$12,$F26,'Team Calendar'!$C$5:$C$12,X$4)=0),1,"")</x:f>
      </x:c>
      <x:c r="Y26" s="107" t="str">
        <x:f>IF(AND(ISNUMBER($D26),ISNUMBER($E26),Y$4&gt;=$D26,Y$4&lt;=$E26,WEEKDAY(Y$4,2)&lt;=5,COUNTIF('Sources &amp; Change Log'!$J$2:$J$5,Y$4)=0,COUNTIFS('Team Calendar'!$A$5:$A$12,$F26,'Team Calendar'!$C$5:$C$12,Y$4)=0),1,"")</x:f>
      </x:c>
      <x:c r="Z26" s="100" t="str">
        <x:f>IF(AND(ISNUMBER($D26),ISNUMBER($E26),Z$4&gt;=$D26,Z$4&lt;=$E26,WEEKDAY(Z$4,2)&lt;=5,COUNTIF('Sources &amp; Change Log'!$J$2:$J$5,Z$4)=0,COUNTIFS('Team Calendar'!$A$5:$A$12,$F26,'Team Calendar'!$C$5:$C$12,Z$4)=0),1,"")</x:f>
      </x:c>
      <x:c r="AA26" s="100" t="str">
        <x:f>IF(AND(ISNUMBER($D26),ISNUMBER($E26),AA$4&gt;=$D26,AA$4&lt;=$E26,WEEKDAY(AA$4,2)&lt;=5,COUNTIF('Sources &amp; Change Log'!$J$2:$J$5,AA$4)=0,COUNTIFS('Team Calendar'!$A$5:$A$12,$F26,'Team Calendar'!$C$5:$C$12,AA$4)=0),1,"")</x:f>
      </x:c>
      <x:c r="AB26" s="100" t="str">
        <x:f>IF(AND(ISNUMBER($D26),ISNUMBER($E26),AB$4&gt;=$D26,AB$4&lt;=$E26,WEEKDAY(AB$4,2)&lt;=5,COUNTIF('Sources &amp; Change Log'!$J$2:$J$5,AB$4)=0,COUNTIFS('Team Calendar'!$A$5:$A$12,$F26,'Team Calendar'!$C$5:$C$12,AB$4)=0),1,"")</x:f>
      </x:c>
      <x:c r="AC26" s="100" t="str">
        <x:f>IF(AND(ISNUMBER($D26),ISNUMBER($E26),AC$4&gt;=$D26,AC$4&lt;=$E26,WEEKDAY(AC$4,2)&lt;=5,COUNTIF('Sources &amp; Change Log'!$J$2:$J$5,AC$4)=0,COUNTIFS('Team Calendar'!$A$5:$A$12,$F26,'Team Calendar'!$C$5:$C$12,AC$4)=0),1,"")</x:f>
      </x:c>
      <x:c r="AD26" s="100" t="str">
        <x:f>IF(AND(ISNUMBER($D26),ISNUMBER($E26),AD$4&gt;=$D26,AD$4&lt;=$E26,WEEKDAY(AD$4,2)&lt;=5,COUNTIF('Sources &amp; Change Log'!$J$2:$J$5,AD$4)=0,COUNTIFS('Team Calendar'!$A$5:$A$12,$F26,'Team Calendar'!$C$5:$C$12,AD$4)=0),1,"")</x:f>
      </x:c>
      <x:c r="AE26" s="107" t="str">
        <x:f>IF(AND(ISNUMBER($D26),ISNUMBER($E26),AE$4&gt;=$D26,AE$4&lt;=$E26,WEEKDAY(AE$4,2)&lt;=5,COUNTIF('Sources &amp; Change Log'!$J$2:$J$5,AE$4)=0,COUNTIFS('Team Calendar'!$A$5:$A$12,$F26,'Team Calendar'!$C$5:$C$12,AE$4)=0),1,"")</x:f>
      </x:c>
      <x:c r="AF26" s="107" t="str">
        <x:f>IF(AND(ISNUMBER($D26),ISNUMBER($E26),AF$4&gt;=$D26,AF$4&lt;=$E26,WEEKDAY(AF$4,2)&lt;=5,COUNTIF('Sources &amp; Change Log'!$J$2:$J$5,AF$4)=0,COUNTIFS('Team Calendar'!$A$5:$A$12,$F26,'Team Calendar'!$C$5:$C$12,AF$4)=0),1,"")</x:f>
      </x:c>
      <x:c r="AG26" s="100" t="str">
        <x:f>IF(AND(ISNUMBER($D26),ISNUMBER($E26),AG$4&gt;=$D26,AG$4&lt;=$E26,WEEKDAY(AG$4,2)&lt;=5,COUNTIF('Sources &amp; Change Log'!$J$2:$J$5,AG$4)=0,COUNTIFS('Team Calendar'!$A$5:$A$12,$F26,'Team Calendar'!$C$5:$C$12,AG$4)=0),1,"")</x:f>
      </x:c>
      <x:c r="AH26" s="100" t="str">
        <x:f>IF(AND(ISNUMBER($D26),ISNUMBER($E26),AH$4&gt;=$D26,AH$4&lt;=$E26,WEEKDAY(AH$4,2)&lt;=5,COUNTIF('Sources &amp; Change Log'!$J$2:$J$5,AH$4)=0,COUNTIFS('Team Calendar'!$A$5:$A$12,$F26,'Team Calendar'!$C$5:$C$12,AH$4)=0),1,"")</x:f>
      </x:c>
      <x:c r="AI26" s="100" t="str">
        <x:f>IF(AND(ISNUMBER($D26),ISNUMBER($E26),AI$4&gt;=$D26,AI$4&lt;=$E26,WEEKDAY(AI$4,2)&lt;=5,COUNTIF('Sources &amp; Change Log'!$J$2:$J$5,AI$4)=0,COUNTIFS('Team Calendar'!$A$5:$A$12,$F26,'Team Calendar'!$C$5:$C$12,AI$4)=0),1,"")</x:f>
      </x:c>
    </x:row>
    <x:row r="27" ht="24" customHeight="1">
      <x:c r="A27" s="13" t="str">
        <x:f>WBS!A26</x:f>
        <x:v>DEC-CAL-P1-01</x:v>
      </x:c>
      <x:c r="B27" s="13" t="str">
        <x:f>WBS!B26</x:f>
        <x:v>Phase 1 Weekend Review Decision</x:v>
      </x:c>
      <x:c r="C27" s="13" t="str">
        <x:f>WBS!G26</x:f>
        <x:v>Done</x:v>
      </x:c>
      <x:c r="D27" s="86" t="n">
        <x:f>IF(WBS!H26="","",WBS!H26)</x:f>
        <x:v>46276</x:v>
      </x:c>
      <x:c r="E27" s="86" t="n">
        <x:f>IF(WBS!I26="","",WBS!I26)</x:f>
        <x:v>46276</x:v>
      </x:c>
      <x:c r="F27" s="13" t="str">
        <x:f>WBS!L26</x:f>
        <x:v>이권욱</x:v>
      </x:c>
      <x:c r="G27" s="100" t="str">
        <x:f>IF(AND(ISNUMBER($D27),ISNUMBER($E27),G$4&gt;=$D27,G$4&lt;=$E27,WEEKDAY(G$4,2)&lt;=5,COUNTIF('Sources &amp; Change Log'!$J$2:$J$5,G$4)=0,COUNTIFS('Team Calendar'!$A$5:$A$12,$F27,'Team Calendar'!$C$5:$C$12,G$4)=0),1,"")</x:f>
      </x:c>
      <x:c r="H27" s="100" t="str">
        <x:f>IF(AND(ISNUMBER($D27),ISNUMBER($E27),H$4&gt;=$D27,H$4&lt;=$E27,WEEKDAY(H$4,2)&lt;=5,COUNTIF('Sources &amp; Change Log'!$J$2:$J$5,H$4)=0,COUNTIFS('Team Calendar'!$A$5:$A$12,$F27,'Team Calendar'!$C$5:$C$12,H$4)=0),1,"")</x:f>
      </x:c>
      <x:c r="I27" s="100" t="str">
        <x:f>IF(AND(ISNUMBER($D27),ISNUMBER($E27),I$4&gt;=$D27,I$4&lt;=$E27,WEEKDAY(I$4,2)&lt;=5,COUNTIF('Sources &amp; Change Log'!$J$2:$J$5,I$4)=0,COUNTIFS('Team Calendar'!$A$5:$A$12,$F27,'Team Calendar'!$C$5:$C$12,I$4)=0),1,"")</x:f>
      </x:c>
      <x:c r="J27" s="107" t="str">
        <x:f>IF(AND(ISNUMBER($D27),ISNUMBER($E27),J$4&gt;=$D27,J$4&lt;=$E27,WEEKDAY(J$4,2)&lt;=5,COUNTIF('Sources &amp; Change Log'!$J$2:$J$5,J$4)=0,COUNTIFS('Team Calendar'!$A$5:$A$12,$F27,'Team Calendar'!$C$5:$C$12,J$4)=0),1,"")</x:f>
      </x:c>
      <x:c r="K27" s="107" t="str">
        <x:f>IF(AND(ISNUMBER($D27),ISNUMBER($E27),K$4&gt;=$D27,K$4&lt;=$E27,WEEKDAY(K$4,2)&lt;=5,COUNTIF('Sources &amp; Change Log'!$J$2:$J$5,K$4)=0,COUNTIFS('Team Calendar'!$A$5:$A$12,$F27,'Team Calendar'!$C$5:$C$12,K$4)=0),1,"")</x:f>
      </x:c>
      <x:c r="L27" s="100" t="str">
        <x:f>IF(AND(ISNUMBER($D27),ISNUMBER($E27),L$4&gt;=$D27,L$4&lt;=$E27,WEEKDAY(L$4,2)&lt;=5,COUNTIF('Sources &amp; Change Log'!$J$2:$J$5,L$4)=0,COUNTIFS('Team Calendar'!$A$5:$A$12,$F27,'Team Calendar'!$C$5:$C$12,L$4)=0),1,"")</x:f>
      </x:c>
      <x:c r="M27" s="101" t="str">
        <x:f>IF(AND(ISNUMBER($D27),ISNUMBER($E27),M$4&gt;=$D27,M$4&lt;=$E27,WEEKDAY(M$4,2)&lt;=5,COUNTIF('Sources &amp; Change Log'!$J$2:$J$5,M$4)=0,COUNTIFS('Team Calendar'!$A$5:$A$12,$F27,'Team Calendar'!$C$5:$C$12,M$4)=0),1,"")</x:f>
      </x:c>
      <x:c r="N27" s="100" t="str">
        <x:f>IF(AND(ISNUMBER($D27),ISNUMBER($E27),N$4&gt;=$D27,N$4&lt;=$E27,WEEKDAY(N$4,2)&lt;=5,COUNTIF('Sources &amp; Change Log'!$J$2:$J$5,N$4)=0,COUNTIFS('Team Calendar'!$A$5:$A$12,$F27,'Team Calendar'!$C$5:$C$12,N$4)=0),1,"")</x:f>
      </x:c>
      <x:c r="O27" s="100" t="str">
        <x:f>IF(AND(ISNUMBER($D27),ISNUMBER($E27),O$4&gt;=$D27,O$4&lt;=$E27,WEEKDAY(O$4,2)&lt;=5,COUNTIF('Sources &amp; Change Log'!$J$2:$J$5,O$4)=0,COUNTIFS('Team Calendar'!$A$5:$A$12,$F27,'Team Calendar'!$C$5:$C$12,O$4)=0),1,"")</x:f>
      </x:c>
      <x:c r="P27" s="100" t="str">
        <x:f>IF(AND(ISNUMBER($D27),ISNUMBER($E27),P$4&gt;=$D27,P$4&lt;=$E27,WEEKDAY(P$4,2)&lt;=5,COUNTIF('Sources &amp; Change Log'!$J$2:$J$5,P$4)=0,COUNTIFS('Team Calendar'!$A$5:$A$12,$F27,'Team Calendar'!$C$5:$C$12,P$4)=0),1,"")</x:f>
      </x:c>
      <x:c r="Q27" s="107" t="str">
        <x:f>IF(AND(ISNUMBER($D27),ISNUMBER($E27),Q$4&gt;=$D27,Q$4&lt;=$E27,WEEKDAY(Q$4,2)&lt;=5,COUNTIF('Sources &amp; Change Log'!$J$2:$J$5,Q$4)=0,COUNTIFS('Team Calendar'!$A$5:$A$12,$F27,'Team Calendar'!$C$5:$C$12,Q$4)=0),1,"")</x:f>
      </x:c>
      <x:c r="R27" s="107" t="str">
        <x:f>IF(AND(ISNUMBER($D27),ISNUMBER($E27),R$4&gt;=$D27,R$4&lt;=$E27,WEEKDAY(R$4,2)&lt;=5,COUNTIF('Sources &amp; Change Log'!$J$2:$J$5,R$4)=0,COUNTIFS('Team Calendar'!$A$5:$A$12,$F27,'Team Calendar'!$C$5:$C$12,R$4)=0),1,"")</x:f>
      </x:c>
      <x:c r="S27" s="100" t="str">
        <x:f>IF(AND(ISNUMBER($D27),ISNUMBER($E27),S$4&gt;=$D27,S$4&lt;=$E27,WEEKDAY(S$4,2)&lt;=5,COUNTIF('Sources &amp; Change Log'!$J$2:$J$5,S$4)=0,COUNTIFS('Team Calendar'!$A$5:$A$12,$F27,'Team Calendar'!$C$5:$C$12,S$4)=0),1,"")</x:f>
      </x:c>
      <x:c r="T27" s="100" t="str">
        <x:f>IF(AND(ISNUMBER($D27),ISNUMBER($E27),T$4&gt;=$D27,T$4&lt;=$E27,WEEKDAY(T$4,2)&lt;=5,COUNTIF('Sources &amp; Change Log'!$J$2:$J$5,T$4)=0,COUNTIFS('Team Calendar'!$A$5:$A$12,$F27,'Team Calendar'!$C$5:$C$12,T$4)=0),1,"")</x:f>
      </x:c>
      <x:c r="U27" s="100" t="str">
        <x:f>IF(AND(ISNUMBER($D27),ISNUMBER($E27),U$4&gt;=$D27,U$4&lt;=$E27,WEEKDAY(U$4,2)&lt;=5,COUNTIF('Sources &amp; Change Log'!$J$2:$J$5,U$4)=0,COUNTIFS('Team Calendar'!$A$5:$A$12,$F27,'Team Calendar'!$C$5:$C$12,U$4)=0),1,"")</x:f>
      </x:c>
      <x:c r="V27" s="100" t="str">
        <x:f>IF(AND(ISNUMBER($D27),ISNUMBER($E27),V$4&gt;=$D27,V$4&lt;=$E27,WEEKDAY(V$4,2)&lt;=5,COUNTIF('Sources &amp; Change Log'!$J$2:$J$5,V$4)=0,COUNTIFS('Team Calendar'!$A$5:$A$12,$F27,'Team Calendar'!$C$5:$C$12,V$4)=0),1,"")</x:f>
      </x:c>
      <x:c r="W27" s="100" t="n">
        <x:f>IF(AND(ISNUMBER($D27),ISNUMBER($E27),W$4&gt;=$D27,W$4&lt;=$E27,WEEKDAY(W$4,2)&lt;=5,COUNTIF('Sources &amp; Change Log'!$J$2:$J$5,W$4)=0,COUNTIFS('Team Calendar'!$A$5:$A$12,$F27,'Team Calendar'!$C$5:$C$12,W$4)=0),1,"")</x:f>
        <x:v>1</x:v>
      </x:c>
      <x:c r="X27" s="107" t="str">
        <x:f>IF(AND(ISNUMBER($D27),ISNUMBER($E27),X$4&gt;=$D27,X$4&lt;=$E27,WEEKDAY(X$4,2)&lt;=5,COUNTIF('Sources &amp; Change Log'!$J$2:$J$5,X$4)=0,COUNTIFS('Team Calendar'!$A$5:$A$12,$F27,'Team Calendar'!$C$5:$C$12,X$4)=0),1,"")</x:f>
      </x:c>
      <x:c r="Y27" s="107" t="str">
        <x:f>IF(AND(ISNUMBER($D27),ISNUMBER($E27),Y$4&gt;=$D27,Y$4&lt;=$E27,WEEKDAY(Y$4,2)&lt;=5,COUNTIF('Sources &amp; Change Log'!$J$2:$J$5,Y$4)=0,COUNTIFS('Team Calendar'!$A$5:$A$12,$F27,'Team Calendar'!$C$5:$C$12,Y$4)=0),1,"")</x:f>
      </x:c>
      <x:c r="Z27" s="100" t="str">
        <x:f>IF(AND(ISNUMBER($D27),ISNUMBER($E27),Z$4&gt;=$D27,Z$4&lt;=$E27,WEEKDAY(Z$4,2)&lt;=5,COUNTIF('Sources &amp; Change Log'!$J$2:$J$5,Z$4)=0,COUNTIFS('Team Calendar'!$A$5:$A$12,$F27,'Team Calendar'!$C$5:$C$12,Z$4)=0),1,"")</x:f>
      </x:c>
      <x:c r="AA27" s="100" t="str">
        <x:f>IF(AND(ISNUMBER($D27),ISNUMBER($E27),AA$4&gt;=$D27,AA$4&lt;=$E27,WEEKDAY(AA$4,2)&lt;=5,COUNTIF('Sources &amp; Change Log'!$J$2:$J$5,AA$4)=0,COUNTIFS('Team Calendar'!$A$5:$A$12,$F27,'Team Calendar'!$C$5:$C$12,AA$4)=0),1,"")</x:f>
      </x:c>
      <x:c r="AB27" s="100" t="str">
        <x:f>IF(AND(ISNUMBER($D27),ISNUMBER($E27),AB$4&gt;=$D27,AB$4&lt;=$E27,WEEKDAY(AB$4,2)&lt;=5,COUNTIF('Sources &amp; Change Log'!$J$2:$J$5,AB$4)=0,COUNTIFS('Team Calendar'!$A$5:$A$12,$F27,'Team Calendar'!$C$5:$C$12,AB$4)=0),1,"")</x:f>
      </x:c>
      <x:c r="AC27" s="100" t="str">
        <x:f>IF(AND(ISNUMBER($D27),ISNUMBER($E27),AC$4&gt;=$D27,AC$4&lt;=$E27,WEEKDAY(AC$4,2)&lt;=5,COUNTIF('Sources &amp; Change Log'!$J$2:$J$5,AC$4)=0,COUNTIFS('Team Calendar'!$A$5:$A$12,$F27,'Team Calendar'!$C$5:$C$12,AC$4)=0),1,"")</x:f>
      </x:c>
      <x:c r="AD27" s="100" t="str">
        <x:f>IF(AND(ISNUMBER($D27),ISNUMBER($E27),AD$4&gt;=$D27,AD$4&lt;=$E27,WEEKDAY(AD$4,2)&lt;=5,COUNTIF('Sources &amp; Change Log'!$J$2:$J$5,AD$4)=0,COUNTIFS('Team Calendar'!$A$5:$A$12,$F27,'Team Calendar'!$C$5:$C$12,AD$4)=0),1,"")</x:f>
      </x:c>
      <x:c r="AE27" s="107" t="str">
        <x:f>IF(AND(ISNUMBER($D27),ISNUMBER($E27),AE$4&gt;=$D27,AE$4&lt;=$E27,WEEKDAY(AE$4,2)&lt;=5,COUNTIF('Sources &amp; Change Log'!$J$2:$J$5,AE$4)=0,COUNTIFS('Team Calendar'!$A$5:$A$12,$F27,'Team Calendar'!$C$5:$C$12,AE$4)=0),1,"")</x:f>
      </x:c>
      <x:c r="AF27" s="107" t="str">
        <x:f>IF(AND(ISNUMBER($D27),ISNUMBER($E27),AF$4&gt;=$D27,AF$4&lt;=$E27,WEEKDAY(AF$4,2)&lt;=5,COUNTIF('Sources &amp; Change Log'!$J$2:$J$5,AF$4)=0,COUNTIFS('Team Calendar'!$A$5:$A$12,$F27,'Team Calendar'!$C$5:$C$12,AF$4)=0),1,"")</x:f>
      </x:c>
      <x:c r="AG27" s="100" t="str">
        <x:f>IF(AND(ISNUMBER($D27),ISNUMBER($E27),AG$4&gt;=$D27,AG$4&lt;=$E27,WEEKDAY(AG$4,2)&lt;=5,COUNTIF('Sources &amp; Change Log'!$J$2:$J$5,AG$4)=0,COUNTIFS('Team Calendar'!$A$5:$A$12,$F27,'Team Calendar'!$C$5:$C$12,AG$4)=0),1,"")</x:f>
      </x:c>
      <x:c r="AH27" s="100" t="str">
        <x:f>IF(AND(ISNUMBER($D27),ISNUMBER($E27),AH$4&gt;=$D27,AH$4&lt;=$E27,WEEKDAY(AH$4,2)&lt;=5,COUNTIF('Sources &amp; Change Log'!$J$2:$J$5,AH$4)=0,COUNTIFS('Team Calendar'!$A$5:$A$12,$F27,'Team Calendar'!$C$5:$C$12,AH$4)=0),1,"")</x:f>
      </x:c>
      <x:c r="AI27" s="100" t="str">
        <x:f>IF(AND(ISNUMBER($D27),ISNUMBER($E27),AI$4&gt;=$D27,AI$4&lt;=$E27,WEEKDAY(AI$4,2)&lt;=5,COUNTIF('Sources &amp; Change Log'!$J$2:$J$5,AI$4)=0,COUNTIFS('Team Calendar'!$A$5:$A$12,$F27,'Team Calendar'!$C$5:$C$12,AI$4)=0),1,"")</x:f>
      </x:c>
    </x:row>
    <x:row r="28" ht="24" customHeight="1">
      <x:c r="A28" s="13" t="str">
        <x:f>WBS!A27</x:f>
        <x:v>MS-G3-01</x:v>
      </x:c>
      <x:c r="B28" s="13" t="str">
        <x:f>WBS!B27</x:f>
        <x:v>G3 Review Ready</x:v>
      </x:c>
      <x:c r="C28" s="13" t="str">
        <x:f>WBS!G27</x:f>
        <x:v>To Do</x:v>
      </x:c>
      <x:c r="D28" s="86" t="n">
        <x:f>IF(WBS!H27="","",WBS!H27)</x:f>
        <x:v>46287</x:v>
      </x:c>
      <x:c r="E28" s="86" t="n">
        <x:f>IF(WBS!I27="","",WBS!I27)</x:f>
        <x:v>46287</x:v>
      </x:c>
      <x:c r="F28" s="13" t="str">
        <x:f>WBS!L27</x:f>
        <x:v>이권욱</x:v>
      </x:c>
      <x:c r="G28" s="100" t="str">
        <x:f>IF(AND(ISNUMBER($D28),ISNUMBER($E28),G$4&gt;=$D28,G$4&lt;=$E28,WEEKDAY(G$4,2)&lt;=5,COUNTIF('Sources &amp; Change Log'!$J$2:$J$5,G$4)=0,COUNTIFS('Team Calendar'!$A$5:$A$12,$F28,'Team Calendar'!$C$5:$C$12,G$4)=0),1,"")</x:f>
      </x:c>
      <x:c r="H28" s="100" t="str">
        <x:f>IF(AND(ISNUMBER($D28),ISNUMBER($E28),H$4&gt;=$D28,H$4&lt;=$E28,WEEKDAY(H$4,2)&lt;=5,COUNTIF('Sources &amp; Change Log'!$J$2:$J$5,H$4)=0,COUNTIFS('Team Calendar'!$A$5:$A$12,$F28,'Team Calendar'!$C$5:$C$12,H$4)=0),1,"")</x:f>
      </x:c>
      <x:c r="I28" s="100" t="str">
        <x:f>IF(AND(ISNUMBER($D28),ISNUMBER($E28),I$4&gt;=$D28,I$4&lt;=$E28,WEEKDAY(I$4,2)&lt;=5,COUNTIF('Sources &amp; Change Log'!$J$2:$J$5,I$4)=0,COUNTIFS('Team Calendar'!$A$5:$A$12,$F28,'Team Calendar'!$C$5:$C$12,I$4)=0),1,"")</x:f>
      </x:c>
      <x:c r="J28" s="107" t="str">
        <x:f>IF(AND(ISNUMBER($D28),ISNUMBER($E28),J$4&gt;=$D28,J$4&lt;=$E28,WEEKDAY(J$4,2)&lt;=5,COUNTIF('Sources &amp; Change Log'!$J$2:$J$5,J$4)=0,COUNTIFS('Team Calendar'!$A$5:$A$12,$F28,'Team Calendar'!$C$5:$C$12,J$4)=0),1,"")</x:f>
      </x:c>
      <x:c r="K28" s="107" t="str">
        <x:f>IF(AND(ISNUMBER($D28),ISNUMBER($E28),K$4&gt;=$D28,K$4&lt;=$E28,WEEKDAY(K$4,2)&lt;=5,COUNTIF('Sources &amp; Change Log'!$J$2:$J$5,K$4)=0,COUNTIFS('Team Calendar'!$A$5:$A$12,$F28,'Team Calendar'!$C$5:$C$12,K$4)=0),1,"")</x:f>
      </x:c>
      <x:c r="L28" s="100" t="str">
        <x:f>IF(AND(ISNUMBER($D28),ISNUMBER($E28),L$4&gt;=$D28,L$4&lt;=$E28,WEEKDAY(L$4,2)&lt;=5,COUNTIF('Sources &amp; Change Log'!$J$2:$J$5,L$4)=0,COUNTIFS('Team Calendar'!$A$5:$A$12,$F28,'Team Calendar'!$C$5:$C$12,L$4)=0),1,"")</x:f>
      </x:c>
      <x:c r="M28" s="101" t="str">
        <x:f>IF(AND(ISNUMBER($D28),ISNUMBER($E28),M$4&gt;=$D28,M$4&lt;=$E28,WEEKDAY(M$4,2)&lt;=5,COUNTIF('Sources &amp; Change Log'!$J$2:$J$5,M$4)=0,COUNTIFS('Team Calendar'!$A$5:$A$12,$F28,'Team Calendar'!$C$5:$C$12,M$4)=0),1,"")</x:f>
      </x:c>
      <x:c r="N28" s="100" t="str">
        <x:f>IF(AND(ISNUMBER($D28),ISNUMBER($E28),N$4&gt;=$D28,N$4&lt;=$E28,WEEKDAY(N$4,2)&lt;=5,COUNTIF('Sources &amp; Change Log'!$J$2:$J$5,N$4)=0,COUNTIFS('Team Calendar'!$A$5:$A$12,$F28,'Team Calendar'!$C$5:$C$12,N$4)=0),1,"")</x:f>
      </x:c>
      <x:c r="O28" s="100" t="str">
        <x:f>IF(AND(ISNUMBER($D28),ISNUMBER($E28),O$4&gt;=$D28,O$4&lt;=$E28,WEEKDAY(O$4,2)&lt;=5,COUNTIF('Sources &amp; Change Log'!$J$2:$J$5,O$4)=0,COUNTIFS('Team Calendar'!$A$5:$A$12,$F28,'Team Calendar'!$C$5:$C$12,O$4)=0),1,"")</x:f>
      </x:c>
      <x:c r="P28" s="100" t="str">
        <x:f>IF(AND(ISNUMBER($D28),ISNUMBER($E28),P$4&gt;=$D28,P$4&lt;=$E28,WEEKDAY(P$4,2)&lt;=5,COUNTIF('Sources &amp; Change Log'!$J$2:$J$5,P$4)=0,COUNTIFS('Team Calendar'!$A$5:$A$12,$F28,'Team Calendar'!$C$5:$C$12,P$4)=0),1,"")</x:f>
      </x:c>
      <x:c r="Q28" s="107" t="str">
        <x:f>IF(AND(ISNUMBER($D28),ISNUMBER($E28),Q$4&gt;=$D28,Q$4&lt;=$E28,WEEKDAY(Q$4,2)&lt;=5,COUNTIF('Sources &amp; Change Log'!$J$2:$J$5,Q$4)=0,COUNTIFS('Team Calendar'!$A$5:$A$12,$F28,'Team Calendar'!$C$5:$C$12,Q$4)=0),1,"")</x:f>
      </x:c>
      <x:c r="R28" s="107" t="str">
        <x:f>IF(AND(ISNUMBER($D28),ISNUMBER($E28),R$4&gt;=$D28,R$4&lt;=$E28,WEEKDAY(R$4,2)&lt;=5,COUNTIF('Sources &amp; Change Log'!$J$2:$J$5,R$4)=0,COUNTIFS('Team Calendar'!$A$5:$A$12,$F28,'Team Calendar'!$C$5:$C$12,R$4)=0),1,"")</x:f>
      </x:c>
      <x:c r="S28" s="100" t="str">
        <x:f>IF(AND(ISNUMBER($D28),ISNUMBER($E28),S$4&gt;=$D28,S$4&lt;=$E28,WEEKDAY(S$4,2)&lt;=5,COUNTIF('Sources &amp; Change Log'!$J$2:$J$5,S$4)=0,COUNTIFS('Team Calendar'!$A$5:$A$12,$F28,'Team Calendar'!$C$5:$C$12,S$4)=0),1,"")</x:f>
      </x:c>
      <x:c r="T28" s="100" t="str">
        <x:f>IF(AND(ISNUMBER($D28),ISNUMBER($E28),T$4&gt;=$D28,T$4&lt;=$E28,WEEKDAY(T$4,2)&lt;=5,COUNTIF('Sources &amp; Change Log'!$J$2:$J$5,T$4)=0,COUNTIFS('Team Calendar'!$A$5:$A$12,$F28,'Team Calendar'!$C$5:$C$12,T$4)=0),1,"")</x:f>
      </x:c>
      <x:c r="U28" s="100" t="str">
        <x:f>IF(AND(ISNUMBER($D28),ISNUMBER($E28),U$4&gt;=$D28,U$4&lt;=$E28,WEEKDAY(U$4,2)&lt;=5,COUNTIF('Sources &amp; Change Log'!$J$2:$J$5,U$4)=0,COUNTIFS('Team Calendar'!$A$5:$A$12,$F28,'Team Calendar'!$C$5:$C$12,U$4)=0),1,"")</x:f>
      </x:c>
      <x:c r="V28" s="100" t="str">
        <x:f>IF(AND(ISNUMBER($D28),ISNUMBER($E28),V$4&gt;=$D28,V$4&lt;=$E28,WEEKDAY(V$4,2)&lt;=5,COUNTIF('Sources &amp; Change Log'!$J$2:$J$5,V$4)=0,COUNTIFS('Team Calendar'!$A$5:$A$12,$F28,'Team Calendar'!$C$5:$C$12,V$4)=0),1,"")</x:f>
      </x:c>
      <x:c r="W28" s="100" t="str">
        <x:f>IF(AND(ISNUMBER($D28),ISNUMBER($E28),W$4&gt;=$D28,W$4&lt;=$E28,WEEKDAY(W$4,2)&lt;=5,COUNTIF('Sources &amp; Change Log'!$J$2:$J$5,W$4)=0,COUNTIFS('Team Calendar'!$A$5:$A$12,$F28,'Team Calendar'!$C$5:$C$12,W$4)=0),1,"")</x:f>
      </x:c>
      <x:c r="X28" s="107" t="str">
        <x:f>IF(AND(ISNUMBER($D28),ISNUMBER($E28),X$4&gt;=$D28,X$4&lt;=$E28,WEEKDAY(X$4,2)&lt;=5,COUNTIF('Sources &amp; Change Log'!$J$2:$J$5,X$4)=0,COUNTIFS('Team Calendar'!$A$5:$A$12,$F28,'Team Calendar'!$C$5:$C$12,X$4)=0),1,"")</x:f>
      </x:c>
      <x:c r="Y28" s="107" t="str">
        <x:f>IF(AND(ISNUMBER($D28),ISNUMBER($E28),Y$4&gt;=$D28,Y$4&lt;=$E28,WEEKDAY(Y$4,2)&lt;=5,COUNTIF('Sources &amp; Change Log'!$J$2:$J$5,Y$4)=0,COUNTIFS('Team Calendar'!$A$5:$A$12,$F28,'Team Calendar'!$C$5:$C$12,Y$4)=0),1,"")</x:f>
      </x:c>
      <x:c r="Z28" s="100" t="str">
        <x:f>IF(AND(ISNUMBER($D28),ISNUMBER($E28),Z$4&gt;=$D28,Z$4&lt;=$E28,WEEKDAY(Z$4,2)&lt;=5,COUNTIF('Sources &amp; Change Log'!$J$2:$J$5,Z$4)=0,COUNTIFS('Team Calendar'!$A$5:$A$12,$F28,'Team Calendar'!$C$5:$C$12,Z$4)=0),1,"")</x:f>
      </x:c>
      <x:c r="AA28" s="100" t="str">
        <x:f>IF(AND(ISNUMBER($D28),ISNUMBER($E28),AA$4&gt;=$D28,AA$4&lt;=$E28,WEEKDAY(AA$4,2)&lt;=5,COUNTIF('Sources &amp; Change Log'!$J$2:$J$5,AA$4)=0,COUNTIFS('Team Calendar'!$A$5:$A$12,$F28,'Team Calendar'!$C$5:$C$12,AA$4)=0),1,"")</x:f>
      </x:c>
      <x:c r="AB28" s="100" t="str">
        <x:f>IF(AND(ISNUMBER($D28),ISNUMBER($E28),AB$4&gt;=$D28,AB$4&lt;=$E28,WEEKDAY(AB$4,2)&lt;=5,COUNTIF('Sources &amp; Change Log'!$J$2:$J$5,AB$4)=0,COUNTIFS('Team Calendar'!$A$5:$A$12,$F28,'Team Calendar'!$C$5:$C$12,AB$4)=0),1,"")</x:f>
      </x:c>
      <x:c r="AC28" s="100" t="str">
        <x:f>IF(AND(ISNUMBER($D28),ISNUMBER($E28),AC$4&gt;=$D28,AC$4&lt;=$E28,WEEKDAY(AC$4,2)&lt;=5,COUNTIF('Sources &amp; Change Log'!$J$2:$J$5,AC$4)=0,COUNTIFS('Team Calendar'!$A$5:$A$12,$F28,'Team Calendar'!$C$5:$C$12,AC$4)=0),1,"")</x:f>
      </x:c>
      <x:c r="AD28" s="100" t="str">
        <x:f>IF(AND(ISNUMBER($D28),ISNUMBER($E28),AD$4&gt;=$D28,AD$4&lt;=$E28,WEEKDAY(AD$4,2)&lt;=5,COUNTIF('Sources &amp; Change Log'!$J$2:$J$5,AD$4)=0,COUNTIFS('Team Calendar'!$A$5:$A$12,$F28,'Team Calendar'!$C$5:$C$12,AD$4)=0),1,"")</x:f>
      </x:c>
      <x:c r="AE28" s="107" t="str">
        <x:f>IF(AND(ISNUMBER($D28),ISNUMBER($E28),AE$4&gt;=$D28,AE$4&lt;=$E28,WEEKDAY(AE$4,2)&lt;=5,COUNTIF('Sources &amp; Change Log'!$J$2:$J$5,AE$4)=0,COUNTIFS('Team Calendar'!$A$5:$A$12,$F28,'Team Calendar'!$C$5:$C$12,AE$4)=0),1,"")</x:f>
      </x:c>
      <x:c r="AF28" s="107" t="str">
        <x:f>IF(AND(ISNUMBER($D28),ISNUMBER($E28),AF$4&gt;=$D28,AF$4&lt;=$E28,WEEKDAY(AF$4,2)&lt;=5,COUNTIF('Sources &amp; Change Log'!$J$2:$J$5,AF$4)=0,COUNTIFS('Team Calendar'!$A$5:$A$12,$F28,'Team Calendar'!$C$5:$C$12,AF$4)=0),1,"")</x:f>
      </x:c>
      <x:c r="AG28" s="100" t="str">
        <x:f>IF(AND(ISNUMBER($D28),ISNUMBER($E28),AG$4&gt;=$D28,AG$4&lt;=$E28,WEEKDAY(AG$4,2)&lt;=5,COUNTIF('Sources &amp; Change Log'!$J$2:$J$5,AG$4)=0,COUNTIFS('Team Calendar'!$A$5:$A$12,$F28,'Team Calendar'!$C$5:$C$12,AG$4)=0),1,"")</x:f>
      </x:c>
      <x:c r="AH28" s="100" t="n">
        <x:f>IF(AND(ISNUMBER($D28),ISNUMBER($E28),AH$4&gt;=$D28,AH$4&lt;=$E28,WEEKDAY(AH$4,2)&lt;=5,COUNTIF('Sources &amp; Change Log'!$J$2:$J$5,AH$4)=0,COUNTIFS('Team Calendar'!$A$5:$A$12,$F28,'Team Calendar'!$C$5:$C$12,AH$4)=0),1,"")</x:f>
        <x:v>1</x:v>
      </x:c>
      <x:c r="AI28" s="100" t="str">
        <x:f>IF(AND(ISNUMBER($D28),ISNUMBER($E28),AI$4&gt;=$D28,AI$4&lt;=$E28,WEEKDAY(AI$4,2)&lt;=5,COUNTIF('Sources &amp; Change Log'!$J$2:$J$5,AI$4)=0,COUNTIFS('Team Calendar'!$A$5:$A$12,$F28,'Team Calendar'!$C$5:$C$12,AI$4)=0),1,"")</x:f>
      </x:c>
    </x:row>
    <x:row r="29" ht="24" customHeight="1">
      <x:c r="A29" s="13" t="str">
        <x:f>WBS!A28</x:f>
        <x:v>P1-REV-01</x:v>
      </x:c>
      <x:c r="B29" s="13" t="str">
        <x:f>WBS!B28</x:f>
        <x:v>Phase 1 Review / Close Execution</x:v>
      </x:c>
      <x:c r="C29" s="13" t="str">
        <x:f>WBS!G28</x:f>
        <x:v>To Do</x:v>
      </x:c>
      <x:c r="D29" s="86" t="n">
        <x:f>IF(WBS!H28="","",WBS!H28)</x:f>
        <x:v>46287</x:v>
      </x:c>
      <x:c r="E29" s="86" t="n">
        <x:f>IF(WBS!I28="","",WBS!I28)</x:f>
        <x:v>46288</x:v>
      </x:c>
      <x:c r="F29" s="13" t="str">
        <x:f>WBS!L28</x:f>
        <x:v>이권욱</x:v>
      </x:c>
      <x:c r="G29" s="100" t="str">
        <x:f>IF(AND(ISNUMBER($D29),ISNUMBER($E29),G$4&gt;=$D29,G$4&lt;=$E29,WEEKDAY(G$4,2)&lt;=5,COUNTIF('Sources &amp; Change Log'!$J$2:$J$5,G$4)=0,COUNTIFS('Team Calendar'!$A$5:$A$12,$F29,'Team Calendar'!$C$5:$C$12,G$4)=0),1,"")</x:f>
      </x:c>
      <x:c r="H29" s="100" t="str">
        <x:f>IF(AND(ISNUMBER($D29),ISNUMBER($E29),H$4&gt;=$D29,H$4&lt;=$E29,WEEKDAY(H$4,2)&lt;=5,COUNTIF('Sources &amp; Change Log'!$J$2:$J$5,H$4)=0,COUNTIFS('Team Calendar'!$A$5:$A$12,$F29,'Team Calendar'!$C$5:$C$12,H$4)=0),1,"")</x:f>
      </x:c>
      <x:c r="I29" s="100" t="str">
        <x:f>IF(AND(ISNUMBER($D29),ISNUMBER($E29),I$4&gt;=$D29,I$4&lt;=$E29,WEEKDAY(I$4,2)&lt;=5,COUNTIF('Sources &amp; Change Log'!$J$2:$J$5,I$4)=0,COUNTIFS('Team Calendar'!$A$5:$A$12,$F29,'Team Calendar'!$C$5:$C$12,I$4)=0),1,"")</x:f>
      </x:c>
      <x:c r="J29" s="107" t="str">
        <x:f>IF(AND(ISNUMBER($D29),ISNUMBER($E29),J$4&gt;=$D29,J$4&lt;=$E29,WEEKDAY(J$4,2)&lt;=5,COUNTIF('Sources &amp; Change Log'!$J$2:$J$5,J$4)=0,COUNTIFS('Team Calendar'!$A$5:$A$12,$F29,'Team Calendar'!$C$5:$C$12,J$4)=0),1,"")</x:f>
      </x:c>
      <x:c r="K29" s="107" t="str">
        <x:f>IF(AND(ISNUMBER($D29),ISNUMBER($E29),K$4&gt;=$D29,K$4&lt;=$E29,WEEKDAY(K$4,2)&lt;=5,COUNTIF('Sources &amp; Change Log'!$J$2:$J$5,K$4)=0,COUNTIFS('Team Calendar'!$A$5:$A$12,$F29,'Team Calendar'!$C$5:$C$12,K$4)=0),1,"")</x:f>
      </x:c>
      <x:c r="L29" s="100" t="str">
        <x:f>IF(AND(ISNUMBER($D29),ISNUMBER($E29),L$4&gt;=$D29,L$4&lt;=$E29,WEEKDAY(L$4,2)&lt;=5,COUNTIF('Sources &amp; Change Log'!$J$2:$J$5,L$4)=0,COUNTIFS('Team Calendar'!$A$5:$A$12,$F29,'Team Calendar'!$C$5:$C$12,L$4)=0),1,"")</x:f>
      </x:c>
      <x:c r="M29" s="101" t="str">
        <x:f>IF(AND(ISNUMBER($D29),ISNUMBER($E29),M$4&gt;=$D29,M$4&lt;=$E29,WEEKDAY(M$4,2)&lt;=5,COUNTIF('Sources &amp; Change Log'!$J$2:$J$5,M$4)=0,COUNTIFS('Team Calendar'!$A$5:$A$12,$F29,'Team Calendar'!$C$5:$C$12,M$4)=0),1,"")</x:f>
      </x:c>
      <x:c r="N29" s="100" t="str">
        <x:f>IF(AND(ISNUMBER($D29),ISNUMBER($E29),N$4&gt;=$D29,N$4&lt;=$E29,WEEKDAY(N$4,2)&lt;=5,COUNTIF('Sources &amp; Change Log'!$J$2:$J$5,N$4)=0,COUNTIFS('Team Calendar'!$A$5:$A$12,$F29,'Team Calendar'!$C$5:$C$12,N$4)=0),1,"")</x:f>
      </x:c>
      <x:c r="O29" s="100" t="str">
        <x:f>IF(AND(ISNUMBER($D29),ISNUMBER($E29),O$4&gt;=$D29,O$4&lt;=$E29,WEEKDAY(O$4,2)&lt;=5,COUNTIF('Sources &amp; Change Log'!$J$2:$J$5,O$4)=0,COUNTIFS('Team Calendar'!$A$5:$A$12,$F29,'Team Calendar'!$C$5:$C$12,O$4)=0),1,"")</x:f>
      </x:c>
      <x:c r="P29" s="100" t="str">
        <x:f>IF(AND(ISNUMBER($D29),ISNUMBER($E29),P$4&gt;=$D29,P$4&lt;=$E29,WEEKDAY(P$4,2)&lt;=5,COUNTIF('Sources &amp; Change Log'!$J$2:$J$5,P$4)=0,COUNTIFS('Team Calendar'!$A$5:$A$12,$F29,'Team Calendar'!$C$5:$C$12,P$4)=0),1,"")</x:f>
      </x:c>
      <x:c r="Q29" s="107" t="str">
        <x:f>IF(AND(ISNUMBER($D29),ISNUMBER($E29),Q$4&gt;=$D29,Q$4&lt;=$E29,WEEKDAY(Q$4,2)&lt;=5,COUNTIF('Sources &amp; Change Log'!$J$2:$J$5,Q$4)=0,COUNTIFS('Team Calendar'!$A$5:$A$12,$F29,'Team Calendar'!$C$5:$C$12,Q$4)=0),1,"")</x:f>
      </x:c>
      <x:c r="R29" s="107" t="str">
        <x:f>IF(AND(ISNUMBER($D29),ISNUMBER($E29),R$4&gt;=$D29,R$4&lt;=$E29,WEEKDAY(R$4,2)&lt;=5,COUNTIF('Sources &amp; Change Log'!$J$2:$J$5,R$4)=0,COUNTIFS('Team Calendar'!$A$5:$A$12,$F29,'Team Calendar'!$C$5:$C$12,R$4)=0),1,"")</x:f>
      </x:c>
      <x:c r="S29" s="100" t="str">
        <x:f>IF(AND(ISNUMBER($D29),ISNUMBER($E29),S$4&gt;=$D29,S$4&lt;=$E29,WEEKDAY(S$4,2)&lt;=5,COUNTIF('Sources &amp; Change Log'!$J$2:$J$5,S$4)=0,COUNTIFS('Team Calendar'!$A$5:$A$12,$F29,'Team Calendar'!$C$5:$C$12,S$4)=0),1,"")</x:f>
      </x:c>
      <x:c r="T29" s="100" t="str">
        <x:f>IF(AND(ISNUMBER($D29),ISNUMBER($E29),T$4&gt;=$D29,T$4&lt;=$E29,WEEKDAY(T$4,2)&lt;=5,COUNTIF('Sources &amp; Change Log'!$J$2:$J$5,T$4)=0,COUNTIFS('Team Calendar'!$A$5:$A$12,$F29,'Team Calendar'!$C$5:$C$12,T$4)=0),1,"")</x:f>
      </x:c>
      <x:c r="U29" s="100" t="str">
        <x:f>IF(AND(ISNUMBER($D29),ISNUMBER($E29),U$4&gt;=$D29,U$4&lt;=$E29,WEEKDAY(U$4,2)&lt;=5,COUNTIF('Sources &amp; Change Log'!$J$2:$J$5,U$4)=0,COUNTIFS('Team Calendar'!$A$5:$A$12,$F29,'Team Calendar'!$C$5:$C$12,U$4)=0),1,"")</x:f>
      </x:c>
      <x:c r="V29" s="100" t="str">
        <x:f>IF(AND(ISNUMBER($D29),ISNUMBER($E29),V$4&gt;=$D29,V$4&lt;=$E29,WEEKDAY(V$4,2)&lt;=5,COUNTIF('Sources &amp; Change Log'!$J$2:$J$5,V$4)=0,COUNTIFS('Team Calendar'!$A$5:$A$12,$F29,'Team Calendar'!$C$5:$C$12,V$4)=0),1,"")</x:f>
      </x:c>
      <x:c r="W29" s="100" t="str">
        <x:f>IF(AND(ISNUMBER($D29),ISNUMBER($E29),W$4&gt;=$D29,W$4&lt;=$E29,WEEKDAY(W$4,2)&lt;=5,COUNTIF('Sources &amp; Change Log'!$J$2:$J$5,W$4)=0,COUNTIFS('Team Calendar'!$A$5:$A$12,$F29,'Team Calendar'!$C$5:$C$12,W$4)=0),1,"")</x:f>
      </x:c>
      <x:c r="X29" s="107" t="str">
        <x:f>IF(AND(ISNUMBER($D29),ISNUMBER($E29),X$4&gt;=$D29,X$4&lt;=$E29,WEEKDAY(X$4,2)&lt;=5,COUNTIF('Sources &amp; Change Log'!$J$2:$J$5,X$4)=0,COUNTIFS('Team Calendar'!$A$5:$A$12,$F29,'Team Calendar'!$C$5:$C$12,X$4)=0),1,"")</x:f>
      </x:c>
      <x:c r="Y29" s="107" t="str">
        <x:f>IF(AND(ISNUMBER($D29),ISNUMBER($E29),Y$4&gt;=$D29,Y$4&lt;=$E29,WEEKDAY(Y$4,2)&lt;=5,COUNTIF('Sources &amp; Change Log'!$J$2:$J$5,Y$4)=0,COUNTIFS('Team Calendar'!$A$5:$A$12,$F29,'Team Calendar'!$C$5:$C$12,Y$4)=0),1,"")</x:f>
      </x:c>
      <x:c r="Z29" s="100" t="str">
        <x:f>IF(AND(ISNUMBER($D29),ISNUMBER($E29),Z$4&gt;=$D29,Z$4&lt;=$E29,WEEKDAY(Z$4,2)&lt;=5,COUNTIF('Sources &amp; Change Log'!$J$2:$J$5,Z$4)=0,COUNTIFS('Team Calendar'!$A$5:$A$12,$F29,'Team Calendar'!$C$5:$C$12,Z$4)=0),1,"")</x:f>
      </x:c>
      <x:c r="AA29" s="100" t="str">
        <x:f>IF(AND(ISNUMBER($D29),ISNUMBER($E29),AA$4&gt;=$D29,AA$4&lt;=$E29,WEEKDAY(AA$4,2)&lt;=5,COUNTIF('Sources &amp; Change Log'!$J$2:$J$5,AA$4)=0,COUNTIFS('Team Calendar'!$A$5:$A$12,$F29,'Team Calendar'!$C$5:$C$12,AA$4)=0),1,"")</x:f>
      </x:c>
      <x:c r="AB29" s="100" t="str">
        <x:f>IF(AND(ISNUMBER($D29),ISNUMBER($E29),AB$4&gt;=$D29,AB$4&lt;=$E29,WEEKDAY(AB$4,2)&lt;=5,COUNTIF('Sources &amp; Change Log'!$J$2:$J$5,AB$4)=0,COUNTIFS('Team Calendar'!$A$5:$A$12,$F29,'Team Calendar'!$C$5:$C$12,AB$4)=0),1,"")</x:f>
      </x:c>
      <x:c r="AC29" s="100" t="str">
        <x:f>IF(AND(ISNUMBER($D29),ISNUMBER($E29),AC$4&gt;=$D29,AC$4&lt;=$E29,WEEKDAY(AC$4,2)&lt;=5,COUNTIF('Sources &amp; Change Log'!$J$2:$J$5,AC$4)=0,COUNTIFS('Team Calendar'!$A$5:$A$12,$F29,'Team Calendar'!$C$5:$C$12,AC$4)=0),1,"")</x:f>
      </x:c>
      <x:c r="AD29" s="100" t="str">
        <x:f>IF(AND(ISNUMBER($D29),ISNUMBER($E29),AD$4&gt;=$D29,AD$4&lt;=$E29,WEEKDAY(AD$4,2)&lt;=5,COUNTIF('Sources &amp; Change Log'!$J$2:$J$5,AD$4)=0,COUNTIFS('Team Calendar'!$A$5:$A$12,$F29,'Team Calendar'!$C$5:$C$12,AD$4)=0),1,"")</x:f>
      </x:c>
      <x:c r="AE29" s="107" t="str">
        <x:f>IF(AND(ISNUMBER($D29),ISNUMBER($E29),AE$4&gt;=$D29,AE$4&lt;=$E29,WEEKDAY(AE$4,2)&lt;=5,COUNTIF('Sources &amp; Change Log'!$J$2:$J$5,AE$4)=0,COUNTIFS('Team Calendar'!$A$5:$A$12,$F29,'Team Calendar'!$C$5:$C$12,AE$4)=0),1,"")</x:f>
      </x:c>
      <x:c r="AF29" s="107" t="str">
        <x:f>IF(AND(ISNUMBER($D29),ISNUMBER($E29),AF$4&gt;=$D29,AF$4&lt;=$E29,WEEKDAY(AF$4,2)&lt;=5,COUNTIF('Sources &amp; Change Log'!$J$2:$J$5,AF$4)=0,COUNTIFS('Team Calendar'!$A$5:$A$12,$F29,'Team Calendar'!$C$5:$C$12,AF$4)=0),1,"")</x:f>
      </x:c>
      <x:c r="AG29" s="100" t="str">
        <x:f>IF(AND(ISNUMBER($D29),ISNUMBER($E29),AG$4&gt;=$D29,AG$4&lt;=$E29,WEEKDAY(AG$4,2)&lt;=5,COUNTIF('Sources &amp; Change Log'!$J$2:$J$5,AG$4)=0,COUNTIFS('Team Calendar'!$A$5:$A$12,$F29,'Team Calendar'!$C$5:$C$12,AG$4)=0),1,"")</x:f>
      </x:c>
      <x:c r="AH29" s="100" t="n">
        <x:f>IF(AND(ISNUMBER($D29),ISNUMBER($E29),AH$4&gt;=$D29,AH$4&lt;=$E29,WEEKDAY(AH$4,2)&lt;=5,COUNTIF('Sources &amp; Change Log'!$J$2:$J$5,AH$4)=0,COUNTIFS('Team Calendar'!$A$5:$A$12,$F29,'Team Calendar'!$C$5:$C$12,AH$4)=0),1,"")</x:f>
        <x:v>1</x:v>
      </x:c>
      <x:c r="AI29" s="100" t="n">
        <x:f>IF(AND(ISNUMBER($D29),ISNUMBER($E29),AI$4&gt;=$D29,AI$4&lt;=$E29,WEEKDAY(AI$4,2)&lt;=5,COUNTIF('Sources &amp; Change Log'!$J$2:$J$5,AI$4)=0,COUNTIFS('Team Calendar'!$A$5:$A$12,$F29,'Team Calendar'!$C$5:$C$12,AI$4)=0),1,"")</x:f>
        <x:v>1</x:v>
      </x:c>
    </x:row>
    <x:row r="30" ht="24" customHeight="1">
      <x:c r="A30" s="13" t="str">
        <x:f>WBS!A29</x:f>
        <x:v>MS-P1-REVIEW-01</x:v>
      </x:c>
      <x:c r="B30" s="13" t="str">
        <x:f>WBS!B29</x:f>
        <x:v>Phase 1 Review</x:v>
      </x:c>
      <x:c r="C30" s="13" t="str">
        <x:f>WBS!G29</x:f>
        <x:v>To Do</x:v>
      </x:c>
      <x:c r="D30" s="86" t="n">
        <x:f>IF(WBS!H29="","",WBS!H29)</x:f>
        <x:v>46287</x:v>
      </x:c>
      <x:c r="E30" s="86" t="n">
        <x:f>IF(WBS!I29="","",WBS!I29)</x:f>
        <x:v>46287</x:v>
      </x:c>
      <x:c r="F30" s="13" t="str">
        <x:f>WBS!L29</x:f>
        <x:v>이권욱</x:v>
      </x:c>
      <x:c r="G30" s="100" t="str">
        <x:f>IF(AND(ISNUMBER($D30),ISNUMBER($E30),G$4&gt;=$D30,G$4&lt;=$E30,WEEKDAY(G$4,2)&lt;=5,COUNTIF('Sources &amp; Change Log'!$J$2:$J$5,G$4)=0,COUNTIFS('Team Calendar'!$A$5:$A$12,$F30,'Team Calendar'!$C$5:$C$12,G$4)=0),1,"")</x:f>
      </x:c>
      <x:c r="H30" s="100" t="str">
        <x:f>IF(AND(ISNUMBER($D30),ISNUMBER($E30),H$4&gt;=$D30,H$4&lt;=$E30,WEEKDAY(H$4,2)&lt;=5,COUNTIF('Sources &amp; Change Log'!$J$2:$J$5,H$4)=0,COUNTIFS('Team Calendar'!$A$5:$A$12,$F30,'Team Calendar'!$C$5:$C$12,H$4)=0),1,"")</x:f>
      </x:c>
      <x:c r="I30" s="100" t="str">
        <x:f>IF(AND(ISNUMBER($D30),ISNUMBER($E30),I$4&gt;=$D30,I$4&lt;=$E30,WEEKDAY(I$4,2)&lt;=5,COUNTIF('Sources &amp; Change Log'!$J$2:$J$5,I$4)=0,COUNTIFS('Team Calendar'!$A$5:$A$12,$F30,'Team Calendar'!$C$5:$C$12,I$4)=0),1,"")</x:f>
      </x:c>
      <x:c r="J30" s="107" t="str">
        <x:f>IF(AND(ISNUMBER($D30),ISNUMBER($E30),J$4&gt;=$D30,J$4&lt;=$E30,WEEKDAY(J$4,2)&lt;=5,COUNTIF('Sources &amp; Change Log'!$J$2:$J$5,J$4)=0,COUNTIFS('Team Calendar'!$A$5:$A$12,$F30,'Team Calendar'!$C$5:$C$12,J$4)=0),1,"")</x:f>
      </x:c>
      <x:c r="K30" s="107" t="str">
        <x:f>IF(AND(ISNUMBER($D30),ISNUMBER($E30),K$4&gt;=$D30,K$4&lt;=$E30,WEEKDAY(K$4,2)&lt;=5,COUNTIF('Sources &amp; Change Log'!$J$2:$J$5,K$4)=0,COUNTIFS('Team Calendar'!$A$5:$A$12,$F30,'Team Calendar'!$C$5:$C$12,K$4)=0),1,"")</x:f>
      </x:c>
      <x:c r="L30" s="100" t="str">
        <x:f>IF(AND(ISNUMBER($D30),ISNUMBER($E30),L$4&gt;=$D30,L$4&lt;=$E30,WEEKDAY(L$4,2)&lt;=5,COUNTIF('Sources &amp; Change Log'!$J$2:$J$5,L$4)=0,COUNTIFS('Team Calendar'!$A$5:$A$12,$F30,'Team Calendar'!$C$5:$C$12,L$4)=0),1,"")</x:f>
      </x:c>
      <x:c r="M30" s="101" t="str">
        <x:f>IF(AND(ISNUMBER($D30),ISNUMBER($E30),M$4&gt;=$D30,M$4&lt;=$E30,WEEKDAY(M$4,2)&lt;=5,COUNTIF('Sources &amp; Change Log'!$J$2:$J$5,M$4)=0,COUNTIFS('Team Calendar'!$A$5:$A$12,$F30,'Team Calendar'!$C$5:$C$12,M$4)=0),1,"")</x:f>
      </x:c>
      <x:c r="N30" s="100" t="str">
        <x:f>IF(AND(ISNUMBER($D30),ISNUMBER($E30),N$4&gt;=$D30,N$4&lt;=$E30,WEEKDAY(N$4,2)&lt;=5,COUNTIF('Sources &amp; Change Log'!$J$2:$J$5,N$4)=0,COUNTIFS('Team Calendar'!$A$5:$A$12,$F30,'Team Calendar'!$C$5:$C$12,N$4)=0),1,"")</x:f>
      </x:c>
      <x:c r="O30" s="100" t="str">
        <x:f>IF(AND(ISNUMBER($D30),ISNUMBER($E30),O$4&gt;=$D30,O$4&lt;=$E30,WEEKDAY(O$4,2)&lt;=5,COUNTIF('Sources &amp; Change Log'!$J$2:$J$5,O$4)=0,COUNTIFS('Team Calendar'!$A$5:$A$12,$F30,'Team Calendar'!$C$5:$C$12,O$4)=0),1,"")</x:f>
      </x:c>
      <x:c r="P30" s="100" t="str">
        <x:f>IF(AND(ISNUMBER($D30),ISNUMBER($E30),P$4&gt;=$D30,P$4&lt;=$E30,WEEKDAY(P$4,2)&lt;=5,COUNTIF('Sources &amp; Change Log'!$J$2:$J$5,P$4)=0,COUNTIFS('Team Calendar'!$A$5:$A$12,$F30,'Team Calendar'!$C$5:$C$12,P$4)=0),1,"")</x:f>
      </x:c>
      <x:c r="Q30" s="107" t="str">
        <x:f>IF(AND(ISNUMBER($D30),ISNUMBER($E30),Q$4&gt;=$D30,Q$4&lt;=$E30,WEEKDAY(Q$4,2)&lt;=5,COUNTIF('Sources &amp; Change Log'!$J$2:$J$5,Q$4)=0,COUNTIFS('Team Calendar'!$A$5:$A$12,$F30,'Team Calendar'!$C$5:$C$12,Q$4)=0),1,"")</x:f>
      </x:c>
      <x:c r="R30" s="107" t="str">
        <x:f>IF(AND(ISNUMBER($D30),ISNUMBER($E30),R$4&gt;=$D30,R$4&lt;=$E30,WEEKDAY(R$4,2)&lt;=5,COUNTIF('Sources &amp; Change Log'!$J$2:$J$5,R$4)=0,COUNTIFS('Team Calendar'!$A$5:$A$12,$F30,'Team Calendar'!$C$5:$C$12,R$4)=0),1,"")</x:f>
      </x:c>
      <x:c r="S30" s="100" t="str">
        <x:f>IF(AND(ISNUMBER($D30),ISNUMBER($E30),S$4&gt;=$D30,S$4&lt;=$E30,WEEKDAY(S$4,2)&lt;=5,COUNTIF('Sources &amp; Change Log'!$J$2:$J$5,S$4)=0,COUNTIFS('Team Calendar'!$A$5:$A$12,$F30,'Team Calendar'!$C$5:$C$12,S$4)=0),1,"")</x:f>
      </x:c>
      <x:c r="T30" s="100" t="str">
        <x:f>IF(AND(ISNUMBER($D30),ISNUMBER($E30),T$4&gt;=$D30,T$4&lt;=$E30,WEEKDAY(T$4,2)&lt;=5,COUNTIF('Sources &amp; Change Log'!$J$2:$J$5,T$4)=0,COUNTIFS('Team Calendar'!$A$5:$A$12,$F30,'Team Calendar'!$C$5:$C$12,T$4)=0),1,"")</x:f>
      </x:c>
      <x:c r="U30" s="100" t="str">
        <x:f>IF(AND(ISNUMBER($D30),ISNUMBER($E30),U$4&gt;=$D30,U$4&lt;=$E30,WEEKDAY(U$4,2)&lt;=5,COUNTIF('Sources &amp; Change Log'!$J$2:$J$5,U$4)=0,COUNTIFS('Team Calendar'!$A$5:$A$12,$F30,'Team Calendar'!$C$5:$C$12,U$4)=0),1,"")</x:f>
      </x:c>
      <x:c r="V30" s="100" t="str">
        <x:f>IF(AND(ISNUMBER($D30),ISNUMBER($E30),V$4&gt;=$D30,V$4&lt;=$E30,WEEKDAY(V$4,2)&lt;=5,COUNTIF('Sources &amp; Change Log'!$J$2:$J$5,V$4)=0,COUNTIFS('Team Calendar'!$A$5:$A$12,$F30,'Team Calendar'!$C$5:$C$12,V$4)=0),1,"")</x:f>
      </x:c>
      <x:c r="W30" s="100" t="str">
        <x:f>IF(AND(ISNUMBER($D30),ISNUMBER($E30),W$4&gt;=$D30,W$4&lt;=$E30,WEEKDAY(W$4,2)&lt;=5,COUNTIF('Sources &amp; Change Log'!$J$2:$J$5,W$4)=0,COUNTIFS('Team Calendar'!$A$5:$A$12,$F30,'Team Calendar'!$C$5:$C$12,W$4)=0),1,"")</x:f>
      </x:c>
      <x:c r="X30" s="107" t="str">
        <x:f>IF(AND(ISNUMBER($D30),ISNUMBER($E30),X$4&gt;=$D30,X$4&lt;=$E30,WEEKDAY(X$4,2)&lt;=5,COUNTIF('Sources &amp; Change Log'!$J$2:$J$5,X$4)=0,COUNTIFS('Team Calendar'!$A$5:$A$12,$F30,'Team Calendar'!$C$5:$C$12,X$4)=0),1,"")</x:f>
      </x:c>
      <x:c r="Y30" s="107" t="str">
        <x:f>IF(AND(ISNUMBER($D30),ISNUMBER($E30),Y$4&gt;=$D30,Y$4&lt;=$E30,WEEKDAY(Y$4,2)&lt;=5,COUNTIF('Sources &amp; Change Log'!$J$2:$J$5,Y$4)=0,COUNTIFS('Team Calendar'!$A$5:$A$12,$F30,'Team Calendar'!$C$5:$C$12,Y$4)=0),1,"")</x:f>
      </x:c>
      <x:c r="Z30" s="100" t="str">
        <x:f>IF(AND(ISNUMBER($D30),ISNUMBER($E30),Z$4&gt;=$D30,Z$4&lt;=$E30,WEEKDAY(Z$4,2)&lt;=5,COUNTIF('Sources &amp; Change Log'!$J$2:$J$5,Z$4)=0,COUNTIFS('Team Calendar'!$A$5:$A$12,$F30,'Team Calendar'!$C$5:$C$12,Z$4)=0),1,"")</x:f>
      </x:c>
      <x:c r="AA30" s="100" t="str">
        <x:f>IF(AND(ISNUMBER($D30),ISNUMBER($E30),AA$4&gt;=$D30,AA$4&lt;=$E30,WEEKDAY(AA$4,2)&lt;=5,COUNTIF('Sources &amp; Change Log'!$J$2:$J$5,AA$4)=0,COUNTIFS('Team Calendar'!$A$5:$A$12,$F30,'Team Calendar'!$C$5:$C$12,AA$4)=0),1,"")</x:f>
      </x:c>
      <x:c r="AB30" s="100" t="str">
        <x:f>IF(AND(ISNUMBER($D30),ISNUMBER($E30),AB$4&gt;=$D30,AB$4&lt;=$E30,WEEKDAY(AB$4,2)&lt;=5,COUNTIF('Sources &amp; Change Log'!$J$2:$J$5,AB$4)=0,COUNTIFS('Team Calendar'!$A$5:$A$12,$F30,'Team Calendar'!$C$5:$C$12,AB$4)=0),1,"")</x:f>
      </x:c>
      <x:c r="AC30" s="100" t="str">
        <x:f>IF(AND(ISNUMBER($D30),ISNUMBER($E30),AC$4&gt;=$D30,AC$4&lt;=$E30,WEEKDAY(AC$4,2)&lt;=5,COUNTIF('Sources &amp; Change Log'!$J$2:$J$5,AC$4)=0,COUNTIFS('Team Calendar'!$A$5:$A$12,$F30,'Team Calendar'!$C$5:$C$12,AC$4)=0),1,"")</x:f>
      </x:c>
      <x:c r="AD30" s="100" t="str">
        <x:f>IF(AND(ISNUMBER($D30),ISNUMBER($E30),AD$4&gt;=$D30,AD$4&lt;=$E30,WEEKDAY(AD$4,2)&lt;=5,COUNTIF('Sources &amp; Change Log'!$J$2:$J$5,AD$4)=0,COUNTIFS('Team Calendar'!$A$5:$A$12,$F30,'Team Calendar'!$C$5:$C$12,AD$4)=0),1,"")</x:f>
      </x:c>
      <x:c r="AE30" s="107" t="str">
        <x:f>IF(AND(ISNUMBER($D30),ISNUMBER($E30),AE$4&gt;=$D30,AE$4&lt;=$E30,WEEKDAY(AE$4,2)&lt;=5,COUNTIF('Sources &amp; Change Log'!$J$2:$J$5,AE$4)=0,COUNTIFS('Team Calendar'!$A$5:$A$12,$F30,'Team Calendar'!$C$5:$C$12,AE$4)=0),1,"")</x:f>
      </x:c>
      <x:c r="AF30" s="107" t="str">
        <x:f>IF(AND(ISNUMBER($D30),ISNUMBER($E30),AF$4&gt;=$D30,AF$4&lt;=$E30,WEEKDAY(AF$4,2)&lt;=5,COUNTIF('Sources &amp; Change Log'!$J$2:$J$5,AF$4)=0,COUNTIFS('Team Calendar'!$A$5:$A$12,$F30,'Team Calendar'!$C$5:$C$12,AF$4)=0),1,"")</x:f>
      </x:c>
      <x:c r="AG30" s="100" t="str">
        <x:f>IF(AND(ISNUMBER($D30),ISNUMBER($E30),AG$4&gt;=$D30,AG$4&lt;=$E30,WEEKDAY(AG$4,2)&lt;=5,COUNTIF('Sources &amp; Change Log'!$J$2:$J$5,AG$4)=0,COUNTIFS('Team Calendar'!$A$5:$A$12,$F30,'Team Calendar'!$C$5:$C$12,AG$4)=0),1,"")</x:f>
      </x:c>
      <x:c r="AH30" s="100" t="n">
        <x:f>IF(AND(ISNUMBER($D30),ISNUMBER($E30),AH$4&gt;=$D30,AH$4&lt;=$E30,WEEKDAY(AH$4,2)&lt;=5,COUNTIF('Sources &amp; Change Log'!$J$2:$J$5,AH$4)=0,COUNTIFS('Team Calendar'!$A$5:$A$12,$F30,'Team Calendar'!$C$5:$C$12,AH$4)=0),1,"")</x:f>
        <x:v>1</x:v>
      </x:c>
      <x:c r="AI30" s="100" t="str">
        <x:f>IF(AND(ISNUMBER($D30),ISNUMBER($E30),AI$4&gt;=$D30,AI$4&lt;=$E30,WEEKDAY(AI$4,2)&lt;=5,COUNTIF('Sources &amp; Change Log'!$J$2:$J$5,AI$4)=0,COUNTIFS('Team Calendar'!$A$5:$A$12,$F30,'Team Calendar'!$C$5:$C$12,AI$4)=0),1,"")</x:f>
      </x:c>
    </x:row>
    <x:row r="31" ht="28" customHeight="1">
      <x:c r="A31" t="str">
        <x:f>WBS!A30</x:f>
        <x:v>MS-P1-CLOSE-01</x:v>
      </x:c>
      <x:c r="B31" t="str">
        <x:f>WBS!B30</x:f>
        <x:v>Phase 1 Close</x:v>
      </x:c>
      <x:c r="C31" t="str">
        <x:f>WBS!G30</x:f>
        <x:v>To Do</x:v>
      </x:c>
      <x:c r="D31" s="87" t="n">
        <x:f>IF(WBS!H30="","",WBS!H30)</x:f>
        <x:v>46288</x:v>
      </x:c>
      <x:c r="E31" s="87" t="n">
        <x:f>IF(WBS!I30="","",WBS!I30)</x:f>
        <x:v>46288</x:v>
      </x:c>
      <x:c r="F31" t="str">
        <x:f>WBS!L30</x:f>
        <x:v>이권욱</x:v>
      </x:c>
      <x:c r="G31" s="104" t="str">
        <x:f>IF(AND(ISNUMBER($D31),ISNUMBER($E31),G$4&gt;=$D31,G$4&lt;=$E31,WEEKDAY(G$4,2)&lt;=5,COUNTIF('Sources &amp; Change Log'!$J$2:$J$5,G$4)=0,COUNTIFS('Team Calendar'!$A$5:$A$12,$F31,'Team Calendar'!$C$5:$C$12,G$4)=0),1,"")</x:f>
      </x:c>
      <x:c r="H31" s="104" t="str">
        <x:f>IF(AND(ISNUMBER($D31),ISNUMBER($E31),H$4&gt;=$D31,H$4&lt;=$E31,WEEKDAY(H$4,2)&lt;=5,COUNTIF('Sources &amp; Change Log'!$J$2:$J$5,H$4)=0,COUNTIFS('Team Calendar'!$A$5:$A$12,$F31,'Team Calendar'!$C$5:$C$12,H$4)=0),1,"")</x:f>
      </x:c>
      <x:c r="I31" s="104" t="str">
        <x:f>IF(AND(ISNUMBER($D31),ISNUMBER($E31),I$4&gt;=$D31,I$4&lt;=$E31,WEEKDAY(I$4,2)&lt;=5,COUNTIF('Sources &amp; Change Log'!$J$2:$J$5,I$4)=0,COUNTIFS('Team Calendar'!$A$5:$A$12,$F31,'Team Calendar'!$C$5:$C$12,I$4)=0),1,"")</x:f>
      </x:c>
      <x:c r="J31" s="108" t="str">
        <x:f>IF(AND(ISNUMBER($D31),ISNUMBER($E31),J$4&gt;=$D31,J$4&lt;=$E31,WEEKDAY(J$4,2)&lt;=5,COUNTIF('Sources &amp; Change Log'!$J$2:$J$5,J$4)=0,COUNTIFS('Team Calendar'!$A$5:$A$12,$F31,'Team Calendar'!$C$5:$C$12,J$4)=0),1,"")</x:f>
      </x:c>
      <x:c r="K31" s="108" t="str">
        <x:f>IF(AND(ISNUMBER($D31),ISNUMBER($E31),K$4&gt;=$D31,K$4&lt;=$E31,WEEKDAY(K$4,2)&lt;=5,COUNTIF('Sources &amp; Change Log'!$J$2:$J$5,K$4)=0,COUNTIFS('Team Calendar'!$A$5:$A$12,$F31,'Team Calendar'!$C$5:$C$12,K$4)=0),1,"")</x:f>
      </x:c>
      <x:c r="L31" s="104" t="str">
        <x:f>IF(AND(ISNUMBER($D31),ISNUMBER($E31),L$4&gt;=$D31,L$4&lt;=$E31,WEEKDAY(L$4,2)&lt;=5,COUNTIF('Sources &amp; Change Log'!$J$2:$J$5,L$4)=0,COUNTIFS('Team Calendar'!$A$5:$A$12,$F31,'Team Calendar'!$C$5:$C$12,L$4)=0),1,"")</x:f>
      </x:c>
      <x:c r="M31" s="104" t="str">
        <x:f>IF(AND(ISNUMBER($D31),ISNUMBER($E31),M$4&gt;=$D31,M$4&lt;=$E31,WEEKDAY(M$4,2)&lt;=5,COUNTIF('Sources &amp; Change Log'!$J$2:$J$5,M$4)=0,COUNTIFS('Team Calendar'!$A$5:$A$12,$F31,'Team Calendar'!$C$5:$C$12,M$4)=0),1,"")</x:f>
      </x:c>
      <x:c r="N31" s="104" t="str">
        <x:f>IF(AND(ISNUMBER($D31),ISNUMBER($E31),N$4&gt;=$D31,N$4&lt;=$E31,WEEKDAY(N$4,2)&lt;=5,COUNTIF('Sources &amp; Change Log'!$J$2:$J$5,N$4)=0,COUNTIFS('Team Calendar'!$A$5:$A$12,$F31,'Team Calendar'!$C$5:$C$12,N$4)=0),1,"")</x:f>
      </x:c>
      <x:c r="O31" s="104" t="str">
        <x:f>IF(AND(ISNUMBER($D31),ISNUMBER($E31),O$4&gt;=$D31,O$4&lt;=$E31,WEEKDAY(O$4,2)&lt;=5,COUNTIF('Sources &amp; Change Log'!$J$2:$J$5,O$4)=0,COUNTIFS('Team Calendar'!$A$5:$A$12,$F31,'Team Calendar'!$C$5:$C$12,O$4)=0),1,"")</x:f>
      </x:c>
      <x:c r="P31" s="104" t="str">
        <x:f>IF(AND(ISNUMBER($D31),ISNUMBER($E31),P$4&gt;=$D31,P$4&lt;=$E31,WEEKDAY(P$4,2)&lt;=5,COUNTIF('Sources &amp; Change Log'!$J$2:$J$5,P$4)=0,COUNTIFS('Team Calendar'!$A$5:$A$12,$F31,'Team Calendar'!$C$5:$C$12,P$4)=0),1,"")</x:f>
      </x:c>
      <x:c r="Q31" s="108" t="str">
        <x:f>IF(AND(ISNUMBER($D31),ISNUMBER($E31),Q$4&gt;=$D31,Q$4&lt;=$E31,WEEKDAY(Q$4,2)&lt;=5,COUNTIF('Sources &amp; Change Log'!$J$2:$J$5,Q$4)=0,COUNTIFS('Team Calendar'!$A$5:$A$12,$F31,'Team Calendar'!$C$5:$C$12,Q$4)=0),1,"")</x:f>
      </x:c>
      <x:c r="R31" s="108" t="str">
        <x:f>IF(AND(ISNUMBER($D31),ISNUMBER($E31),R$4&gt;=$D31,R$4&lt;=$E31,WEEKDAY(R$4,2)&lt;=5,COUNTIF('Sources &amp; Change Log'!$J$2:$J$5,R$4)=0,COUNTIFS('Team Calendar'!$A$5:$A$12,$F31,'Team Calendar'!$C$5:$C$12,R$4)=0),1,"")</x:f>
      </x:c>
      <x:c r="S31" s="104" t="str">
        <x:f>IF(AND(ISNUMBER($D31),ISNUMBER($E31),S$4&gt;=$D31,S$4&lt;=$E31,WEEKDAY(S$4,2)&lt;=5,COUNTIF('Sources &amp; Change Log'!$J$2:$J$5,S$4)=0,COUNTIFS('Team Calendar'!$A$5:$A$12,$F31,'Team Calendar'!$C$5:$C$12,S$4)=0),1,"")</x:f>
      </x:c>
      <x:c r="T31" s="104" t="str">
        <x:f>IF(AND(ISNUMBER($D31),ISNUMBER($E31),T$4&gt;=$D31,T$4&lt;=$E31,WEEKDAY(T$4,2)&lt;=5,COUNTIF('Sources &amp; Change Log'!$J$2:$J$5,T$4)=0,COUNTIFS('Team Calendar'!$A$5:$A$12,$F31,'Team Calendar'!$C$5:$C$12,T$4)=0),1,"")</x:f>
      </x:c>
      <x:c r="U31" s="104" t="str">
        <x:f>IF(AND(ISNUMBER($D31),ISNUMBER($E31),U$4&gt;=$D31,U$4&lt;=$E31,WEEKDAY(U$4,2)&lt;=5,COUNTIF('Sources &amp; Change Log'!$J$2:$J$5,U$4)=0,COUNTIFS('Team Calendar'!$A$5:$A$12,$F31,'Team Calendar'!$C$5:$C$12,U$4)=0),1,"")</x:f>
      </x:c>
      <x:c r="V31" s="104" t="str">
        <x:f>IF(AND(ISNUMBER($D31),ISNUMBER($E31),V$4&gt;=$D31,V$4&lt;=$E31,WEEKDAY(V$4,2)&lt;=5,COUNTIF('Sources &amp; Change Log'!$J$2:$J$5,V$4)=0,COUNTIFS('Team Calendar'!$A$5:$A$12,$F31,'Team Calendar'!$C$5:$C$12,V$4)=0),1,"")</x:f>
      </x:c>
      <x:c r="W31" s="104" t="str">
        <x:f>IF(AND(ISNUMBER($D31),ISNUMBER($E31),W$4&gt;=$D31,W$4&lt;=$E31,WEEKDAY(W$4,2)&lt;=5,COUNTIF('Sources &amp; Change Log'!$J$2:$J$5,W$4)=0,COUNTIFS('Team Calendar'!$A$5:$A$12,$F31,'Team Calendar'!$C$5:$C$12,W$4)=0),1,"")</x:f>
      </x:c>
      <x:c r="X31" s="108" t="str">
        <x:f>IF(AND(ISNUMBER($D31),ISNUMBER($E31),X$4&gt;=$D31,X$4&lt;=$E31,WEEKDAY(X$4,2)&lt;=5,COUNTIF('Sources &amp; Change Log'!$J$2:$J$5,X$4)=0,COUNTIFS('Team Calendar'!$A$5:$A$12,$F31,'Team Calendar'!$C$5:$C$12,X$4)=0),1,"")</x:f>
      </x:c>
      <x:c r="Y31" s="108" t="str">
        <x:f>IF(AND(ISNUMBER($D31),ISNUMBER($E31),Y$4&gt;=$D31,Y$4&lt;=$E31,WEEKDAY(Y$4,2)&lt;=5,COUNTIF('Sources &amp; Change Log'!$J$2:$J$5,Y$4)=0,COUNTIFS('Team Calendar'!$A$5:$A$12,$F31,'Team Calendar'!$C$5:$C$12,Y$4)=0),1,"")</x:f>
      </x:c>
      <x:c r="Z31" s="104" t="str">
        <x:f>IF(AND(ISNUMBER($D31),ISNUMBER($E31),Z$4&gt;=$D31,Z$4&lt;=$E31,WEEKDAY(Z$4,2)&lt;=5,COUNTIF('Sources &amp; Change Log'!$J$2:$J$5,Z$4)=0,COUNTIFS('Team Calendar'!$A$5:$A$12,$F31,'Team Calendar'!$C$5:$C$12,Z$4)=0),1,"")</x:f>
      </x:c>
      <x:c r="AA31" s="104" t="str">
        <x:f>IF(AND(ISNUMBER($D31),ISNUMBER($E31),AA$4&gt;=$D31,AA$4&lt;=$E31,WEEKDAY(AA$4,2)&lt;=5,COUNTIF('Sources &amp; Change Log'!$J$2:$J$5,AA$4)=0,COUNTIFS('Team Calendar'!$A$5:$A$12,$F31,'Team Calendar'!$C$5:$C$12,AA$4)=0),1,"")</x:f>
      </x:c>
      <x:c r="AB31" s="104" t="str">
        <x:f>IF(AND(ISNUMBER($D31),ISNUMBER($E31),AB$4&gt;=$D31,AB$4&lt;=$E31,WEEKDAY(AB$4,2)&lt;=5,COUNTIF('Sources &amp; Change Log'!$J$2:$J$5,AB$4)=0,COUNTIFS('Team Calendar'!$A$5:$A$12,$F31,'Team Calendar'!$C$5:$C$12,AB$4)=0),1,"")</x:f>
      </x:c>
      <x:c r="AC31" s="104" t="str">
        <x:f>IF(AND(ISNUMBER($D31),ISNUMBER($E31),AC$4&gt;=$D31,AC$4&lt;=$E31,WEEKDAY(AC$4,2)&lt;=5,COUNTIF('Sources &amp; Change Log'!$J$2:$J$5,AC$4)=0,COUNTIFS('Team Calendar'!$A$5:$A$12,$F31,'Team Calendar'!$C$5:$C$12,AC$4)=0),1,"")</x:f>
      </x:c>
      <x:c r="AD31" s="104" t="str">
        <x:f>IF(AND(ISNUMBER($D31),ISNUMBER($E31),AD$4&gt;=$D31,AD$4&lt;=$E31,WEEKDAY(AD$4,2)&lt;=5,COUNTIF('Sources &amp; Change Log'!$J$2:$J$5,AD$4)=0,COUNTIFS('Team Calendar'!$A$5:$A$12,$F31,'Team Calendar'!$C$5:$C$12,AD$4)=0),1,"")</x:f>
      </x:c>
      <x:c r="AE31" s="108" t="str">
        <x:f>IF(AND(ISNUMBER($D31),ISNUMBER($E31),AE$4&gt;=$D31,AE$4&lt;=$E31,WEEKDAY(AE$4,2)&lt;=5,COUNTIF('Sources &amp; Change Log'!$J$2:$J$5,AE$4)=0,COUNTIFS('Team Calendar'!$A$5:$A$12,$F31,'Team Calendar'!$C$5:$C$12,AE$4)=0),1,"")</x:f>
      </x:c>
      <x:c r="AF31" s="108" t="str">
        <x:f>IF(AND(ISNUMBER($D31),ISNUMBER($E31),AF$4&gt;=$D31,AF$4&lt;=$E31,WEEKDAY(AF$4,2)&lt;=5,COUNTIF('Sources &amp; Change Log'!$J$2:$J$5,AF$4)=0,COUNTIFS('Team Calendar'!$A$5:$A$12,$F31,'Team Calendar'!$C$5:$C$12,AF$4)=0),1,"")</x:f>
      </x:c>
      <x:c r="AG31" s="104" t="str">
        <x:f>IF(AND(ISNUMBER($D31),ISNUMBER($E31),AG$4&gt;=$D31,AG$4&lt;=$E31,WEEKDAY(AG$4,2)&lt;=5,COUNTIF('Sources &amp; Change Log'!$J$2:$J$5,AG$4)=0,COUNTIFS('Team Calendar'!$A$5:$A$12,$F31,'Team Calendar'!$C$5:$C$12,AG$4)=0),1,"")</x:f>
      </x:c>
      <x:c r="AH31" s="104" t="str">
        <x:f>IF(AND(ISNUMBER($D31),ISNUMBER($E31),AH$4&gt;=$D31,AH$4&lt;=$E31,WEEKDAY(AH$4,2)&lt;=5,COUNTIF('Sources &amp; Change Log'!$J$2:$J$5,AH$4)=0,COUNTIFS('Team Calendar'!$A$5:$A$12,$F31,'Team Calendar'!$C$5:$C$12,AH$4)=0),1,"")</x:f>
      </x:c>
      <x:c r="AI31" s="105" t="n">
        <x:f>IF(AND(ISNUMBER($D31),ISNUMBER($E31),AI$4&gt;=$D31,AI$4&lt;=$E31,WEEKDAY(AI$4,2)&lt;=5,COUNTIF('Sources &amp; Change Log'!$J$2:$J$5,AI$4)=0,COUNTIFS('Team Calendar'!$A$5:$A$12,$F31,'Team Calendar'!$C$5:$C$12,AI$4)=0),1,"")</x:f>
        <x:v>1</x:v>
      </x:c>
    </x:row>
    <x:row r="32" ht="28" customHeight="1">
      <x:c r="A32" t="str">
        <x:f>WBS!A56</x:f>
        <x:v>DEC-P1-FDS-01</x:v>
      </x:c>
      <x:c r="B32" t="str">
        <x:f>WBS!B56</x:f>
        <x:v>거래 보류 도입 범위·판정·평가 실패·Gate 편입 결정</x:v>
      </x:c>
      <x:c r="C32" t="str">
        <x:f>WBS!G56</x:f>
        <x:v>Done</x:v>
      </x:c>
      <x:c r="D32" s="87" t="n">
        <x:f>IF(WBS!H56="","",WBS!H56)</x:f>
        <x:v>46273</x:v>
      </x:c>
      <x:c r="E32" s="87" t="n">
        <x:f>IF(WBS!I56="","",WBS!I56)</x:f>
        <x:v>46274</x:v>
      </x:c>
      <x:c r="F32" t="str">
        <x:f>WBS!L56</x:f>
        <x:v>이재환</x:v>
      </x:c>
      <x:c r="G32" s="104" t="str">
        <x:f>IF(AND(ISNUMBER($D32),ISNUMBER($E32),G$4&gt;=$D32,G$4&lt;=$E32,WEEKDAY(G$4,2)&lt;=5,COUNTIF('Sources &amp; Change Log'!$J$2:$J$5,G$4)=0,COUNTIFS('Team Calendar'!$A$5:$A$12,$F32,'Team Calendar'!$C$5:$C$12,G$4)=0),1,"")</x:f>
      </x:c>
      <x:c r="H32" s="104" t="str">
        <x:f>IF(AND(ISNUMBER($D32),ISNUMBER($E32),H$4&gt;=$D32,H$4&lt;=$E32,WEEKDAY(H$4,2)&lt;=5,COUNTIF('Sources &amp; Change Log'!$J$2:$J$5,H$4)=0,COUNTIFS('Team Calendar'!$A$5:$A$12,$F32,'Team Calendar'!$C$5:$C$12,H$4)=0),1,"")</x:f>
      </x:c>
      <x:c r="I32" s="104" t="str">
        <x:f>IF(AND(ISNUMBER($D32),ISNUMBER($E32),I$4&gt;=$D32,I$4&lt;=$E32,WEEKDAY(I$4,2)&lt;=5,COUNTIF('Sources &amp; Change Log'!$J$2:$J$5,I$4)=0,COUNTIFS('Team Calendar'!$A$5:$A$12,$F32,'Team Calendar'!$C$5:$C$12,I$4)=0),1,"")</x:f>
      </x:c>
      <x:c r="J32" s="108" t="str">
        <x:f>IF(AND(ISNUMBER($D32),ISNUMBER($E32),J$4&gt;=$D32,J$4&lt;=$E32,WEEKDAY(J$4,2)&lt;=5,COUNTIF('Sources &amp; Change Log'!$J$2:$J$5,J$4)=0,COUNTIFS('Team Calendar'!$A$5:$A$12,$F32,'Team Calendar'!$C$5:$C$12,J$4)=0),1,"")</x:f>
      </x:c>
      <x:c r="K32" s="108" t="str">
        <x:f>IF(AND(ISNUMBER($D32),ISNUMBER($E32),K$4&gt;=$D32,K$4&lt;=$E32,WEEKDAY(K$4,2)&lt;=5,COUNTIF('Sources &amp; Change Log'!$J$2:$J$5,K$4)=0,COUNTIFS('Team Calendar'!$A$5:$A$12,$F32,'Team Calendar'!$C$5:$C$12,K$4)=0),1,"")</x:f>
      </x:c>
      <x:c r="L32" s="104" t="str">
        <x:f>IF(AND(ISNUMBER($D32),ISNUMBER($E32),L$4&gt;=$D32,L$4&lt;=$E32,WEEKDAY(L$4,2)&lt;=5,COUNTIF('Sources &amp; Change Log'!$J$2:$J$5,L$4)=0,COUNTIFS('Team Calendar'!$A$5:$A$12,$F32,'Team Calendar'!$C$5:$C$12,L$4)=0),1,"")</x:f>
      </x:c>
      <x:c r="M32" s="104" t="str">
        <x:f>IF(AND(ISNUMBER($D32),ISNUMBER($E32),M$4&gt;=$D32,M$4&lt;=$E32,WEEKDAY(M$4,2)&lt;=5,COUNTIF('Sources &amp; Change Log'!$J$2:$J$5,M$4)=0,COUNTIFS('Team Calendar'!$A$5:$A$12,$F32,'Team Calendar'!$C$5:$C$12,M$4)=0),1,"")</x:f>
      </x:c>
      <x:c r="N32" s="104" t="str">
        <x:f>IF(AND(ISNUMBER($D32),ISNUMBER($E32),N$4&gt;=$D32,N$4&lt;=$E32,WEEKDAY(N$4,2)&lt;=5,COUNTIF('Sources &amp; Change Log'!$J$2:$J$5,N$4)=0,COUNTIFS('Team Calendar'!$A$5:$A$12,$F32,'Team Calendar'!$C$5:$C$12,N$4)=0),1,"")</x:f>
      </x:c>
      <x:c r="O32" s="104" t="str">
        <x:f>IF(AND(ISNUMBER($D32),ISNUMBER($E32),O$4&gt;=$D32,O$4&lt;=$E32,WEEKDAY(O$4,2)&lt;=5,COUNTIF('Sources &amp; Change Log'!$J$2:$J$5,O$4)=0,COUNTIFS('Team Calendar'!$A$5:$A$12,$F32,'Team Calendar'!$C$5:$C$12,O$4)=0),1,"")</x:f>
      </x:c>
      <x:c r="P32" s="104" t="str">
        <x:f>IF(AND(ISNUMBER($D32),ISNUMBER($E32),P$4&gt;=$D32,P$4&lt;=$E32,WEEKDAY(P$4,2)&lt;=5,COUNTIF('Sources &amp; Change Log'!$J$2:$J$5,P$4)=0,COUNTIFS('Team Calendar'!$A$5:$A$12,$F32,'Team Calendar'!$C$5:$C$12,P$4)=0),1,"")</x:f>
      </x:c>
      <x:c r="Q32" s="108" t="str">
        <x:f>IF(AND(ISNUMBER($D32),ISNUMBER($E32),Q$4&gt;=$D32,Q$4&lt;=$E32,WEEKDAY(Q$4,2)&lt;=5,COUNTIF('Sources &amp; Change Log'!$J$2:$J$5,Q$4)=0,COUNTIFS('Team Calendar'!$A$5:$A$12,$F32,'Team Calendar'!$C$5:$C$12,Q$4)=0),1,"")</x:f>
      </x:c>
      <x:c r="R32" s="108" t="str">
        <x:f>IF(AND(ISNUMBER($D32),ISNUMBER($E32),R$4&gt;=$D32,R$4&lt;=$E32,WEEKDAY(R$4,2)&lt;=5,COUNTIF('Sources &amp; Change Log'!$J$2:$J$5,R$4)=0,COUNTIFS('Team Calendar'!$A$5:$A$12,$F32,'Team Calendar'!$C$5:$C$12,R$4)=0),1,"")</x:f>
      </x:c>
      <x:c r="S32" s="104" t="str">
        <x:f>IF(AND(ISNUMBER($D32),ISNUMBER($E32),S$4&gt;=$D32,S$4&lt;=$E32,WEEKDAY(S$4,2)&lt;=5,COUNTIF('Sources &amp; Change Log'!$J$2:$J$5,S$4)=0,COUNTIFS('Team Calendar'!$A$5:$A$12,$F32,'Team Calendar'!$C$5:$C$12,S$4)=0),1,"")</x:f>
      </x:c>
      <x:c r="T32" s="104" t="n">
        <x:f>IF(AND(ISNUMBER($D32),ISNUMBER($E32),T$4&gt;=$D32,T$4&lt;=$E32,WEEKDAY(T$4,2)&lt;=5,COUNTIF('Sources &amp; Change Log'!$J$2:$J$5,T$4)=0,COUNTIFS('Team Calendar'!$A$5:$A$12,$F32,'Team Calendar'!$C$5:$C$12,T$4)=0),1,"")</x:f>
        <x:v>1</x:v>
      </x:c>
      <x:c r="U32" s="104" t="n">
        <x:f>IF(AND(ISNUMBER($D32),ISNUMBER($E32),U$4&gt;=$D32,U$4&lt;=$E32,WEEKDAY(U$4,2)&lt;=5,COUNTIF('Sources &amp; Change Log'!$J$2:$J$5,U$4)=0,COUNTIFS('Team Calendar'!$A$5:$A$12,$F32,'Team Calendar'!$C$5:$C$12,U$4)=0),1,"")</x:f>
        <x:v>1</x:v>
      </x:c>
      <x:c r="V32" s="104" t="str">
        <x:f>IF(AND(ISNUMBER($D32),ISNUMBER($E32),V$4&gt;=$D32,V$4&lt;=$E32,WEEKDAY(V$4,2)&lt;=5,COUNTIF('Sources &amp; Change Log'!$J$2:$J$5,V$4)=0,COUNTIFS('Team Calendar'!$A$5:$A$12,$F32,'Team Calendar'!$C$5:$C$12,V$4)=0),1,"")</x:f>
      </x:c>
      <x:c r="W32" s="104" t="str">
        <x:f>IF(AND(ISNUMBER($D32),ISNUMBER($E32),W$4&gt;=$D32,W$4&lt;=$E32,WEEKDAY(W$4,2)&lt;=5,COUNTIF('Sources &amp; Change Log'!$J$2:$J$5,W$4)=0,COUNTIFS('Team Calendar'!$A$5:$A$12,$F32,'Team Calendar'!$C$5:$C$12,W$4)=0),1,"")</x:f>
      </x:c>
      <x:c r="X32" s="108" t="str">
        <x:f>IF(AND(ISNUMBER($D32),ISNUMBER($E32),X$4&gt;=$D32,X$4&lt;=$E32,WEEKDAY(X$4,2)&lt;=5,COUNTIF('Sources &amp; Change Log'!$J$2:$J$5,X$4)=0,COUNTIFS('Team Calendar'!$A$5:$A$12,$F32,'Team Calendar'!$C$5:$C$12,X$4)=0),1,"")</x:f>
      </x:c>
      <x:c r="Y32" s="108" t="str">
        <x:f>IF(AND(ISNUMBER($D32),ISNUMBER($E32),Y$4&gt;=$D32,Y$4&lt;=$E32,WEEKDAY(Y$4,2)&lt;=5,COUNTIF('Sources &amp; Change Log'!$J$2:$J$5,Y$4)=0,COUNTIFS('Team Calendar'!$A$5:$A$12,$F32,'Team Calendar'!$C$5:$C$12,Y$4)=0),1,"")</x:f>
      </x:c>
      <x:c r="Z32" s="104" t="str">
        <x:f>IF(AND(ISNUMBER($D32),ISNUMBER($E32),Z$4&gt;=$D32,Z$4&lt;=$E32,WEEKDAY(Z$4,2)&lt;=5,COUNTIF('Sources &amp; Change Log'!$J$2:$J$5,Z$4)=0,COUNTIFS('Team Calendar'!$A$5:$A$12,$F32,'Team Calendar'!$C$5:$C$12,Z$4)=0),1,"")</x:f>
      </x:c>
      <x:c r="AA32" s="104" t="str">
        <x:f>IF(AND(ISNUMBER($D32),ISNUMBER($E32),AA$4&gt;=$D32,AA$4&lt;=$E32,WEEKDAY(AA$4,2)&lt;=5,COUNTIF('Sources &amp; Change Log'!$J$2:$J$5,AA$4)=0,COUNTIFS('Team Calendar'!$A$5:$A$12,$F32,'Team Calendar'!$C$5:$C$12,AA$4)=0),1,"")</x:f>
      </x:c>
      <x:c r="AB32" s="104" t="str">
        <x:f>IF(AND(ISNUMBER($D32),ISNUMBER($E32),AB$4&gt;=$D32,AB$4&lt;=$E32,WEEKDAY(AB$4,2)&lt;=5,COUNTIF('Sources &amp; Change Log'!$J$2:$J$5,AB$4)=0,COUNTIFS('Team Calendar'!$A$5:$A$12,$F32,'Team Calendar'!$C$5:$C$12,AB$4)=0),1,"")</x:f>
      </x:c>
      <x:c r="AC32" s="104" t="str">
        <x:f>IF(AND(ISNUMBER($D32),ISNUMBER($E32),AC$4&gt;=$D32,AC$4&lt;=$E32,WEEKDAY(AC$4,2)&lt;=5,COUNTIF('Sources &amp; Change Log'!$J$2:$J$5,AC$4)=0,COUNTIFS('Team Calendar'!$A$5:$A$12,$F32,'Team Calendar'!$C$5:$C$12,AC$4)=0),1,"")</x:f>
      </x:c>
      <x:c r="AD32" s="104" t="str">
        <x:f>IF(AND(ISNUMBER($D32),ISNUMBER($E32),AD$4&gt;=$D32,AD$4&lt;=$E32,WEEKDAY(AD$4,2)&lt;=5,COUNTIF('Sources &amp; Change Log'!$J$2:$J$5,AD$4)=0,COUNTIFS('Team Calendar'!$A$5:$A$12,$F32,'Team Calendar'!$C$5:$C$12,AD$4)=0),1,"")</x:f>
      </x:c>
      <x:c r="AE32" s="108" t="str">
        <x:f>IF(AND(ISNUMBER($D32),ISNUMBER($E32),AE$4&gt;=$D32,AE$4&lt;=$E32,WEEKDAY(AE$4,2)&lt;=5,COUNTIF('Sources &amp; Change Log'!$J$2:$J$5,AE$4)=0,COUNTIFS('Team Calendar'!$A$5:$A$12,$F32,'Team Calendar'!$C$5:$C$12,AE$4)=0),1,"")</x:f>
      </x:c>
      <x:c r="AF32" s="108" t="str">
        <x:f>IF(AND(ISNUMBER($D32),ISNUMBER($E32),AF$4&gt;=$D32,AF$4&lt;=$E32,WEEKDAY(AF$4,2)&lt;=5,COUNTIF('Sources &amp; Change Log'!$J$2:$J$5,AF$4)=0,COUNTIFS('Team Calendar'!$A$5:$A$12,$F32,'Team Calendar'!$C$5:$C$12,AF$4)=0),1,"")</x:f>
      </x:c>
      <x:c r="AG32" s="104" t="str">
        <x:f>IF(AND(ISNUMBER($D32),ISNUMBER($E32),AG$4&gt;=$D32,AG$4&lt;=$E32,WEEKDAY(AG$4,2)&lt;=5,COUNTIF('Sources &amp; Change Log'!$J$2:$J$5,AG$4)=0,COUNTIFS('Team Calendar'!$A$5:$A$12,$F32,'Team Calendar'!$C$5:$C$12,AG$4)=0),1,"")</x:f>
      </x:c>
      <x:c r="AH32" s="104" t="str">
        <x:f>IF(AND(ISNUMBER($D32),ISNUMBER($E32),AH$4&gt;=$D32,AH$4&lt;=$E32,WEEKDAY(AH$4,2)&lt;=5,COUNTIF('Sources &amp; Change Log'!$J$2:$J$5,AH$4)=0,COUNTIFS('Team Calendar'!$A$5:$A$12,$F32,'Team Calendar'!$C$5:$C$12,AH$4)=0),1,"")</x:f>
      </x:c>
      <x:c r="AI32" s="104" t="str">
        <x:f>IF(AND(ISNUMBER($D32),ISNUMBER($E32),AI$4&gt;=$D32,AI$4&lt;=$E32,WEEKDAY(AI$4,2)&lt;=5,COUNTIF('Sources &amp; Change Log'!$J$2:$J$5,AI$4)=0,COUNTIFS('Team Calendar'!$A$5:$A$12,$F32,'Team Calendar'!$C$5:$C$12,AI$4)=0),1,"")</x:f>
      </x:c>
    </x:row>
    <x:row r="33" ht="28" customHeight="1">
      <x:c r="A33" t="str">
        <x:f>WBS!A57</x:f>
        <x:v>DEC-P1-TXN-01</x:v>
      </x:c>
      <x:c r="B33" t="str">
        <x:f>WBS!B57</x:f>
        <x:v>거래 상태·API 응답·재시도·데이터 정합성 계약 결정</x:v>
      </x:c>
      <x:c r="C33" t="str">
        <x:f>WBS!G57</x:f>
        <x:v>Done</x:v>
      </x:c>
      <x:c r="D33" s="87" t="n">
        <x:f>IF(WBS!H57="","",WBS!H57)</x:f>
        <x:v>46273</x:v>
      </x:c>
      <x:c r="E33" s="87" t="n">
        <x:f>IF(WBS!I57="","",WBS!I57)</x:f>
        <x:v>46274</x:v>
      </x:c>
      <x:c r="F33" t="str">
        <x:f>WBS!L57</x:f>
        <x:v>이재환</x:v>
      </x:c>
      <x:c r="G33" s="104" t="str">
        <x:f>IF(AND(ISNUMBER($D33),ISNUMBER($E33),G$4&gt;=$D33,G$4&lt;=$E33,WEEKDAY(G$4,2)&lt;=5,COUNTIF('Sources &amp; Change Log'!$J$2:$J$5,G$4)=0,COUNTIFS('Team Calendar'!$A$5:$A$12,$F33,'Team Calendar'!$C$5:$C$12,G$4)=0),1,"")</x:f>
      </x:c>
      <x:c r="H33" s="104" t="str">
        <x:f>IF(AND(ISNUMBER($D33),ISNUMBER($E33),H$4&gt;=$D33,H$4&lt;=$E33,WEEKDAY(H$4,2)&lt;=5,COUNTIF('Sources &amp; Change Log'!$J$2:$J$5,H$4)=0,COUNTIFS('Team Calendar'!$A$5:$A$12,$F33,'Team Calendar'!$C$5:$C$12,H$4)=0),1,"")</x:f>
      </x:c>
      <x:c r="I33" s="104" t="str">
        <x:f>IF(AND(ISNUMBER($D33),ISNUMBER($E33),I$4&gt;=$D33,I$4&lt;=$E33,WEEKDAY(I$4,2)&lt;=5,COUNTIF('Sources &amp; Change Log'!$J$2:$J$5,I$4)=0,COUNTIFS('Team Calendar'!$A$5:$A$12,$F33,'Team Calendar'!$C$5:$C$12,I$4)=0),1,"")</x:f>
      </x:c>
      <x:c r="J33" s="108" t="str">
        <x:f>IF(AND(ISNUMBER($D33),ISNUMBER($E33),J$4&gt;=$D33,J$4&lt;=$E33,WEEKDAY(J$4,2)&lt;=5,COUNTIF('Sources &amp; Change Log'!$J$2:$J$5,J$4)=0,COUNTIFS('Team Calendar'!$A$5:$A$12,$F33,'Team Calendar'!$C$5:$C$12,J$4)=0),1,"")</x:f>
      </x:c>
      <x:c r="K33" s="108" t="str">
        <x:f>IF(AND(ISNUMBER($D33),ISNUMBER($E33),K$4&gt;=$D33,K$4&lt;=$E33,WEEKDAY(K$4,2)&lt;=5,COUNTIF('Sources &amp; Change Log'!$J$2:$J$5,K$4)=0,COUNTIFS('Team Calendar'!$A$5:$A$12,$F33,'Team Calendar'!$C$5:$C$12,K$4)=0),1,"")</x:f>
      </x:c>
      <x:c r="L33" s="104" t="str">
        <x:f>IF(AND(ISNUMBER($D33),ISNUMBER($E33),L$4&gt;=$D33,L$4&lt;=$E33,WEEKDAY(L$4,2)&lt;=5,COUNTIF('Sources &amp; Change Log'!$J$2:$J$5,L$4)=0,COUNTIFS('Team Calendar'!$A$5:$A$12,$F33,'Team Calendar'!$C$5:$C$12,L$4)=0),1,"")</x:f>
      </x:c>
      <x:c r="M33" s="104" t="str">
        <x:f>IF(AND(ISNUMBER($D33),ISNUMBER($E33),M$4&gt;=$D33,M$4&lt;=$E33,WEEKDAY(M$4,2)&lt;=5,COUNTIF('Sources &amp; Change Log'!$J$2:$J$5,M$4)=0,COUNTIFS('Team Calendar'!$A$5:$A$12,$F33,'Team Calendar'!$C$5:$C$12,M$4)=0),1,"")</x:f>
      </x:c>
      <x:c r="N33" s="104" t="str">
        <x:f>IF(AND(ISNUMBER($D33),ISNUMBER($E33),N$4&gt;=$D33,N$4&lt;=$E33,WEEKDAY(N$4,2)&lt;=5,COUNTIF('Sources &amp; Change Log'!$J$2:$J$5,N$4)=0,COUNTIFS('Team Calendar'!$A$5:$A$12,$F33,'Team Calendar'!$C$5:$C$12,N$4)=0),1,"")</x:f>
      </x:c>
      <x:c r="O33" s="104" t="str">
        <x:f>IF(AND(ISNUMBER($D33),ISNUMBER($E33),O$4&gt;=$D33,O$4&lt;=$E33,WEEKDAY(O$4,2)&lt;=5,COUNTIF('Sources &amp; Change Log'!$J$2:$J$5,O$4)=0,COUNTIFS('Team Calendar'!$A$5:$A$12,$F33,'Team Calendar'!$C$5:$C$12,O$4)=0),1,"")</x:f>
      </x:c>
      <x:c r="P33" s="104" t="str">
        <x:f>IF(AND(ISNUMBER($D33),ISNUMBER($E33),P$4&gt;=$D33,P$4&lt;=$E33,WEEKDAY(P$4,2)&lt;=5,COUNTIF('Sources &amp; Change Log'!$J$2:$J$5,P$4)=0,COUNTIFS('Team Calendar'!$A$5:$A$12,$F33,'Team Calendar'!$C$5:$C$12,P$4)=0),1,"")</x:f>
      </x:c>
      <x:c r="Q33" s="108" t="str">
        <x:f>IF(AND(ISNUMBER($D33),ISNUMBER($E33),Q$4&gt;=$D33,Q$4&lt;=$E33,WEEKDAY(Q$4,2)&lt;=5,COUNTIF('Sources &amp; Change Log'!$J$2:$J$5,Q$4)=0,COUNTIFS('Team Calendar'!$A$5:$A$12,$F33,'Team Calendar'!$C$5:$C$12,Q$4)=0),1,"")</x:f>
      </x:c>
      <x:c r="R33" s="108" t="str">
        <x:f>IF(AND(ISNUMBER($D33),ISNUMBER($E33),R$4&gt;=$D33,R$4&lt;=$E33,WEEKDAY(R$4,2)&lt;=5,COUNTIF('Sources &amp; Change Log'!$J$2:$J$5,R$4)=0,COUNTIFS('Team Calendar'!$A$5:$A$12,$F33,'Team Calendar'!$C$5:$C$12,R$4)=0),1,"")</x:f>
      </x:c>
      <x:c r="S33" s="104" t="str">
        <x:f>IF(AND(ISNUMBER($D33),ISNUMBER($E33),S$4&gt;=$D33,S$4&lt;=$E33,WEEKDAY(S$4,2)&lt;=5,COUNTIF('Sources &amp; Change Log'!$J$2:$J$5,S$4)=0,COUNTIFS('Team Calendar'!$A$5:$A$12,$F33,'Team Calendar'!$C$5:$C$12,S$4)=0),1,"")</x:f>
      </x:c>
      <x:c r="T33" s="104" t="n">
        <x:f>IF(AND(ISNUMBER($D33),ISNUMBER($E33),T$4&gt;=$D33,T$4&lt;=$E33,WEEKDAY(T$4,2)&lt;=5,COUNTIF('Sources &amp; Change Log'!$J$2:$J$5,T$4)=0,COUNTIFS('Team Calendar'!$A$5:$A$12,$F33,'Team Calendar'!$C$5:$C$12,T$4)=0),1,"")</x:f>
        <x:v>1</x:v>
      </x:c>
      <x:c r="U33" s="104" t="n">
        <x:f>IF(AND(ISNUMBER($D33),ISNUMBER($E33),U$4&gt;=$D33,U$4&lt;=$E33,WEEKDAY(U$4,2)&lt;=5,COUNTIF('Sources &amp; Change Log'!$J$2:$J$5,U$4)=0,COUNTIFS('Team Calendar'!$A$5:$A$12,$F33,'Team Calendar'!$C$5:$C$12,U$4)=0),1,"")</x:f>
        <x:v>1</x:v>
      </x:c>
      <x:c r="V33" s="104" t="str">
        <x:f>IF(AND(ISNUMBER($D33),ISNUMBER($E33),V$4&gt;=$D33,V$4&lt;=$E33,WEEKDAY(V$4,2)&lt;=5,COUNTIF('Sources &amp; Change Log'!$J$2:$J$5,V$4)=0,COUNTIFS('Team Calendar'!$A$5:$A$12,$F33,'Team Calendar'!$C$5:$C$12,V$4)=0),1,"")</x:f>
      </x:c>
      <x:c r="W33" s="104" t="str">
        <x:f>IF(AND(ISNUMBER($D33),ISNUMBER($E33),W$4&gt;=$D33,W$4&lt;=$E33,WEEKDAY(W$4,2)&lt;=5,COUNTIF('Sources &amp; Change Log'!$J$2:$J$5,W$4)=0,COUNTIFS('Team Calendar'!$A$5:$A$12,$F33,'Team Calendar'!$C$5:$C$12,W$4)=0),1,"")</x:f>
      </x:c>
      <x:c r="X33" s="108" t="str">
        <x:f>IF(AND(ISNUMBER($D33),ISNUMBER($E33),X$4&gt;=$D33,X$4&lt;=$E33,WEEKDAY(X$4,2)&lt;=5,COUNTIF('Sources &amp; Change Log'!$J$2:$J$5,X$4)=0,COUNTIFS('Team Calendar'!$A$5:$A$12,$F33,'Team Calendar'!$C$5:$C$12,X$4)=0),1,"")</x:f>
      </x:c>
      <x:c r="Y33" s="108" t="str">
        <x:f>IF(AND(ISNUMBER($D33),ISNUMBER($E33),Y$4&gt;=$D33,Y$4&lt;=$E33,WEEKDAY(Y$4,2)&lt;=5,COUNTIF('Sources &amp; Change Log'!$J$2:$J$5,Y$4)=0,COUNTIFS('Team Calendar'!$A$5:$A$12,$F33,'Team Calendar'!$C$5:$C$12,Y$4)=0),1,"")</x:f>
      </x:c>
      <x:c r="Z33" s="104" t="str">
        <x:f>IF(AND(ISNUMBER($D33),ISNUMBER($E33),Z$4&gt;=$D33,Z$4&lt;=$E33,WEEKDAY(Z$4,2)&lt;=5,COUNTIF('Sources &amp; Change Log'!$J$2:$J$5,Z$4)=0,COUNTIFS('Team Calendar'!$A$5:$A$12,$F33,'Team Calendar'!$C$5:$C$12,Z$4)=0),1,"")</x:f>
      </x:c>
      <x:c r="AA33" s="104" t="str">
        <x:f>IF(AND(ISNUMBER($D33),ISNUMBER($E33),AA$4&gt;=$D33,AA$4&lt;=$E33,WEEKDAY(AA$4,2)&lt;=5,COUNTIF('Sources &amp; Change Log'!$J$2:$J$5,AA$4)=0,COUNTIFS('Team Calendar'!$A$5:$A$12,$F33,'Team Calendar'!$C$5:$C$12,AA$4)=0),1,"")</x:f>
      </x:c>
      <x:c r="AB33" s="104" t="str">
        <x:f>IF(AND(ISNUMBER($D33),ISNUMBER($E33),AB$4&gt;=$D33,AB$4&lt;=$E33,WEEKDAY(AB$4,2)&lt;=5,COUNTIF('Sources &amp; Change Log'!$J$2:$J$5,AB$4)=0,COUNTIFS('Team Calendar'!$A$5:$A$12,$F33,'Team Calendar'!$C$5:$C$12,AB$4)=0),1,"")</x:f>
      </x:c>
      <x:c r="AC33" s="104" t="str">
        <x:f>IF(AND(ISNUMBER($D33),ISNUMBER($E33),AC$4&gt;=$D33,AC$4&lt;=$E33,WEEKDAY(AC$4,2)&lt;=5,COUNTIF('Sources &amp; Change Log'!$J$2:$J$5,AC$4)=0,COUNTIFS('Team Calendar'!$A$5:$A$12,$F33,'Team Calendar'!$C$5:$C$12,AC$4)=0),1,"")</x:f>
      </x:c>
      <x:c r="AD33" s="104" t="str">
        <x:f>IF(AND(ISNUMBER($D33),ISNUMBER($E33),AD$4&gt;=$D33,AD$4&lt;=$E33,WEEKDAY(AD$4,2)&lt;=5,COUNTIF('Sources &amp; Change Log'!$J$2:$J$5,AD$4)=0,COUNTIFS('Team Calendar'!$A$5:$A$12,$F33,'Team Calendar'!$C$5:$C$12,AD$4)=0),1,"")</x:f>
      </x:c>
      <x:c r="AE33" s="108" t="str">
        <x:f>IF(AND(ISNUMBER($D33),ISNUMBER($E33),AE$4&gt;=$D33,AE$4&lt;=$E33,WEEKDAY(AE$4,2)&lt;=5,COUNTIF('Sources &amp; Change Log'!$J$2:$J$5,AE$4)=0,COUNTIFS('Team Calendar'!$A$5:$A$12,$F33,'Team Calendar'!$C$5:$C$12,AE$4)=0),1,"")</x:f>
      </x:c>
      <x:c r="AF33" s="108" t="str">
        <x:f>IF(AND(ISNUMBER($D33),ISNUMBER($E33),AF$4&gt;=$D33,AF$4&lt;=$E33,WEEKDAY(AF$4,2)&lt;=5,COUNTIF('Sources &amp; Change Log'!$J$2:$J$5,AF$4)=0,COUNTIFS('Team Calendar'!$A$5:$A$12,$F33,'Team Calendar'!$C$5:$C$12,AF$4)=0),1,"")</x:f>
      </x:c>
      <x:c r="AG33" s="104" t="str">
        <x:f>IF(AND(ISNUMBER($D33),ISNUMBER($E33),AG$4&gt;=$D33,AG$4&lt;=$E33,WEEKDAY(AG$4,2)&lt;=5,COUNTIF('Sources &amp; Change Log'!$J$2:$J$5,AG$4)=0,COUNTIFS('Team Calendar'!$A$5:$A$12,$F33,'Team Calendar'!$C$5:$C$12,AG$4)=0),1,"")</x:f>
      </x:c>
      <x:c r="AH33" s="104" t="str">
        <x:f>IF(AND(ISNUMBER($D33),ISNUMBER($E33),AH$4&gt;=$D33,AH$4&lt;=$E33,WEEKDAY(AH$4,2)&lt;=5,COUNTIF('Sources &amp; Change Log'!$J$2:$J$5,AH$4)=0,COUNTIFS('Team Calendar'!$A$5:$A$12,$F33,'Team Calendar'!$C$5:$C$12,AH$4)=0),1,"")</x:f>
      </x:c>
      <x:c r="AI33" s="104" t="str">
        <x:f>IF(AND(ISNUMBER($D33),ISNUMBER($E33),AI$4&gt;=$D33,AI$4&lt;=$E33,WEEKDAY(AI$4,2)&lt;=5,COUNTIF('Sources &amp; Change Log'!$J$2:$J$5,AI$4)=0,COUNTIFS('Team Calendar'!$A$5:$A$12,$F33,'Team Calendar'!$C$5:$C$12,AI$4)=0),1,"")</x:f>
      </x:c>
    </x:row>
    <x:row r="34" ht="28" customHeight="1">
      <x:c r="A34" t="str">
        <x:f>WBS!A58</x:f>
        <x:v>DEC-P1-ADMIN-01</x:v>
      </x:c>
      <x:c r="B34" t="str">
        <x:f>WBS!B58</x:f>
        <x:v>보안 시연 범위·테스트 전제·조건부 운영 통제 결정</x:v>
      </x:c>
      <x:c r="C34" t="str">
        <x:f>WBS!G58</x:f>
        <x:v>Done</x:v>
      </x:c>
      <x:c r="D34" s="87" t="n">
        <x:f>IF(WBS!H58="","",WBS!H58)</x:f>
        <x:v>46273</x:v>
      </x:c>
      <x:c r="E34" s="87" t="n">
        <x:f>IF(WBS!I58="","",WBS!I58)</x:f>
        <x:v>46274</x:v>
      </x:c>
      <x:c r="F34" t="str">
        <x:f>WBS!L58</x:f>
        <x:v>이하영</x:v>
      </x:c>
      <x:c r="G34" s="104" t="str">
        <x:f>IF(AND(ISNUMBER($D34),ISNUMBER($E34),G$4&gt;=$D34,G$4&lt;=$E34,WEEKDAY(G$4,2)&lt;=5,COUNTIF('Sources &amp; Change Log'!$J$2:$J$5,G$4)=0,COUNTIFS('Team Calendar'!$A$5:$A$12,$F34,'Team Calendar'!$C$5:$C$12,G$4)=0),1,"")</x:f>
      </x:c>
      <x:c r="H34" s="104" t="str">
        <x:f>IF(AND(ISNUMBER($D34),ISNUMBER($E34),H$4&gt;=$D34,H$4&lt;=$E34,WEEKDAY(H$4,2)&lt;=5,COUNTIF('Sources &amp; Change Log'!$J$2:$J$5,H$4)=0,COUNTIFS('Team Calendar'!$A$5:$A$12,$F34,'Team Calendar'!$C$5:$C$12,H$4)=0),1,"")</x:f>
      </x:c>
      <x:c r="I34" s="104" t="str">
        <x:f>IF(AND(ISNUMBER($D34),ISNUMBER($E34),I$4&gt;=$D34,I$4&lt;=$E34,WEEKDAY(I$4,2)&lt;=5,COUNTIF('Sources &amp; Change Log'!$J$2:$J$5,I$4)=0,COUNTIFS('Team Calendar'!$A$5:$A$12,$F34,'Team Calendar'!$C$5:$C$12,I$4)=0),1,"")</x:f>
      </x:c>
      <x:c r="J34" s="108" t="str">
        <x:f>IF(AND(ISNUMBER($D34),ISNUMBER($E34),J$4&gt;=$D34,J$4&lt;=$E34,WEEKDAY(J$4,2)&lt;=5,COUNTIF('Sources &amp; Change Log'!$J$2:$J$5,J$4)=0,COUNTIFS('Team Calendar'!$A$5:$A$12,$F34,'Team Calendar'!$C$5:$C$12,J$4)=0),1,"")</x:f>
      </x:c>
      <x:c r="K34" s="108" t="str">
        <x:f>IF(AND(ISNUMBER($D34),ISNUMBER($E34),K$4&gt;=$D34,K$4&lt;=$E34,WEEKDAY(K$4,2)&lt;=5,COUNTIF('Sources &amp; Change Log'!$J$2:$J$5,K$4)=0,COUNTIFS('Team Calendar'!$A$5:$A$12,$F34,'Team Calendar'!$C$5:$C$12,K$4)=0),1,"")</x:f>
      </x:c>
      <x:c r="L34" s="104" t="str">
        <x:f>IF(AND(ISNUMBER($D34),ISNUMBER($E34),L$4&gt;=$D34,L$4&lt;=$E34,WEEKDAY(L$4,2)&lt;=5,COUNTIF('Sources &amp; Change Log'!$J$2:$J$5,L$4)=0,COUNTIFS('Team Calendar'!$A$5:$A$12,$F34,'Team Calendar'!$C$5:$C$12,L$4)=0),1,"")</x:f>
      </x:c>
      <x:c r="M34" s="104" t="str">
        <x:f>IF(AND(ISNUMBER($D34),ISNUMBER($E34),M$4&gt;=$D34,M$4&lt;=$E34,WEEKDAY(M$4,2)&lt;=5,COUNTIF('Sources &amp; Change Log'!$J$2:$J$5,M$4)=0,COUNTIFS('Team Calendar'!$A$5:$A$12,$F34,'Team Calendar'!$C$5:$C$12,M$4)=0),1,"")</x:f>
      </x:c>
      <x:c r="N34" s="104" t="str">
        <x:f>IF(AND(ISNUMBER($D34),ISNUMBER($E34),N$4&gt;=$D34,N$4&lt;=$E34,WEEKDAY(N$4,2)&lt;=5,COUNTIF('Sources &amp; Change Log'!$J$2:$J$5,N$4)=0,COUNTIFS('Team Calendar'!$A$5:$A$12,$F34,'Team Calendar'!$C$5:$C$12,N$4)=0),1,"")</x:f>
      </x:c>
      <x:c r="O34" s="104" t="str">
        <x:f>IF(AND(ISNUMBER($D34),ISNUMBER($E34),O$4&gt;=$D34,O$4&lt;=$E34,WEEKDAY(O$4,2)&lt;=5,COUNTIF('Sources &amp; Change Log'!$J$2:$J$5,O$4)=0,COUNTIFS('Team Calendar'!$A$5:$A$12,$F34,'Team Calendar'!$C$5:$C$12,O$4)=0),1,"")</x:f>
      </x:c>
      <x:c r="P34" s="104" t="str">
        <x:f>IF(AND(ISNUMBER($D34),ISNUMBER($E34),P$4&gt;=$D34,P$4&lt;=$E34,WEEKDAY(P$4,2)&lt;=5,COUNTIF('Sources &amp; Change Log'!$J$2:$J$5,P$4)=0,COUNTIFS('Team Calendar'!$A$5:$A$12,$F34,'Team Calendar'!$C$5:$C$12,P$4)=0),1,"")</x:f>
      </x:c>
      <x:c r="Q34" s="108" t="str">
        <x:f>IF(AND(ISNUMBER($D34),ISNUMBER($E34),Q$4&gt;=$D34,Q$4&lt;=$E34,WEEKDAY(Q$4,2)&lt;=5,COUNTIF('Sources &amp; Change Log'!$J$2:$J$5,Q$4)=0,COUNTIFS('Team Calendar'!$A$5:$A$12,$F34,'Team Calendar'!$C$5:$C$12,Q$4)=0),1,"")</x:f>
      </x:c>
      <x:c r="R34" s="108" t="str">
        <x:f>IF(AND(ISNUMBER($D34),ISNUMBER($E34),R$4&gt;=$D34,R$4&lt;=$E34,WEEKDAY(R$4,2)&lt;=5,COUNTIF('Sources &amp; Change Log'!$J$2:$J$5,R$4)=0,COUNTIFS('Team Calendar'!$A$5:$A$12,$F34,'Team Calendar'!$C$5:$C$12,R$4)=0),1,"")</x:f>
      </x:c>
      <x:c r="S34" s="104" t="str">
        <x:f>IF(AND(ISNUMBER($D34),ISNUMBER($E34),S$4&gt;=$D34,S$4&lt;=$E34,WEEKDAY(S$4,2)&lt;=5,COUNTIF('Sources &amp; Change Log'!$J$2:$J$5,S$4)=0,COUNTIFS('Team Calendar'!$A$5:$A$12,$F34,'Team Calendar'!$C$5:$C$12,S$4)=0),1,"")</x:f>
      </x:c>
      <x:c r="T34" s="104" t="str">
        <x:f>IF(AND(ISNUMBER($D34),ISNUMBER($E34),T$4&gt;=$D34,T$4&lt;=$E34,WEEKDAY(T$4,2)&lt;=5,COUNTIF('Sources &amp; Change Log'!$J$2:$J$5,T$4)=0,COUNTIFS('Team Calendar'!$A$5:$A$12,$F34,'Team Calendar'!$C$5:$C$12,T$4)=0),1,"")</x:f>
      </x:c>
      <x:c r="U34" s="104" t="n">
        <x:f>IF(AND(ISNUMBER($D34),ISNUMBER($E34),U$4&gt;=$D34,U$4&lt;=$E34,WEEKDAY(U$4,2)&lt;=5,COUNTIF('Sources &amp; Change Log'!$J$2:$J$5,U$4)=0,COUNTIFS('Team Calendar'!$A$5:$A$12,$F34,'Team Calendar'!$C$5:$C$12,U$4)=0),1,"")</x:f>
        <x:v>1</x:v>
      </x:c>
      <x:c r="V34" s="104" t="str">
        <x:f>IF(AND(ISNUMBER($D34),ISNUMBER($E34),V$4&gt;=$D34,V$4&lt;=$E34,WEEKDAY(V$4,2)&lt;=5,COUNTIF('Sources &amp; Change Log'!$J$2:$J$5,V$4)=0,COUNTIFS('Team Calendar'!$A$5:$A$12,$F34,'Team Calendar'!$C$5:$C$12,V$4)=0),1,"")</x:f>
      </x:c>
      <x:c r="W34" s="104" t="str">
        <x:f>IF(AND(ISNUMBER($D34),ISNUMBER($E34),W$4&gt;=$D34,W$4&lt;=$E34,WEEKDAY(W$4,2)&lt;=5,COUNTIF('Sources &amp; Change Log'!$J$2:$J$5,W$4)=0,COUNTIFS('Team Calendar'!$A$5:$A$12,$F34,'Team Calendar'!$C$5:$C$12,W$4)=0),1,"")</x:f>
      </x:c>
      <x:c r="X34" s="108" t="str">
        <x:f>IF(AND(ISNUMBER($D34),ISNUMBER($E34),X$4&gt;=$D34,X$4&lt;=$E34,WEEKDAY(X$4,2)&lt;=5,COUNTIF('Sources &amp; Change Log'!$J$2:$J$5,X$4)=0,COUNTIFS('Team Calendar'!$A$5:$A$12,$F34,'Team Calendar'!$C$5:$C$12,X$4)=0),1,"")</x:f>
      </x:c>
      <x:c r="Y34" s="108" t="str">
        <x:f>IF(AND(ISNUMBER($D34),ISNUMBER($E34),Y$4&gt;=$D34,Y$4&lt;=$E34,WEEKDAY(Y$4,2)&lt;=5,COUNTIF('Sources &amp; Change Log'!$J$2:$J$5,Y$4)=0,COUNTIFS('Team Calendar'!$A$5:$A$12,$F34,'Team Calendar'!$C$5:$C$12,Y$4)=0),1,"")</x:f>
      </x:c>
      <x:c r="Z34" s="104" t="str">
        <x:f>IF(AND(ISNUMBER($D34),ISNUMBER($E34),Z$4&gt;=$D34,Z$4&lt;=$E34,WEEKDAY(Z$4,2)&lt;=5,COUNTIF('Sources &amp; Change Log'!$J$2:$J$5,Z$4)=0,COUNTIFS('Team Calendar'!$A$5:$A$12,$F34,'Team Calendar'!$C$5:$C$12,Z$4)=0),1,"")</x:f>
      </x:c>
      <x:c r="AA34" s="104" t="str">
        <x:f>IF(AND(ISNUMBER($D34),ISNUMBER($E34),AA$4&gt;=$D34,AA$4&lt;=$E34,WEEKDAY(AA$4,2)&lt;=5,COUNTIF('Sources &amp; Change Log'!$J$2:$J$5,AA$4)=0,COUNTIFS('Team Calendar'!$A$5:$A$12,$F34,'Team Calendar'!$C$5:$C$12,AA$4)=0),1,"")</x:f>
      </x:c>
      <x:c r="AB34" s="104" t="str">
        <x:f>IF(AND(ISNUMBER($D34),ISNUMBER($E34),AB$4&gt;=$D34,AB$4&lt;=$E34,WEEKDAY(AB$4,2)&lt;=5,COUNTIF('Sources &amp; Change Log'!$J$2:$J$5,AB$4)=0,COUNTIFS('Team Calendar'!$A$5:$A$12,$F34,'Team Calendar'!$C$5:$C$12,AB$4)=0),1,"")</x:f>
      </x:c>
      <x:c r="AC34" s="104" t="str">
        <x:f>IF(AND(ISNUMBER($D34),ISNUMBER($E34),AC$4&gt;=$D34,AC$4&lt;=$E34,WEEKDAY(AC$4,2)&lt;=5,COUNTIF('Sources &amp; Change Log'!$J$2:$J$5,AC$4)=0,COUNTIFS('Team Calendar'!$A$5:$A$12,$F34,'Team Calendar'!$C$5:$C$12,AC$4)=0),1,"")</x:f>
      </x:c>
      <x:c r="AD34" s="104" t="str">
        <x:f>IF(AND(ISNUMBER($D34),ISNUMBER($E34),AD$4&gt;=$D34,AD$4&lt;=$E34,WEEKDAY(AD$4,2)&lt;=5,COUNTIF('Sources &amp; Change Log'!$J$2:$J$5,AD$4)=0,COUNTIFS('Team Calendar'!$A$5:$A$12,$F34,'Team Calendar'!$C$5:$C$12,AD$4)=0),1,"")</x:f>
      </x:c>
      <x:c r="AE34" s="108" t="str">
        <x:f>IF(AND(ISNUMBER($D34),ISNUMBER($E34),AE$4&gt;=$D34,AE$4&lt;=$E34,WEEKDAY(AE$4,2)&lt;=5,COUNTIF('Sources &amp; Change Log'!$J$2:$J$5,AE$4)=0,COUNTIFS('Team Calendar'!$A$5:$A$12,$F34,'Team Calendar'!$C$5:$C$12,AE$4)=0),1,"")</x:f>
      </x:c>
      <x:c r="AF34" s="108" t="str">
        <x:f>IF(AND(ISNUMBER($D34),ISNUMBER($E34),AF$4&gt;=$D34,AF$4&lt;=$E34,WEEKDAY(AF$4,2)&lt;=5,COUNTIF('Sources &amp; Change Log'!$J$2:$J$5,AF$4)=0,COUNTIFS('Team Calendar'!$A$5:$A$12,$F34,'Team Calendar'!$C$5:$C$12,AF$4)=0),1,"")</x:f>
      </x:c>
      <x:c r="AG34" s="104" t="str">
        <x:f>IF(AND(ISNUMBER($D34),ISNUMBER($E34),AG$4&gt;=$D34,AG$4&lt;=$E34,WEEKDAY(AG$4,2)&lt;=5,COUNTIF('Sources &amp; Change Log'!$J$2:$J$5,AG$4)=0,COUNTIFS('Team Calendar'!$A$5:$A$12,$F34,'Team Calendar'!$C$5:$C$12,AG$4)=0),1,"")</x:f>
      </x:c>
      <x:c r="AH34" s="104" t="str">
        <x:f>IF(AND(ISNUMBER($D34),ISNUMBER($E34),AH$4&gt;=$D34,AH$4&lt;=$E34,WEEKDAY(AH$4,2)&lt;=5,COUNTIF('Sources &amp; Change Log'!$J$2:$J$5,AH$4)=0,COUNTIFS('Team Calendar'!$A$5:$A$12,$F34,'Team Calendar'!$C$5:$C$12,AH$4)=0),1,"")</x:f>
      </x:c>
      <x:c r="AI34" s="104" t="str">
        <x:f>IF(AND(ISNUMBER($D34),ISNUMBER($E34),AI$4&gt;=$D34,AI$4&lt;=$E34,WEEKDAY(AI$4,2)&lt;=5,COUNTIF('Sources &amp; Change Log'!$J$2:$J$5,AI$4)=0,COUNTIFS('Team Calendar'!$A$5:$A$12,$F34,'Team Calendar'!$C$5:$C$12,AI$4)=0),1,"")</x:f>
      </x:c>
    </x:row>
    <x:row r="35" ht="42" customHeight="1">
      <x:c r="A35" s="146" t="str">
        <x:f>WBS!A59</x:f>
        <x:v>CR-P1-MON-01-01</x:v>
      </x:c>
      <x:c r="B35" s="146" t="str">
        <x:f>WBS!B59</x:f>
        <x:v>Alertmanager Egress 프록시 서버 구성</x:v>
      </x:c>
      <x:c r="C35" s="146" t="str">
        <x:f>WBS!G59</x:f>
        <x:v>In Progress</x:v>
      </x:c>
      <x:c r="D35" s="152" t="n">
        <x:f>IF(WBS!H59="","",WBS!H59)</x:f>
        <x:v>46276</x:v>
      </x:c>
      <x:c r="E35" s="152" t="str">
        <x:f>IF(WBS!I59="","",WBS!I59)</x:f>
      </x:c>
      <x:c r="F35" s="146" t="str">
        <x:f>WBS!L59</x:f>
        <x:v>이하영</x:v>
      </x:c>
      <x:c r="G35" s="153" t="str">
        <x:f>IF(AND(ISNUMBER($D35),ISNUMBER($E35),G$4&gt;=$D35,G$4&lt;=$E35,WEEKDAY(G$4,2)&lt;=5,COUNTIF('Sources &amp; Change Log'!$J$2:$J$5,G$4)=0,COUNTIFS('Team Calendar'!$A$5:$A$12,$F35,'Team Calendar'!$C$5:$C$12,G$4)=0),1,"")</x:f>
      </x:c>
      <x:c r="H35" s="153" t="str">
        <x:f>IF(AND(ISNUMBER($D35),ISNUMBER($E35),H$4&gt;=$D35,H$4&lt;=$E35,WEEKDAY(H$4,2)&lt;=5,COUNTIF('Sources &amp; Change Log'!$J$2:$J$5,H$4)=0,COUNTIFS('Team Calendar'!$A$5:$A$12,$F35,'Team Calendar'!$C$5:$C$12,H$4)=0),1,"")</x:f>
      </x:c>
      <x:c r="I35" s="153" t="str">
        <x:f>IF(AND(ISNUMBER($D35),ISNUMBER($E35),I$4&gt;=$D35,I$4&lt;=$E35,WEEKDAY(I$4,2)&lt;=5,COUNTIF('Sources &amp; Change Log'!$J$2:$J$5,I$4)=0,COUNTIFS('Team Calendar'!$A$5:$A$12,$F35,'Team Calendar'!$C$5:$C$12,I$4)=0),1,"")</x:f>
      </x:c>
      <x:c r="J35" s="153" t="str">
        <x:f>IF(AND(ISNUMBER($D35),ISNUMBER($E35),J$4&gt;=$D35,J$4&lt;=$E35,WEEKDAY(J$4,2)&lt;=5,COUNTIF('Sources &amp; Change Log'!$J$2:$J$5,J$4)=0,COUNTIFS('Team Calendar'!$A$5:$A$12,$F35,'Team Calendar'!$C$5:$C$12,J$4)=0),1,"")</x:f>
      </x:c>
      <x:c r="K35" s="153" t="str">
        <x:f>IF(AND(ISNUMBER($D35),ISNUMBER($E35),K$4&gt;=$D35,K$4&lt;=$E35,WEEKDAY(K$4,2)&lt;=5,COUNTIF('Sources &amp; Change Log'!$J$2:$J$5,K$4)=0,COUNTIFS('Team Calendar'!$A$5:$A$12,$F35,'Team Calendar'!$C$5:$C$12,K$4)=0),1,"")</x:f>
      </x:c>
      <x:c r="L35" s="153" t="str">
        <x:f>IF(AND(ISNUMBER($D35),ISNUMBER($E35),L$4&gt;=$D35,L$4&lt;=$E35,WEEKDAY(L$4,2)&lt;=5,COUNTIF('Sources &amp; Change Log'!$J$2:$J$5,L$4)=0,COUNTIFS('Team Calendar'!$A$5:$A$12,$F35,'Team Calendar'!$C$5:$C$12,L$4)=0),1,"")</x:f>
      </x:c>
      <x:c r="M35" s="153" t="str">
        <x:f>IF(AND(ISNUMBER($D35),ISNUMBER($E35),M$4&gt;=$D35,M$4&lt;=$E35,WEEKDAY(M$4,2)&lt;=5,COUNTIF('Sources &amp; Change Log'!$J$2:$J$5,M$4)=0,COUNTIFS('Team Calendar'!$A$5:$A$12,$F35,'Team Calendar'!$C$5:$C$12,M$4)=0),1,"")</x:f>
      </x:c>
      <x:c r="N35" s="153" t="str">
        <x:f>IF(AND(ISNUMBER($D35),ISNUMBER($E35),N$4&gt;=$D35,N$4&lt;=$E35,WEEKDAY(N$4,2)&lt;=5,COUNTIF('Sources &amp; Change Log'!$J$2:$J$5,N$4)=0,COUNTIFS('Team Calendar'!$A$5:$A$12,$F35,'Team Calendar'!$C$5:$C$12,N$4)=0),1,"")</x:f>
      </x:c>
      <x:c r="O35" s="153" t="str">
        <x:f>IF(AND(ISNUMBER($D35),ISNUMBER($E35),O$4&gt;=$D35,O$4&lt;=$E35,WEEKDAY(O$4,2)&lt;=5,COUNTIF('Sources &amp; Change Log'!$J$2:$J$5,O$4)=0,COUNTIFS('Team Calendar'!$A$5:$A$12,$F35,'Team Calendar'!$C$5:$C$12,O$4)=0),1,"")</x:f>
      </x:c>
      <x:c r="P35" s="153" t="str">
        <x:f>IF(AND(ISNUMBER($D35),ISNUMBER($E35),P$4&gt;=$D35,P$4&lt;=$E35,WEEKDAY(P$4,2)&lt;=5,COUNTIF('Sources &amp; Change Log'!$J$2:$J$5,P$4)=0,COUNTIFS('Team Calendar'!$A$5:$A$12,$F35,'Team Calendar'!$C$5:$C$12,P$4)=0),1,"")</x:f>
      </x:c>
      <x:c r="Q35" s="153" t="str">
        <x:f>IF(AND(ISNUMBER($D35),ISNUMBER($E35),Q$4&gt;=$D35,Q$4&lt;=$E35,WEEKDAY(Q$4,2)&lt;=5,COUNTIF('Sources &amp; Change Log'!$J$2:$J$5,Q$4)=0,COUNTIFS('Team Calendar'!$A$5:$A$12,$F35,'Team Calendar'!$C$5:$C$12,Q$4)=0),1,"")</x:f>
      </x:c>
      <x:c r="R35" s="153" t="str">
        <x:f>IF(AND(ISNUMBER($D35),ISNUMBER($E35),R$4&gt;=$D35,R$4&lt;=$E35,WEEKDAY(R$4,2)&lt;=5,COUNTIF('Sources &amp; Change Log'!$J$2:$J$5,R$4)=0,COUNTIFS('Team Calendar'!$A$5:$A$12,$F35,'Team Calendar'!$C$5:$C$12,R$4)=0),1,"")</x:f>
      </x:c>
      <x:c r="S35" s="153" t="str">
        <x:f>IF(AND(ISNUMBER($D35),ISNUMBER($E35),S$4&gt;=$D35,S$4&lt;=$E35,WEEKDAY(S$4,2)&lt;=5,COUNTIF('Sources &amp; Change Log'!$J$2:$J$5,S$4)=0,COUNTIFS('Team Calendar'!$A$5:$A$12,$F35,'Team Calendar'!$C$5:$C$12,S$4)=0),1,"")</x:f>
      </x:c>
      <x:c r="T35" s="153" t="str">
        <x:f>IF(AND(ISNUMBER($D35),ISNUMBER($E35),T$4&gt;=$D35,T$4&lt;=$E35,WEEKDAY(T$4,2)&lt;=5,COUNTIF('Sources &amp; Change Log'!$J$2:$J$5,T$4)=0,COUNTIFS('Team Calendar'!$A$5:$A$12,$F35,'Team Calendar'!$C$5:$C$12,T$4)=0),1,"")</x:f>
      </x:c>
      <x:c r="U35" s="153" t="str">
        <x:f>IF(AND(ISNUMBER($D35),ISNUMBER($E35),U$4&gt;=$D35,U$4&lt;=$E35,WEEKDAY(U$4,2)&lt;=5,COUNTIF('Sources &amp; Change Log'!$J$2:$J$5,U$4)=0,COUNTIFS('Team Calendar'!$A$5:$A$12,$F35,'Team Calendar'!$C$5:$C$12,U$4)=0),1,"")</x:f>
      </x:c>
      <x:c r="V35" s="153" t="str">
        <x:f>IF(AND(ISNUMBER($D35),ISNUMBER($E35),V$4&gt;=$D35,V$4&lt;=$E35,WEEKDAY(V$4,2)&lt;=5,COUNTIF('Sources &amp; Change Log'!$J$2:$J$5,V$4)=0,COUNTIFS('Team Calendar'!$A$5:$A$12,$F35,'Team Calendar'!$C$5:$C$12,V$4)=0),1,"")</x:f>
      </x:c>
      <x:c r="W35" s="153" t="str">
        <x:f>IF(AND(ISNUMBER($D35),ISNUMBER($E35),W$4&gt;=$D35,W$4&lt;=$E35,WEEKDAY(W$4,2)&lt;=5,COUNTIF('Sources &amp; Change Log'!$J$2:$J$5,W$4)=0,COUNTIFS('Team Calendar'!$A$5:$A$12,$F35,'Team Calendar'!$C$5:$C$12,W$4)=0),1,"")</x:f>
      </x:c>
      <x:c r="X35" s="153" t="str">
        <x:f>IF(AND(ISNUMBER($D35),ISNUMBER($E35),X$4&gt;=$D35,X$4&lt;=$E35,WEEKDAY(X$4,2)&lt;=5,COUNTIF('Sources &amp; Change Log'!$J$2:$J$5,X$4)=0,COUNTIFS('Team Calendar'!$A$5:$A$12,$F35,'Team Calendar'!$C$5:$C$12,X$4)=0),1,"")</x:f>
      </x:c>
      <x:c r="Y35" s="153" t="str">
        <x:f>IF(AND(ISNUMBER($D35),ISNUMBER($E35),Y$4&gt;=$D35,Y$4&lt;=$E35,WEEKDAY(Y$4,2)&lt;=5,COUNTIF('Sources &amp; Change Log'!$J$2:$J$5,Y$4)=0,COUNTIFS('Team Calendar'!$A$5:$A$12,$F35,'Team Calendar'!$C$5:$C$12,Y$4)=0),1,"")</x:f>
      </x:c>
      <x:c r="Z35" s="153" t="str">
        <x:f>IF(AND(ISNUMBER($D35),ISNUMBER($E35),Z$4&gt;=$D35,Z$4&lt;=$E35,WEEKDAY(Z$4,2)&lt;=5,COUNTIF('Sources &amp; Change Log'!$J$2:$J$5,Z$4)=0,COUNTIFS('Team Calendar'!$A$5:$A$12,$F35,'Team Calendar'!$C$5:$C$12,Z$4)=0),1,"")</x:f>
      </x:c>
      <x:c r="AA35" s="153" t="str">
        <x:f>IF(AND(ISNUMBER($D35),ISNUMBER($E35),AA$4&gt;=$D35,AA$4&lt;=$E35,WEEKDAY(AA$4,2)&lt;=5,COUNTIF('Sources &amp; Change Log'!$J$2:$J$5,AA$4)=0,COUNTIFS('Team Calendar'!$A$5:$A$12,$F35,'Team Calendar'!$C$5:$C$12,AA$4)=0),1,"")</x:f>
      </x:c>
      <x:c r="AB35" s="153" t="str">
        <x:f>IF(AND(ISNUMBER($D35),ISNUMBER($E35),AB$4&gt;=$D35,AB$4&lt;=$E35,WEEKDAY(AB$4,2)&lt;=5,COUNTIF('Sources &amp; Change Log'!$J$2:$J$5,AB$4)=0,COUNTIFS('Team Calendar'!$A$5:$A$12,$F35,'Team Calendar'!$C$5:$C$12,AB$4)=0),1,"")</x:f>
      </x:c>
      <x:c r="AC35" s="153" t="str">
        <x:f>IF(AND(ISNUMBER($D35),ISNUMBER($E35),AC$4&gt;=$D35,AC$4&lt;=$E35,WEEKDAY(AC$4,2)&lt;=5,COUNTIF('Sources &amp; Change Log'!$J$2:$J$5,AC$4)=0,COUNTIFS('Team Calendar'!$A$5:$A$12,$F35,'Team Calendar'!$C$5:$C$12,AC$4)=0),1,"")</x:f>
      </x:c>
      <x:c r="AD35" s="153" t="str">
        <x:f>IF(AND(ISNUMBER($D35),ISNUMBER($E35),AD$4&gt;=$D35,AD$4&lt;=$E35,WEEKDAY(AD$4,2)&lt;=5,COUNTIF('Sources &amp; Change Log'!$J$2:$J$5,AD$4)=0,COUNTIFS('Team Calendar'!$A$5:$A$12,$F35,'Team Calendar'!$C$5:$C$12,AD$4)=0),1,"")</x:f>
      </x:c>
      <x:c r="AE35" s="153" t="str">
        <x:f>IF(AND(ISNUMBER($D35),ISNUMBER($E35),AE$4&gt;=$D35,AE$4&lt;=$E35,WEEKDAY(AE$4,2)&lt;=5,COUNTIF('Sources &amp; Change Log'!$J$2:$J$5,AE$4)=0,COUNTIFS('Team Calendar'!$A$5:$A$12,$F35,'Team Calendar'!$C$5:$C$12,AE$4)=0),1,"")</x:f>
      </x:c>
      <x:c r="AF35" s="153" t="str">
        <x:f>IF(AND(ISNUMBER($D35),ISNUMBER($E35),AF$4&gt;=$D35,AF$4&lt;=$E35,WEEKDAY(AF$4,2)&lt;=5,COUNTIF('Sources &amp; Change Log'!$J$2:$J$5,AF$4)=0,COUNTIFS('Team Calendar'!$A$5:$A$12,$F35,'Team Calendar'!$C$5:$C$12,AF$4)=0),1,"")</x:f>
      </x:c>
      <x:c r="AG35" s="153" t="str">
        <x:f>IF(AND(ISNUMBER($D35),ISNUMBER($E35),AG$4&gt;=$D35,AG$4&lt;=$E35,WEEKDAY(AG$4,2)&lt;=5,COUNTIF('Sources &amp; Change Log'!$J$2:$J$5,AG$4)=0,COUNTIFS('Team Calendar'!$A$5:$A$12,$F35,'Team Calendar'!$C$5:$C$12,AG$4)=0),1,"")</x:f>
      </x:c>
      <x:c r="AH35" s="153" t="str">
        <x:f>IF(AND(ISNUMBER($D35),ISNUMBER($E35),AH$4&gt;=$D35,AH$4&lt;=$E35,WEEKDAY(AH$4,2)&lt;=5,COUNTIF('Sources &amp; Change Log'!$J$2:$J$5,AH$4)=0,COUNTIFS('Team Calendar'!$A$5:$A$12,$F35,'Team Calendar'!$C$5:$C$12,AH$4)=0),1,"")</x:f>
      </x:c>
      <x:c r="AI35" s="153" t="str">
        <x:f>IF(AND(ISNUMBER($D35),ISNUMBER($E35),AI$4&gt;=$D35,AI$4&lt;=$E35,WEEKDAY(AI$4,2)&lt;=5,COUNTIF('Sources &amp; Change Log'!$J$2:$J$5,AI$4)=0,COUNTIFS('Team Calendar'!$A$5:$A$12,$F35,'Team Calendar'!$C$5:$C$12,AI$4)=0),1,"")</x:f>
      </x:c>
    </x:row>
    <x:row r="36" ht="42" customHeight="1">
      <x:c r="A36" s="146" t="str">
        <x:f>WBS!A60</x:f>
        <x:v>CR-P1-MON-01-02</x:v>
      </x:c>
      <x:c r="B36" s="146" t="str">
        <x:f>WBS!B60</x:f>
        <x:v>Alertmanager Egress Kubernetes 보안 설정 (NetworkPolicy)</x:v>
      </x:c>
      <x:c r="C36" s="146" t="str">
        <x:f>WBS!G60</x:f>
        <x:v>In Progress</x:v>
      </x:c>
      <x:c r="D36" s="152" t="str">
        <x:f>IF(WBS!H60="","",WBS!H60)</x:f>
      </x:c>
      <x:c r="E36" s="152" t="str">
        <x:f>IF(WBS!I60="","",WBS!I60)</x:f>
      </x:c>
      <x:c r="F36" s="146" t="str">
        <x:f>WBS!L60</x:f>
        <x:v>이하영</x:v>
      </x:c>
      <x:c r="G36" s="153" t="str">
        <x:f>IF(AND(ISNUMBER($D36),ISNUMBER($E36),G$4&gt;=$D36,G$4&lt;=$E36,WEEKDAY(G$4,2)&lt;=5,COUNTIF('Sources &amp; Change Log'!$J$2:$J$5,G$4)=0,COUNTIFS('Team Calendar'!$A$5:$A$12,$F36,'Team Calendar'!$C$5:$C$12,G$4)=0),1,"")</x:f>
      </x:c>
      <x:c r="H36" s="153" t="str">
        <x:f>IF(AND(ISNUMBER($D36),ISNUMBER($E36),H$4&gt;=$D36,H$4&lt;=$E36,WEEKDAY(H$4,2)&lt;=5,COUNTIF('Sources &amp; Change Log'!$J$2:$J$5,H$4)=0,COUNTIFS('Team Calendar'!$A$5:$A$12,$F36,'Team Calendar'!$C$5:$C$12,H$4)=0),1,"")</x:f>
      </x:c>
      <x:c r="I36" s="153" t="str">
        <x:f>IF(AND(ISNUMBER($D36),ISNUMBER($E36),I$4&gt;=$D36,I$4&lt;=$E36,WEEKDAY(I$4,2)&lt;=5,COUNTIF('Sources &amp; Change Log'!$J$2:$J$5,I$4)=0,COUNTIFS('Team Calendar'!$A$5:$A$12,$F36,'Team Calendar'!$C$5:$C$12,I$4)=0),1,"")</x:f>
      </x:c>
      <x:c r="J36" s="153" t="str">
        <x:f>IF(AND(ISNUMBER($D36),ISNUMBER($E36),J$4&gt;=$D36,J$4&lt;=$E36,WEEKDAY(J$4,2)&lt;=5,COUNTIF('Sources &amp; Change Log'!$J$2:$J$5,J$4)=0,COUNTIFS('Team Calendar'!$A$5:$A$12,$F36,'Team Calendar'!$C$5:$C$12,J$4)=0),1,"")</x:f>
      </x:c>
      <x:c r="K36" s="153" t="str">
        <x:f>IF(AND(ISNUMBER($D36),ISNUMBER($E36),K$4&gt;=$D36,K$4&lt;=$E36,WEEKDAY(K$4,2)&lt;=5,COUNTIF('Sources &amp; Change Log'!$J$2:$J$5,K$4)=0,COUNTIFS('Team Calendar'!$A$5:$A$12,$F36,'Team Calendar'!$C$5:$C$12,K$4)=0),1,"")</x:f>
      </x:c>
      <x:c r="L36" s="153" t="str">
        <x:f>IF(AND(ISNUMBER($D36),ISNUMBER($E36),L$4&gt;=$D36,L$4&lt;=$E36,WEEKDAY(L$4,2)&lt;=5,COUNTIF('Sources &amp; Change Log'!$J$2:$J$5,L$4)=0,COUNTIFS('Team Calendar'!$A$5:$A$12,$F36,'Team Calendar'!$C$5:$C$12,L$4)=0),1,"")</x:f>
      </x:c>
      <x:c r="M36" s="153" t="str">
        <x:f>IF(AND(ISNUMBER($D36),ISNUMBER($E36),M$4&gt;=$D36,M$4&lt;=$E36,WEEKDAY(M$4,2)&lt;=5,COUNTIF('Sources &amp; Change Log'!$J$2:$J$5,M$4)=0,COUNTIFS('Team Calendar'!$A$5:$A$12,$F36,'Team Calendar'!$C$5:$C$12,M$4)=0),1,"")</x:f>
      </x:c>
      <x:c r="N36" s="153" t="str">
        <x:f>IF(AND(ISNUMBER($D36),ISNUMBER($E36),N$4&gt;=$D36,N$4&lt;=$E36,WEEKDAY(N$4,2)&lt;=5,COUNTIF('Sources &amp; Change Log'!$J$2:$J$5,N$4)=0,COUNTIFS('Team Calendar'!$A$5:$A$12,$F36,'Team Calendar'!$C$5:$C$12,N$4)=0),1,"")</x:f>
      </x:c>
      <x:c r="O36" s="153" t="str">
        <x:f>IF(AND(ISNUMBER($D36),ISNUMBER($E36),O$4&gt;=$D36,O$4&lt;=$E36,WEEKDAY(O$4,2)&lt;=5,COUNTIF('Sources &amp; Change Log'!$J$2:$J$5,O$4)=0,COUNTIFS('Team Calendar'!$A$5:$A$12,$F36,'Team Calendar'!$C$5:$C$12,O$4)=0),1,"")</x:f>
      </x:c>
      <x:c r="P36" s="153" t="str">
        <x:f>IF(AND(ISNUMBER($D36),ISNUMBER($E36),P$4&gt;=$D36,P$4&lt;=$E36,WEEKDAY(P$4,2)&lt;=5,COUNTIF('Sources &amp; Change Log'!$J$2:$J$5,P$4)=0,COUNTIFS('Team Calendar'!$A$5:$A$12,$F36,'Team Calendar'!$C$5:$C$12,P$4)=0),1,"")</x:f>
      </x:c>
      <x:c r="Q36" s="153" t="str">
        <x:f>IF(AND(ISNUMBER($D36),ISNUMBER($E36),Q$4&gt;=$D36,Q$4&lt;=$E36,WEEKDAY(Q$4,2)&lt;=5,COUNTIF('Sources &amp; Change Log'!$J$2:$J$5,Q$4)=0,COUNTIFS('Team Calendar'!$A$5:$A$12,$F36,'Team Calendar'!$C$5:$C$12,Q$4)=0),1,"")</x:f>
      </x:c>
      <x:c r="R36" s="153" t="str">
        <x:f>IF(AND(ISNUMBER($D36),ISNUMBER($E36),R$4&gt;=$D36,R$4&lt;=$E36,WEEKDAY(R$4,2)&lt;=5,COUNTIF('Sources &amp; Change Log'!$J$2:$J$5,R$4)=0,COUNTIFS('Team Calendar'!$A$5:$A$12,$F36,'Team Calendar'!$C$5:$C$12,R$4)=0),1,"")</x:f>
      </x:c>
      <x:c r="S36" s="153" t="str">
        <x:f>IF(AND(ISNUMBER($D36),ISNUMBER($E36),S$4&gt;=$D36,S$4&lt;=$E36,WEEKDAY(S$4,2)&lt;=5,COUNTIF('Sources &amp; Change Log'!$J$2:$J$5,S$4)=0,COUNTIFS('Team Calendar'!$A$5:$A$12,$F36,'Team Calendar'!$C$5:$C$12,S$4)=0),1,"")</x:f>
      </x:c>
      <x:c r="T36" s="153" t="str">
        <x:f>IF(AND(ISNUMBER($D36),ISNUMBER($E36),T$4&gt;=$D36,T$4&lt;=$E36,WEEKDAY(T$4,2)&lt;=5,COUNTIF('Sources &amp; Change Log'!$J$2:$J$5,T$4)=0,COUNTIFS('Team Calendar'!$A$5:$A$12,$F36,'Team Calendar'!$C$5:$C$12,T$4)=0),1,"")</x:f>
      </x:c>
      <x:c r="U36" s="153" t="str">
        <x:f>IF(AND(ISNUMBER($D36),ISNUMBER($E36),U$4&gt;=$D36,U$4&lt;=$E36,WEEKDAY(U$4,2)&lt;=5,COUNTIF('Sources &amp; Change Log'!$J$2:$J$5,U$4)=0,COUNTIFS('Team Calendar'!$A$5:$A$12,$F36,'Team Calendar'!$C$5:$C$12,U$4)=0),1,"")</x:f>
      </x:c>
      <x:c r="V36" s="153" t="str">
        <x:f>IF(AND(ISNUMBER($D36),ISNUMBER($E36),V$4&gt;=$D36,V$4&lt;=$E36,WEEKDAY(V$4,2)&lt;=5,COUNTIF('Sources &amp; Change Log'!$J$2:$J$5,V$4)=0,COUNTIFS('Team Calendar'!$A$5:$A$12,$F36,'Team Calendar'!$C$5:$C$12,V$4)=0),1,"")</x:f>
      </x:c>
      <x:c r="W36" s="153" t="str">
        <x:f>IF(AND(ISNUMBER($D36),ISNUMBER($E36),W$4&gt;=$D36,W$4&lt;=$E36,WEEKDAY(W$4,2)&lt;=5,COUNTIF('Sources &amp; Change Log'!$J$2:$J$5,W$4)=0,COUNTIFS('Team Calendar'!$A$5:$A$12,$F36,'Team Calendar'!$C$5:$C$12,W$4)=0),1,"")</x:f>
      </x:c>
      <x:c r="X36" s="153" t="str">
        <x:f>IF(AND(ISNUMBER($D36),ISNUMBER($E36),X$4&gt;=$D36,X$4&lt;=$E36,WEEKDAY(X$4,2)&lt;=5,COUNTIF('Sources &amp; Change Log'!$J$2:$J$5,X$4)=0,COUNTIFS('Team Calendar'!$A$5:$A$12,$F36,'Team Calendar'!$C$5:$C$12,X$4)=0),1,"")</x:f>
      </x:c>
      <x:c r="Y36" s="153" t="str">
        <x:f>IF(AND(ISNUMBER($D36),ISNUMBER($E36),Y$4&gt;=$D36,Y$4&lt;=$E36,WEEKDAY(Y$4,2)&lt;=5,COUNTIF('Sources &amp; Change Log'!$J$2:$J$5,Y$4)=0,COUNTIFS('Team Calendar'!$A$5:$A$12,$F36,'Team Calendar'!$C$5:$C$12,Y$4)=0),1,"")</x:f>
      </x:c>
      <x:c r="Z36" s="153" t="str">
        <x:f>IF(AND(ISNUMBER($D36),ISNUMBER($E36),Z$4&gt;=$D36,Z$4&lt;=$E36,WEEKDAY(Z$4,2)&lt;=5,COUNTIF('Sources &amp; Change Log'!$J$2:$J$5,Z$4)=0,COUNTIFS('Team Calendar'!$A$5:$A$12,$F36,'Team Calendar'!$C$5:$C$12,Z$4)=0),1,"")</x:f>
      </x:c>
      <x:c r="AA36" s="153" t="str">
        <x:f>IF(AND(ISNUMBER($D36),ISNUMBER($E36),AA$4&gt;=$D36,AA$4&lt;=$E36,WEEKDAY(AA$4,2)&lt;=5,COUNTIF('Sources &amp; Change Log'!$J$2:$J$5,AA$4)=0,COUNTIFS('Team Calendar'!$A$5:$A$12,$F36,'Team Calendar'!$C$5:$C$12,AA$4)=0),1,"")</x:f>
      </x:c>
      <x:c r="AB36" s="153" t="str">
        <x:f>IF(AND(ISNUMBER($D36),ISNUMBER($E36),AB$4&gt;=$D36,AB$4&lt;=$E36,WEEKDAY(AB$4,2)&lt;=5,COUNTIF('Sources &amp; Change Log'!$J$2:$J$5,AB$4)=0,COUNTIFS('Team Calendar'!$A$5:$A$12,$F36,'Team Calendar'!$C$5:$C$12,AB$4)=0),1,"")</x:f>
      </x:c>
      <x:c r="AC36" s="153" t="str">
        <x:f>IF(AND(ISNUMBER($D36),ISNUMBER($E36),AC$4&gt;=$D36,AC$4&lt;=$E36,WEEKDAY(AC$4,2)&lt;=5,COUNTIF('Sources &amp; Change Log'!$J$2:$J$5,AC$4)=0,COUNTIFS('Team Calendar'!$A$5:$A$12,$F36,'Team Calendar'!$C$5:$C$12,AC$4)=0),1,"")</x:f>
      </x:c>
      <x:c r="AD36" s="153" t="str">
        <x:f>IF(AND(ISNUMBER($D36),ISNUMBER($E36),AD$4&gt;=$D36,AD$4&lt;=$E36,WEEKDAY(AD$4,2)&lt;=5,COUNTIF('Sources &amp; Change Log'!$J$2:$J$5,AD$4)=0,COUNTIFS('Team Calendar'!$A$5:$A$12,$F36,'Team Calendar'!$C$5:$C$12,AD$4)=0),1,"")</x:f>
      </x:c>
      <x:c r="AE36" s="153" t="str">
        <x:f>IF(AND(ISNUMBER($D36),ISNUMBER($E36),AE$4&gt;=$D36,AE$4&lt;=$E36,WEEKDAY(AE$4,2)&lt;=5,COUNTIF('Sources &amp; Change Log'!$J$2:$J$5,AE$4)=0,COUNTIFS('Team Calendar'!$A$5:$A$12,$F36,'Team Calendar'!$C$5:$C$12,AE$4)=0),1,"")</x:f>
      </x:c>
      <x:c r="AF36" s="153" t="str">
        <x:f>IF(AND(ISNUMBER($D36),ISNUMBER($E36),AF$4&gt;=$D36,AF$4&lt;=$E36,WEEKDAY(AF$4,2)&lt;=5,COUNTIF('Sources &amp; Change Log'!$J$2:$J$5,AF$4)=0,COUNTIFS('Team Calendar'!$A$5:$A$12,$F36,'Team Calendar'!$C$5:$C$12,AF$4)=0),1,"")</x:f>
      </x:c>
      <x:c r="AG36" s="153" t="str">
        <x:f>IF(AND(ISNUMBER($D36),ISNUMBER($E36),AG$4&gt;=$D36,AG$4&lt;=$E36,WEEKDAY(AG$4,2)&lt;=5,COUNTIF('Sources &amp; Change Log'!$J$2:$J$5,AG$4)=0,COUNTIFS('Team Calendar'!$A$5:$A$12,$F36,'Team Calendar'!$C$5:$C$12,AG$4)=0),1,"")</x:f>
      </x:c>
      <x:c r="AH36" s="153" t="str">
        <x:f>IF(AND(ISNUMBER($D36),ISNUMBER($E36),AH$4&gt;=$D36,AH$4&lt;=$E36,WEEKDAY(AH$4,2)&lt;=5,COUNTIF('Sources &amp; Change Log'!$J$2:$J$5,AH$4)=0,COUNTIFS('Team Calendar'!$A$5:$A$12,$F36,'Team Calendar'!$C$5:$C$12,AH$4)=0),1,"")</x:f>
      </x:c>
      <x:c r="AI36" s="153" t="str">
        <x:f>IF(AND(ISNUMBER($D36),ISNUMBER($E36),AI$4&gt;=$D36,AI$4&lt;=$E36,WEEKDAY(AI$4,2)&lt;=5,COUNTIF('Sources &amp; Change Log'!$J$2:$J$5,AI$4)=0,COUNTIFS('Team Calendar'!$A$5:$A$12,$F36,'Team Calendar'!$C$5:$C$12,AI$4)=0),1,"")</x:f>
      </x:c>
    </x:row>
    <x:row r="37" ht="42" customHeight="1">
      <x:c r="A37" s="146" t="str">
        <x:f>WBS!A61</x:f>
        <x:v>DEC-P1-EGRESS-01</x:v>
      </x:c>
      <x:c r="B37" s="146" t="str">
        <x:f>WBS!B61</x:f>
        <x:v>Alertmanager 전용 프록시 배치·예약 IP 사용 결정</x:v>
      </x:c>
      <x:c r="C37" s="146" t="str">
        <x:f>WBS!G61</x:f>
        <x:v>Done</x:v>
      </x:c>
      <x:c r="D37" s="152" t="n">
        <x:f>IF(WBS!H61="","",WBS!H61)</x:f>
        <x:v>46279</x:v>
      </x:c>
      <x:c r="E37" s="152" t="n">
        <x:f>IF(WBS!I61="","",WBS!I61)</x:f>
        <x:v>46286</x:v>
      </x:c>
      <x:c r="F37" s="146" t="str">
        <x:f>WBS!L61</x:f>
        <x:v>이권욱</x:v>
      </x:c>
      <x:c r="G37" s="153" t="str">
        <x:f>IF(AND(ISNUMBER($D37),ISNUMBER($E37),G$4&gt;=$D37,G$4&lt;=$E37,WEEKDAY(G$4,2)&lt;=5,COUNTIF('Sources &amp; Change Log'!$J$2:$J$5,G$4)=0,COUNTIFS('Team Calendar'!$A$5:$A$12,$F37,'Team Calendar'!$C$5:$C$12,G$4)=0),1,"")</x:f>
      </x:c>
      <x:c r="H37" s="153" t="str">
        <x:f>IF(AND(ISNUMBER($D37),ISNUMBER($E37),H$4&gt;=$D37,H$4&lt;=$E37,WEEKDAY(H$4,2)&lt;=5,COUNTIF('Sources &amp; Change Log'!$J$2:$J$5,H$4)=0,COUNTIFS('Team Calendar'!$A$5:$A$12,$F37,'Team Calendar'!$C$5:$C$12,H$4)=0),1,"")</x:f>
      </x:c>
      <x:c r="I37" s="153" t="str">
        <x:f>IF(AND(ISNUMBER($D37),ISNUMBER($E37),I$4&gt;=$D37,I$4&lt;=$E37,WEEKDAY(I$4,2)&lt;=5,COUNTIF('Sources &amp; Change Log'!$J$2:$J$5,I$4)=0,COUNTIFS('Team Calendar'!$A$5:$A$12,$F37,'Team Calendar'!$C$5:$C$12,I$4)=0),1,"")</x:f>
      </x:c>
      <x:c r="J37" s="153" t="str">
        <x:f>IF(AND(ISNUMBER($D37),ISNUMBER($E37),J$4&gt;=$D37,J$4&lt;=$E37,WEEKDAY(J$4,2)&lt;=5,COUNTIF('Sources &amp; Change Log'!$J$2:$J$5,J$4)=0,COUNTIFS('Team Calendar'!$A$5:$A$12,$F37,'Team Calendar'!$C$5:$C$12,J$4)=0),1,"")</x:f>
      </x:c>
      <x:c r="K37" s="153" t="str">
        <x:f>IF(AND(ISNUMBER($D37),ISNUMBER($E37),K$4&gt;=$D37,K$4&lt;=$E37,WEEKDAY(K$4,2)&lt;=5,COUNTIF('Sources &amp; Change Log'!$J$2:$J$5,K$4)=0,COUNTIFS('Team Calendar'!$A$5:$A$12,$F37,'Team Calendar'!$C$5:$C$12,K$4)=0),1,"")</x:f>
      </x:c>
      <x:c r="L37" s="153" t="str">
        <x:f>IF(AND(ISNUMBER($D37),ISNUMBER($E37),L$4&gt;=$D37,L$4&lt;=$E37,WEEKDAY(L$4,2)&lt;=5,COUNTIF('Sources &amp; Change Log'!$J$2:$J$5,L$4)=0,COUNTIFS('Team Calendar'!$A$5:$A$12,$F37,'Team Calendar'!$C$5:$C$12,L$4)=0),1,"")</x:f>
      </x:c>
      <x:c r="M37" s="153" t="str">
        <x:f>IF(AND(ISNUMBER($D37),ISNUMBER($E37),M$4&gt;=$D37,M$4&lt;=$E37,WEEKDAY(M$4,2)&lt;=5,COUNTIF('Sources &amp; Change Log'!$J$2:$J$5,M$4)=0,COUNTIFS('Team Calendar'!$A$5:$A$12,$F37,'Team Calendar'!$C$5:$C$12,M$4)=0),1,"")</x:f>
      </x:c>
      <x:c r="N37" s="153" t="str">
        <x:f>IF(AND(ISNUMBER($D37),ISNUMBER($E37),N$4&gt;=$D37,N$4&lt;=$E37,WEEKDAY(N$4,2)&lt;=5,COUNTIF('Sources &amp; Change Log'!$J$2:$J$5,N$4)=0,COUNTIFS('Team Calendar'!$A$5:$A$12,$F37,'Team Calendar'!$C$5:$C$12,N$4)=0),1,"")</x:f>
      </x:c>
      <x:c r="O37" s="153" t="str">
        <x:f>IF(AND(ISNUMBER($D37),ISNUMBER($E37),O$4&gt;=$D37,O$4&lt;=$E37,WEEKDAY(O$4,2)&lt;=5,COUNTIF('Sources &amp; Change Log'!$J$2:$J$5,O$4)=0,COUNTIFS('Team Calendar'!$A$5:$A$12,$F37,'Team Calendar'!$C$5:$C$12,O$4)=0),1,"")</x:f>
      </x:c>
      <x:c r="P37" s="153" t="str">
        <x:f>IF(AND(ISNUMBER($D37),ISNUMBER($E37),P$4&gt;=$D37,P$4&lt;=$E37,WEEKDAY(P$4,2)&lt;=5,COUNTIF('Sources &amp; Change Log'!$J$2:$J$5,P$4)=0,COUNTIFS('Team Calendar'!$A$5:$A$12,$F37,'Team Calendar'!$C$5:$C$12,P$4)=0),1,"")</x:f>
      </x:c>
      <x:c r="Q37" s="153" t="str">
        <x:f>IF(AND(ISNUMBER($D37),ISNUMBER($E37),Q$4&gt;=$D37,Q$4&lt;=$E37,WEEKDAY(Q$4,2)&lt;=5,COUNTIF('Sources &amp; Change Log'!$J$2:$J$5,Q$4)=0,COUNTIFS('Team Calendar'!$A$5:$A$12,$F37,'Team Calendar'!$C$5:$C$12,Q$4)=0),1,"")</x:f>
      </x:c>
      <x:c r="R37" s="153" t="str">
        <x:f>IF(AND(ISNUMBER($D37),ISNUMBER($E37),R$4&gt;=$D37,R$4&lt;=$E37,WEEKDAY(R$4,2)&lt;=5,COUNTIF('Sources &amp; Change Log'!$J$2:$J$5,R$4)=0,COUNTIFS('Team Calendar'!$A$5:$A$12,$F37,'Team Calendar'!$C$5:$C$12,R$4)=0),1,"")</x:f>
      </x:c>
      <x:c r="S37" s="153" t="str">
        <x:f>IF(AND(ISNUMBER($D37),ISNUMBER($E37),S$4&gt;=$D37,S$4&lt;=$E37,WEEKDAY(S$4,2)&lt;=5,COUNTIF('Sources &amp; Change Log'!$J$2:$J$5,S$4)=0,COUNTIFS('Team Calendar'!$A$5:$A$12,$F37,'Team Calendar'!$C$5:$C$12,S$4)=0),1,"")</x:f>
      </x:c>
      <x:c r="T37" s="153" t="str">
        <x:f>IF(AND(ISNUMBER($D37),ISNUMBER($E37),T$4&gt;=$D37,T$4&lt;=$E37,WEEKDAY(T$4,2)&lt;=5,COUNTIF('Sources &amp; Change Log'!$J$2:$J$5,T$4)=0,COUNTIFS('Team Calendar'!$A$5:$A$12,$F37,'Team Calendar'!$C$5:$C$12,T$4)=0),1,"")</x:f>
      </x:c>
      <x:c r="U37" s="153" t="str">
        <x:f>IF(AND(ISNUMBER($D37),ISNUMBER($E37),U$4&gt;=$D37,U$4&lt;=$E37,WEEKDAY(U$4,2)&lt;=5,COUNTIF('Sources &amp; Change Log'!$J$2:$J$5,U$4)=0,COUNTIFS('Team Calendar'!$A$5:$A$12,$F37,'Team Calendar'!$C$5:$C$12,U$4)=0),1,"")</x:f>
      </x:c>
      <x:c r="V37" s="153" t="str">
        <x:f>IF(AND(ISNUMBER($D37),ISNUMBER($E37),V$4&gt;=$D37,V$4&lt;=$E37,WEEKDAY(V$4,2)&lt;=5,COUNTIF('Sources &amp; Change Log'!$J$2:$J$5,V$4)=0,COUNTIFS('Team Calendar'!$A$5:$A$12,$F37,'Team Calendar'!$C$5:$C$12,V$4)=0),1,"")</x:f>
      </x:c>
      <x:c r="W37" s="153" t="str">
        <x:f>IF(AND(ISNUMBER($D37),ISNUMBER($E37),W$4&gt;=$D37,W$4&lt;=$E37,WEEKDAY(W$4,2)&lt;=5,COUNTIF('Sources &amp; Change Log'!$J$2:$J$5,W$4)=0,COUNTIFS('Team Calendar'!$A$5:$A$12,$F37,'Team Calendar'!$C$5:$C$12,W$4)=0),1,"")</x:f>
      </x:c>
      <x:c r="X37" s="153" t="str">
        <x:f>IF(AND(ISNUMBER($D37),ISNUMBER($E37),X$4&gt;=$D37,X$4&lt;=$E37,WEEKDAY(X$4,2)&lt;=5,COUNTIF('Sources &amp; Change Log'!$J$2:$J$5,X$4)=0,COUNTIFS('Team Calendar'!$A$5:$A$12,$F37,'Team Calendar'!$C$5:$C$12,X$4)=0),1,"")</x:f>
      </x:c>
      <x:c r="Y37" s="153" t="str">
        <x:f>IF(AND(ISNUMBER($D37),ISNUMBER($E37),Y$4&gt;=$D37,Y$4&lt;=$E37,WEEKDAY(Y$4,2)&lt;=5,COUNTIF('Sources &amp; Change Log'!$J$2:$J$5,Y$4)=0,COUNTIFS('Team Calendar'!$A$5:$A$12,$F37,'Team Calendar'!$C$5:$C$12,Y$4)=0),1,"")</x:f>
      </x:c>
      <x:c r="Z37" s="153" t="n">
        <x:f>IF(AND(ISNUMBER($D37),ISNUMBER($E37),Z$4&gt;=$D37,Z$4&lt;=$E37,WEEKDAY(Z$4,2)&lt;=5,COUNTIF('Sources &amp; Change Log'!$J$2:$J$5,Z$4)=0,COUNTIFS('Team Calendar'!$A$5:$A$12,$F37,'Team Calendar'!$C$5:$C$12,Z$4)=0),1,"")</x:f>
        <x:v>1</x:v>
      </x:c>
      <x:c r="AA37" s="153" t="n">
        <x:f>IF(AND(ISNUMBER($D37),ISNUMBER($E37),AA$4&gt;=$D37,AA$4&lt;=$E37,WEEKDAY(AA$4,2)&lt;=5,COUNTIF('Sources &amp; Change Log'!$J$2:$J$5,AA$4)=0,COUNTIFS('Team Calendar'!$A$5:$A$12,$F37,'Team Calendar'!$C$5:$C$12,AA$4)=0),1,"")</x:f>
        <x:v>1</x:v>
      </x:c>
      <x:c r="AB37" s="153" t="n">
        <x:f>IF(AND(ISNUMBER($D37),ISNUMBER($E37),AB$4&gt;=$D37,AB$4&lt;=$E37,WEEKDAY(AB$4,2)&lt;=5,COUNTIF('Sources &amp; Change Log'!$J$2:$J$5,AB$4)=0,COUNTIFS('Team Calendar'!$A$5:$A$12,$F37,'Team Calendar'!$C$5:$C$12,AB$4)=0),1,"")</x:f>
        <x:v>1</x:v>
      </x:c>
      <x:c r="AC37" s="153" t="n">
        <x:f>IF(AND(ISNUMBER($D37),ISNUMBER($E37),AC$4&gt;=$D37,AC$4&lt;=$E37,WEEKDAY(AC$4,2)&lt;=5,COUNTIF('Sources &amp; Change Log'!$J$2:$J$5,AC$4)=0,COUNTIFS('Team Calendar'!$A$5:$A$12,$F37,'Team Calendar'!$C$5:$C$12,AC$4)=0),1,"")</x:f>
        <x:v>1</x:v>
      </x:c>
      <x:c r="AD37" s="153" t="n">
        <x:f>IF(AND(ISNUMBER($D37),ISNUMBER($E37),AD$4&gt;=$D37,AD$4&lt;=$E37,WEEKDAY(AD$4,2)&lt;=5,COUNTIF('Sources &amp; Change Log'!$J$2:$J$5,AD$4)=0,COUNTIFS('Team Calendar'!$A$5:$A$12,$F37,'Team Calendar'!$C$5:$C$12,AD$4)=0),1,"")</x:f>
        <x:v>1</x:v>
      </x:c>
      <x:c r="AE37" s="153" t="str">
        <x:f>IF(AND(ISNUMBER($D37),ISNUMBER($E37),AE$4&gt;=$D37,AE$4&lt;=$E37,WEEKDAY(AE$4,2)&lt;=5,COUNTIF('Sources &amp; Change Log'!$J$2:$J$5,AE$4)=0,COUNTIFS('Team Calendar'!$A$5:$A$12,$F37,'Team Calendar'!$C$5:$C$12,AE$4)=0),1,"")</x:f>
      </x:c>
      <x:c r="AF37" s="153" t="str">
        <x:f>IF(AND(ISNUMBER($D37),ISNUMBER($E37),AF$4&gt;=$D37,AF$4&lt;=$E37,WEEKDAY(AF$4,2)&lt;=5,COUNTIF('Sources &amp; Change Log'!$J$2:$J$5,AF$4)=0,COUNTIFS('Team Calendar'!$A$5:$A$12,$F37,'Team Calendar'!$C$5:$C$12,AF$4)=0),1,"")</x:f>
      </x:c>
      <x:c r="AG37" s="153" t="n">
        <x:f>IF(AND(ISNUMBER($D37),ISNUMBER($E37),AG$4&gt;=$D37,AG$4&lt;=$E37,WEEKDAY(AG$4,2)&lt;=5,COUNTIF('Sources &amp; Change Log'!$J$2:$J$5,AG$4)=0,COUNTIFS('Team Calendar'!$A$5:$A$12,$F37,'Team Calendar'!$C$5:$C$12,AG$4)=0),1,"")</x:f>
        <x:v>1</x:v>
      </x:c>
      <x:c r="AH37" s="153" t="str">
        <x:f>IF(AND(ISNUMBER($D37),ISNUMBER($E37),AH$4&gt;=$D37,AH$4&lt;=$E37,WEEKDAY(AH$4,2)&lt;=5,COUNTIF('Sources &amp; Change Log'!$J$2:$J$5,AH$4)=0,COUNTIFS('Team Calendar'!$A$5:$A$12,$F37,'Team Calendar'!$C$5:$C$12,AH$4)=0),1,"")</x:f>
      </x:c>
      <x:c r="AI37" s="153" t="str">
        <x:f>IF(AND(ISNUMBER($D37),ISNUMBER($E37),AI$4&gt;=$D37,AI$4&lt;=$E37,WEEKDAY(AI$4,2)&lt;=5,COUNTIF('Sources &amp; Change Log'!$J$2:$J$5,AI$4)=0,COUNTIFS('Team Calendar'!$A$5:$A$12,$F37,'Team Calendar'!$C$5:$C$12,AI$4)=0),1,"")</x:f>
      </x:c>
    </x:row>
  </x:sheetData>
  <x:mergeCells>
    <x:mergeCell ref="A1:AI1"/>
    <x:mergeCell ref="A2:AI2"/>
  </x:mergeCells>
  <x:conditionalFormatting sqref="G5:AI30">
    <x:cfRule type="expression" dxfId="6" priority="1">
      <x:formula>AND(G5=1,$C5="Done")</x:formula>
    </x:cfRule>
    <x:cfRule type="expression" dxfId="7" priority="2">
      <x:formula>AND(G5=1,$C5="In Progress")</x:formula>
    </x:cfRule>
    <x:cfRule type="expression" dxfId="8" priority="3">
      <x:formula>AND(G5=1,$C5="In Review")</x:formula>
    </x:cfRule>
    <x:cfRule type="expression" dxfId="9" priority="4">
      <x:formula>AND(G5=1,$C5="To Do")</x:formula>
    </x:cfRule>
    <x:cfRule type="expression" dxfId="10" priority="5">
      <x:formula>AND(G5=1,$C5="Blocked")</x:formula>
    </x:cfRule>
  </x:conditionalFormatting>
  <x:conditionalFormatting sqref="C5:C30">
    <x:cfRule type="containsText" dxfId="11" priority="6" operator="containsText" text="Done"/>
    <x:cfRule type="containsText" dxfId="12" priority="7" operator="containsText" text="In Progress"/>
    <x:cfRule type="containsText" dxfId="13" priority="8" operator="containsText" text="In Review"/>
  </x:conditionalFormatting>
  <x:conditionalFormatting sqref="G31:AI34">
    <x:cfRule type="expression" dxfId="29" priority="9">
      <x:formula>AND(G31=1,$C31="Done")</x:formula>
    </x:cfRule>
    <x:cfRule type="expression" dxfId="31" priority="11">
      <x:formula>AND(G31=1,$C31="In Progress")</x:formula>
    </x:cfRule>
    <x:cfRule type="expression" dxfId="33" priority="13">
      <x:formula>AND(G31=1,$C31="In Review")</x:formula>
    </x:cfRule>
    <x:cfRule type="expression" dxfId="35" priority="15">
      <x:formula>AND(G31=1,$C31="Blocked")</x:formula>
    </x:cfRule>
    <x:cfRule type="expression" dxfId="36" priority="16">
      <x:formula>AND(G31=1,$C31="To Do")</x:formula>
    </x:cfRule>
  </x:conditionalFormatting>
  <x:conditionalFormatting sqref="C31:C34">
    <x:cfRule type="containsText" dxfId="30" priority="10" operator="containsText" text="Done"/>
    <x:cfRule type="containsText" dxfId="32" priority="12" operator="containsText" text="In Progress"/>
    <x:cfRule type="containsText" dxfId="34" priority="14" operator="containsText" text="In Review"/>
  </x:conditionalFormatting>
  <x:conditionalFormatting sqref="G35:AI37">
    <x:cfRule type="cellIs" dxfId="42" priority="17" operator="equal">
      <x:formula>1</x:formula>
    </x:cfRule>
  </x:conditionalFormatting>
  <x:conditionalFormatting sqref="C35:C37">
    <x:cfRule type="containsText" dxfId="43" priority="18" operator="containsText" text="Done"/>
    <x:cfRule type="containsText" dxfId="44" priority="19" operator="containsText" text="In Progress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3" hidden="0" customWidth="1"/>
    <x:col min="5" max="5" width="13" hidden="0" customWidth="1"/>
    <x:col min="6" max="6" width="14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  <x:col min="30" max="30" width="5.5" hidden="0" customWidth="1"/>
    <x:col min="31" max="31" width="5.5" hidden="0" customWidth="1"/>
    <x:col min="32" max="32" width="5.5" hidden="0" customWidth="1"/>
    <x:col min="33" max="33" width="5.5" hidden="0" customWidth="1"/>
    <x:col min="34" max="34" width="5.5" hidden="0" customWidth="1"/>
    <x:col min="35" max="35" width="5.5" hidden="0" customWidth="1"/>
  </x:cols>
  <x:sheetData>
    <x:row r="1" ht="34" customHeight="1">
      <x:c r="A1" s="79" t="str">
        <x:v>FDS v3.1.19 · Phase 2 Gantt (CANDIDATE)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  <x:c r="AA1" s="79"/>
      <x:c r="AB1" s="79"/>
      <x:c r="AC1" s="79"/>
      <x:c r="AD1" s="79"/>
      <x:c r="AE1" s="79"/>
      <x:c r="AF1" s="79"/>
      <x:c r="AG1" s="79"/>
      <x:c r="AH1" s="79"/>
      <x:c r="AI1" s="79"/>
    </x:row>
    <x:row r="2">
      <x:c r="A2" s="21" t="str">
        <x:v>계획은 유연한 목표. 색상/막대는 예정 창이며 Runtime 완료율이 아님.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  <x:c r="AE2" s="21"/>
      <x:c r="AF2" s="21"/>
      <x:c r="AG2" s="21"/>
      <x:c r="AH2" s="21"/>
      <x:c r="AI2" s="21"/>
    </x:row>
    <x:row r="3">
      <x:c r="A3" t="str">
        <x:v>Bars = Lead available weekdays within plan window; weekend/holiday/Lead absence excluded. Support allocations: Fast Track Plan.</x:v>
      </x:c>
    </x:row>
    <x:row r="4">
      <x:c r="A4" s="9" t="str">
        <x:v>WBS ID</x:v>
      </x:c>
      <x:c r="B4" s="9" t="str">
        <x:v>Work Item</x:v>
      </x:c>
      <x:c r="C4" s="9" t="str">
        <x:v>Status</x:v>
      </x:c>
      <x:c r="D4" s="9" t="str">
        <x:v>Start</x:v>
      </x:c>
      <x:c r="E4" s="9" t="str">
        <x:v>End</x:v>
      </x:c>
      <x:c r="F4" s="9" t="str">
        <x:v>Lead</x:v>
      </x:c>
      <x:c r="G4" s="22" t="n">
        <x:v>46293</x:v>
      </x:c>
      <x:c r="H4" s="22" t="n">
        <x:v>46294</x:v>
      </x:c>
      <x:c r="I4" s="22" t="n">
        <x:v>46295</x:v>
      </x:c>
      <x:c r="J4" s="22" t="n">
        <x:v>46296</x:v>
      </x:c>
      <x:c r="K4" s="22" t="n">
        <x:v>46297</x:v>
      </x:c>
      <x:c r="L4" s="109" t="n">
        <x:v>46298</x:v>
      </x:c>
      <x:c r="M4" s="109" t="n">
        <x:v>46299</x:v>
      </x:c>
      <x:c r="N4" s="22" t="n">
        <x:v>46300</x:v>
      </x:c>
      <x:c r="O4" s="22" t="n">
        <x:v>46301</x:v>
      </x:c>
      <x:c r="P4" s="22" t="n">
        <x:v>46302</x:v>
      </x:c>
      <x:c r="Q4" s="22" t="n">
        <x:v>46303</x:v>
      </x:c>
      <x:c r="R4" s="22" t="n">
        <x:v>46304</x:v>
      </x:c>
      <x:c r="S4" s="109" t="n">
        <x:v>46305</x:v>
      </x:c>
      <x:c r="T4" s="109" t="n">
        <x:v>46306</x:v>
      </x:c>
      <x:c r="U4" s="22" t="n">
        <x:v>46307</x:v>
      </x:c>
      <x:c r="V4" s="22" t="n">
        <x:v>46308</x:v>
      </x:c>
      <x:c r="W4" s="22" t="n">
        <x:v>46309</x:v>
      </x:c>
      <x:c r="X4" s="22" t="n">
        <x:v>46310</x:v>
      </x:c>
      <x:c r="Y4" s="22" t="n">
        <x:v>46311</x:v>
      </x:c>
      <x:c r="Z4" s="109" t="n">
        <x:v>46312</x:v>
      </x:c>
      <x:c r="AA4" s="109" t="n">
        <x:v>46313</x:v>
      </x:c>
      <x:c r="AB4" s="22" t="n">
        <x:v>46314</x:v>
      </x:c>
      <x:c r="AC4" s="22" t="n">
        <x:v>46315</x:v>
      </x:c>
      <x:c r="AD4" s="22" t="n">
        <x:v>46316</x:v>
      </x:c>
      <x:c r="AE4" s="22" t="n">
        <x:v>46317</x:v>
      </x:c>
      <x:c r="AF4" s="22" t="n">
        <x:v>46318</x:v>
      </x:c>
      <x:c r="AG4" s="109" t="n">
        <x:v>46319</x:v>
      </x:c>
      <x:c r="AH4" s="109" t="n">
        <x:v>46320</x:v>
      </x:c>
      <x:c r="AI4" s="22" t="n">
        <x:v>46321</x:v>
      </x:c>
    </x:row>
    <x:row r="5" ht="24" customHeight="1">
      <x:c r="A5" s="13" t="str">
        <x:f>WBS!A31</x:f>
        <x:v>MS-P2-START-01</x:v>
      </x:c>
      <x:c r="B5" s="13" t="str">
        <x:f>WBS!B31</x:f>
        <x:v>Phase 2 Start</x:v>
      </x:c>
      <x:c r="C5" s="13" t="str">
        <x:f>WBS!G31</x:f>
        <x:v>To Do</x:v>
      </x:c>
      <x:c r="D5" s="86" t="n">
        <x:f>IF(WBS!H31="","",WBS!H31)</x:f>
        <x:v>46293</x:v>
      </x:c>
      <x:c r="E5" s="86" t="n">
        <x:f>IF(WBS!I31="","",WBS!I31)</x:f>
        <x:v>46293</x:v>
      </x:c>
      <x:c r="F5" s="13" t="str">
        <x:f>WBS!L31</x:f>
        <x:v>이권욱</x:v>
      </x:c>
      <x:c r="G5" s="100" t="n">
        <x:f>IF(AND(ISNUMBER($D5),ISNUMBER($E5),G$4&gt;=$D5,G$4&lt;=$E5,WEEKDAY(G$4,2)&lt;=5,COUNTIF('Sources &amp; Change Log'!$J$2:$J$5,G$4)=0,COUNTIFS('Team Calendar'!$A$5:$A$12,$F5,'Team Calendar'!$C$5:$C$12,G$4)=0),1,"")</x:f>
        <x:v>1</x:v>
      </x:c>
      <x:c r="H5" s="100" t="str">
        <x:f>IF(AND(ISNUMBER($D5),ISNUMBER($E5),H$4&gt;=$D5,H$4&lt;=$E5,WEEKDAY(H$4,2)&lt;=5,COUNTIF('Sources &amp; Change Log'!$J$2:$J$5,H$4)=0,COUNTIFS('Team Calendar'!$A$5:$A$12,$F5,'Team Calendar'!$C$5:$C$12,H$4)=0),1,"")</x:f>
      </x:c>
      <x:c r="I5" s="100" t="str">
        <x:f>IF(AND(ISNUMBER($D5),ISNUMBER($E5),I$4&gt;=$D5,I$4&lt;=$E5,WEEKDAY(I$4,2)&lt;=5,COUNTIF('Sources &amp; Change Log'!$J$2:$J$5,I$4)=0,COUNTIFS('Team Calendar'!$A$5:$A$12,$F5,'Team Calendar'!$C$5:$C$12,I$4)=0),1,"")</x:f>
      </x:c>
      <x:c r="J5" s="100" t="str">
        <x:f>IF(AND(ISNUMBER($D5),ISNUMBER($E5),J$4&gt;=$D5,J$4&lt;=$E5,WEEKDAY(J$4,2)&lt;=5,COUNTIF('Sources &amp; Change Log'!$J$2:$J$5,J$4)=0,COUNTIFS('Team Calendar'!$A$5:$A$12,$F5,'Team Calendar'!$C$5:$C$12,J$4)=0),1,"")</x:f>
      </x:c>
      <x:c r="K5" s="100" t="str">
        <x:f>IF(AND(ISNUMBER($D5),ISNUMBER($E5),K$4&gt;=$D5,K$4&lt;=$E5,WEEKDAY(K$4,2)&lt;=5,COUNTIF('Sources &amp; Change Log'!$J$2:$J$5,K$4)=0,COUNTIFS('Team Calendar'!$A$5:$A$12,$F5,'Team Calendar'!$C$5:$C$12,K$4)=0),1,"")</x:f>
      </x:c>
      <x:c r="L5" s="107" t="str">
        <x:f>IF(AND(ISNUMBER($D5),ISNUMBER($E5),L$4&gt;=$D5,L$4&lt;=$E5,WEEKDAY(L$4,2)&lt;=5,COUNTIF('Sources &amp; Change Log'!$J$2:$J$5,L$4)=0,COUNTIFS('Team Calendar'!$A$5:$A$12,$F5,'Team Calendar'!$C$5:$C$12,L$4)=0),1,"")</x:f>
      </x:c>
      <x:c r="M5" s="107" t="str">
        <x:f>IF(AND(ISNUMBER($D5),ISNUMBER($E5),M$4&gt;=$D5,M$4&lt;=$E5,WEEKDAY(M$4,2)&lt;=5,COUNTIF('Sources &amp; Change Log'!$J$2:$J$5,M$4)=0,COUNTIFS('Team Calendar'!$A$5:$A$12,$F5,'Team Calendar'!$C$5:$C$12,M$4)=0),1,"")</x:f>
      </x:c>
      <x:c r="N5" s="100" t="str">
        <x:f>IF(AND(ISNUMBER($D5),ISNUMBER($E5),N$4&gt;=$D5,N$4&lt;=$E5,WEEKDAY(N$4,2)&lt;=5,COUNTIF('Sources &amp; Change Log'!$J$2:$J$5,N$4)=0,COUNTIFS('Team Calendar'!$A$5:$A$12,$F5,'Team Calendar'!$C$5:$C$12,N$4)=0),1,"")</x:f>
      </x:c>
      <x:c r="O5" s="100" t="str">
        <x:f>IF(AND(ISNUMBER($D5),ISNUMBER($E5),O$4&gt;=$D5,O$4&lt;=$E5,WEEKDAY(O$4,2)&lt;=5,COUNTIF('Sources &amp; Change Log'!$J$2:$J$5,O$4)=0,COUNTIFS('Team Calendar'!$A$5:$A$12,$F5,'Team Calendar'!$C$5:$C$12,O$4)=0),1,"")</x:f>
      </x:c>
      <x:c r="P5" s="100" t="str">
        <x:f>IF(AND(ISNUMBER($D5),ISNUMBER($E5),P$4&gt;=$D5,P$4&lt;=$E5,WEEKDAY(P$4,2)&lt;=5,COUNTIF('Sources &amp; Change Log'!$J$2:$J$5,P$4)=0,COUNTIFS('Team Calendar'!$A$5:$A$12,$F5,'Team Calendar'!$C$5:$C$12,P$4)=0),1,"")</x:f>
      </x:c>
      <x:c r="Q5" s="100" t="str">
        <x:f>IF(AND(ISNUMBER($D5),ISNUMBER($E5),Q$4&gt;=$D5,Q$4&lt;=$E5,WEEKDAY(Q$4,2)&lt;=5,COUNTIF('Sources &amp; Change Log'!$J$2:$J$5,Q$4)=0,COUNTIFS('Team Calendar'!$A$5:$A$12,$F5,'Team Calendar'!$C$5:$C$12,Q$4)=0),1,"")</x:f>
      </x:c>
      <x:c r="R5" s="100" t="str">
        <x:f>IF(AND(ISNUMBER($D5),ISNUMBER($E5),R$4&gt;=$D5,R$4&lt;=$E5,WEEKDAY(R$4,2)&lt;=5,COUNTIF('Sources &amp; Change Log'!$J$2:$J$5,R$4)=0,COUNTIFS('Team Calendar'!$A$5:$A$12,$F5,'Team Calendar'!$C$5:$C$12,R$4)=0),1,"")</x:f>
      </x:c>
      <x:c r="S5" s="107" t="str">
        <x:f>IF(AND(ISNUMBER($D5),ISNUMBER($E5),S$4&gt;=$D5,S$4&lt;=$E5,WEEKDAY(S$4,2)&lt;=5,COUNTIF('Sources &amp; Change Log'!$J$2:$J$5,S$4)=0,COUNTIFS('Team Calendar'!$A$5:$A$12,$F5,'Team Calendar'!$C$5:$C$12,S$4)=0),1,"")</x:f>
      </x:c>
      <x:c r="T5" s="107" t="str">
        <x:f>IF(AND(ISNUMBER($D5),ISNUMBER($E5),T$4&gt;=$D5,T$4&lt;=$E5,WEEKDAY(T$4,2)&lt;=5,COUNTIF('Sources &amp; Change Log'!$J$2:$J$5,T$4)=0,COUNTIFS('Team Calendar'!$A$5:$A$12,$F5,'Team Calendar'!$C$5:$C$12,T$4)=0),1,"")</x:f>
      </x:c>
      <x:c r="U5" s="100" t="str">
        <x:f>IF(AND(ISNUMBER($D5),ISNUMBER($E5),U$4&gt;=$D5,U$4&lt;=$E5,WEEKDAY(U$4,2)&lt;=5,COUNTIF('Sources &amp; Change Log'!$J$2:$J$5,U$4)=0,COUNTIFS('Team Calendar'!$A$5:$A$12,$F5,'Team Calendar'!$C$5:$C$12,U$4)=0),1,"")</x:f>
      </x:c>
      <x:c r="V5" s="100" t="str">
        <x:f>IF(AND(ISNUMBER($D5),ISNUMBER($E5),V$4&gt;=$D5,V$4&lt;=$E5,WEEKDAY(V$4,2)&lt;=5,COUNTIF('Sources &amp; Change Log'!$J$2:$J$5,V$4)=0,COUNTIFS('Team Calendar'!$A$5:$A$12,$F5,'Team Calendar'!$C$5:$C$12,V$4)=0),1,"")</x:f>
      </x:c>
      <x:c r="W5" s="100" t="str">
        <x:f>IF(AND(ISNUMBER($D5),ISNUMBER($E5),W$4&gt;=$D5,W$4&lt;=$E5,WEEKDAY(W$4,2)&lt;=5,COUNTIF('Sources &amp; Change Log'!$J$2:$J$5,W$4)=0,COUNTIFS('Team Calendar'!$A$5:$A$12,$F5,'Team Calendar'!$C$5:$C$12,W$4)=0),1,"")</x:f>
      </x:c>
      <x:c r="X5" s="100" t="str">
        <x:f>IF(AND(ISNUMBER($D5),ISNUMBER($E5),X$4&gt;=$D5,X$4&lt;=$E5,WEEKDAY(X$4,2)&lt;=5,COUNTIF('Sources &amp; Change Log'!$J$2:$J$5,X$4)=0,COUNTIFS('Team Calendar'!$A$5:$A$12,$F5,'Team Calendar'!$C$5:$C$12,X$4)=0),1,"")</x:f>
      </x:c>
      <x:c r="Y5" s="100" t="str">
        <x:f>IF(AND(ISNUMBER($D5),ISNUMBER($E5),Y$4&gt;=$D5,Y$4&lt;=$E5,WEEKDAY(Y$4,2)&lt;=5,COUNTIF('Sources &amp; Change Log'!$J$2:$J$5,Y$4)=0,COUNTIFS('Team Calendar'!$A$5:$A$12,$F5,'Team Calendar'!$C$5:$C$12,Y$4)=0),1,"")</x:f>
      </x:c>
      <x:c r="Z5" s="107" t="str">
        <x:f>IF(AND(ISNUMBER($D5),ISNUMBER($E5),Z$4&gt;=$D5,Z$4&lt;=$E5,WEEKDAY(Z$4,2)&lt;=5,COUNTIF('Sources &amp; Change Log'!$J$2:$J$5,Z$4)=0,COUNTIFS('Team Calendar'!$A$5:$A$12,$F5,'Team Calendar'!$C$5:$C$12,Z$4)=0),1,"")</x:f>
      </x:c>
      <x:c r="AA5" s="107" t="str">
        <x:f>IF(AND(ISNUMBER($D5),ISNUMBER($E5),AA$4&gt;=$D5,AA$4&lt;=$E5,WEEKDAY(AA$4,2)&lt;=5,COUNTIF('Sources &amp; Change Log'!$J$2:$J$5,AA$4)=0,COUNTIFS('Team Calendar'!$A$5:$A$12,$F5,'Team Calendar'!$C$5:$C$12,AA$4)=0),1,"")</x:f>
      </x:c>
      <x:c r="AB5" s="100" t="str">
        <x:f>IF(AND(ISNUMBER($D5),ISNUMBER($E5),AB$4&gt;=$D5,AB$4&lt;=$E5,WEEKDAY(AB$4,2)&lt;=5,COUNTIF('Sources &amp; Change Log'!$J$2:$J$5,AB$4)=0,COUNTIFS('Team Calendar'!$A$5:$A$12,$F5,'Team Calendar'!$C$5:$C$12,AB$4)=0),1,"")</x:f>
      </x:c>
      <x:c r="AC5" s="100" t="str">
        <x:f>IF(AND(ISNUMBER($D5),ISNUMBER($E5),AC$4&gt;=$D5,AC$4&lt;=$E5,WEEKDAY(AC$4,2)&lt;=5,COUNTIF('Sources &amp; Change Log'!$J$2:$J$5,AC$4)=0,COUNTIFS('Team Calendar'!$A$5:$A$12,$F5,'Team Calendar'!$C$5:$C$12,AC$4)=0),1,"")</x:f>
      </x:c>
      <x:c r="AD5" s="100" t="str">
        <x:f>IF(AND(ISNUMBER($D5),ISNUMBER($E5),AD$4&gt;=$D5,AD$4&lt;=$E5,WEEKDAY(AD$4,2)&lt;=5,COUNTIF('Sources &amp; Change Log'!$J$2:$J$5,AD$4)=0,COUNTIFS('Team Calendar'!$A$5:$A$12,$F5,'Team Calendar'!$C$5:$C$12,AD$4)=0),1,"")</x:f>
      </x:c>
      <x:c r="AE5" s="100" t="str">
        <x:f>IF(AND(ISNUMBER($D5),ISNUMBER($E5),AE$4&gt;=$D5,AE$4&lt;=$E5,WEEKDAY(AE$4,2)&lt;=5,COUNTIF('Sources &amp; Change Log'!$J$2:$J$5,AE$4)=0,COUNTIFS('Team Calendar'!$A$5:$A$12,$F5,'Team Calendar'!$C$5:$C$12,AE$4)=0),1,"")</x:f>
      </x:c>
      <x:c r="AF5" s="100" t="str">
        <x:f>IF(AND(ISNUMBER($D5),ISNUMBER($E5),AF$4&gt;=$D5,AF$4&lt;=$E5,WEEKDAY(AF$4,2)&lt;=5,COUNTIF('Sources &amp; Change Log'!$J$2:$J$5,AF$4)=0,COUNTIFS('Team Calendar'!$A$5:$A$12,$F5,'Team Calendar'!$C$5:$C$12,AF$4)=0),1,"")</x:f>
      </x:c>
      <x:c r="AG5" s="107" t="str">
        <x:f>IF(AND(ISNUMBER($D5),ISNUMBER($E5),AG$4&gt;=$D5,AG$4&lt;=$E5,WEEKDAY(AG$4,2)&lt;=5,COUNTIF('Sources &amp; Change Log'!$J$2:$J$5,AG$4)=0,COUNTIFS('Team Calendar'!$A$5:$A$12,$F5,'Team Calendar'!$C$5:$C$12,AG$4)=0),1,"")</x:f>
      </x:c>
      <x:c r="AH5" s="107" t="str">
        <x:f>IF(AND(ISNUMBER($D5),ISNUMBER($E5),AH$4&gt;=$D5,AH$4&lt;=$E5,WEEKDAY(AH$4,2)&lt;=5,COUNTIF('Sources &amp; Change Log'!$J$2:$J$5,AH$4)=0,COUNTIFS('Team Calendar'!$A$5:$A$12,$F5,'Team Calendar'!$C$5:$C$12,AH$4)=0),1,"")</x:f>
      </x:c>
      <x:c r="AI5" s="100" t="str">
        <x:f>IF(AND(ISNUMBER($D5),ISNUMBER($E5),AI$4&gt;=$D5,AI$4&lt;=$E5,WEEKDAY(AI$4,2)&lt;=5,COUNTIF('Sources &amp; Change Log'!$J$2:$J$5,AI$4)=0,COUNTIFS('Team Calendar'!$A$5:$A$12,$F5,'Team Calendar'!$C$5:$C$12,AI$4)=0),1,"")</x:f>
      </x:c>
    </x:row>
    <x:row r="6" ht="24" customHeight="1">
      <x:c r="A6" s="13" t="str">
        <x:f>WBS!A32</x:f>
        <x:v>P2-ARC-01</x:v>
      </x:c>
      <x:c r="B6" s="13" t="str">
        <x:f>WBS!B32</x:f>
        <x:v>Hybrid / OCI / AWS / ROSA Architecture Freeze</x:v>
      </x:c>
      <x:c r="C6" s="13" t="str">
        <x:f>WBS!G32</x:f>
        <x:v>To Do</x:v>
      </x:c>
      <x:c r="D6" s="86" t="n">
        <x:f>IF(WBS!H32="","",WBS!H32)</x:f>
        <x:v>46293</x:v>
      </x:c>
      <x:c r="E6" s="86" t="n">
        <x:f>IF(WBS!I32="","",WBS!I32)</x:f>
        <x:v>46293</x:v>
      </x:c>
      <x:c r="F6" s="13" t="str">
        <x:f>WBS!L32</x:f>
        <x:v>이권욱</x:v>
      </x:c>
      <x:c r="G6" s="100" t="n">
        <x:f>IF(AND(ISNUMBER($D6),ISNUMBER($E6),G$4&gt;=$D6,G$4&lt;=$E6,WEEKDAY(G$4,2)&lt;=5,COUNTIF('Sources &amp; Change Log'!$J$2:$J$5,G$4)=0,COUNTIFS('Team Calendar'!$A$5:$A$12,$F6,'Team Calendar'!$C$5:$C$12,G$4)=0),1,"")</x:f>
        <x:v>1</x:v>
      </x:c>
      <x:c r="H6" s="100" t="str">
        <x:f>IF(AND(ISNUMBER($D6),ISNUMBER($E6),H$4&gt;=$D6,H$4&lt;=$E6,WEEKDAY(H$4,2)&lt;=5,COUNTIF('Sources &amp; Change Log'!$J$2:$J$5,H$4)=0,COUNTIFS('Team Calendar'!$A$5:$A$12,$F6,'Team Calendar'!$C$5:$C$12,H$4)=0),1,"")</x:f>
      </x:c>
      <x:c r="I6" s="100" t="str">
        <x:f>IF(AND(ISNUMBER($D6),ISNUMBER($E6),I$4&gt;=$D6,I$4&lt;=$E6,WEEKDAY(I$4,2)&lt;=5,COUNTIF('Sources &amp; Change Log'!$J$2:$J$5,I$4)=0,COUNTIFS('Team Calendar'!$A$5:$A$12,$F6,'Team Calendar'!$C$5:$C$12,I$4)=0),1,"")</x:f>
      </x:c>
      <x:c r="J6" s="100" t="str">
        <x:f>IF(AND(ISNUMBER($D6),ISNUMBER($E6),J$4&gt;=$D6,J$4&lt;=$E6,WEEKDAY(J$4,2)&lt;=5,COUNTIF('Sources &amp; Change Log'!$J$2:$J$5,J$4)=0,COUNTIFS('Team Calendar'!$A$5:$A$12,$F6,'Team Calendar'!$C$5:$C$12,J$4)=0),1,"")</x:f>
      </x:c>
      <x:c r="K6" s="100" t="str">
        <x:f>IF(AND(ISNUMBER($D6),ISNUMBER($E6),K$4&gt;=$D6,K$4&lt;=$E6,WEEKDAY(K$4,2)&lt;=5,COUNTIF('Sources &amp; Change Log'!$J$2:$J$5,K$4)=0,COUNTIFS('Team Calendar'!$A$5:$A$12,$F6,'Team Calendar'!$C$5:$C$12,K$4)=0),1,"")</x:f>
      </x:c>
      <x:c r="L6" s="107" t="str">
        <x:f>IF(AND(ISNUMBER($D6),ISNUMBER($E6),L$4&gt;=$D6,L$4&lt;=$E6,WEEKDAY(L$4,2)&lt;=5,COUNTIF('Sources &amp; Change Log'!$J$2:$J$5,L$4)=0,COUNTIFS('Team Calendar'!$A$5:$A$12,$F6,'Team Calendar'!$C$5:$C$12,L$4)=0),1,"")</x:f>
      </x:c>
      <x:c r="M6" s="107" t="str">
        <x:f>IF(AND(ISNUMBER($D6),ISNUMBER($E6),M$4&gt;=$D6,M$4&lt;=$E6,WEEKDAY(M$4,2)&lt;=5,COUNTIF('Sources &amp; Change Log'!$J$2:$J$5,M$4)=0,COUNTIFS('Team Calendar'!$A$5:$A$12,$F6,'Team Calendar'!$C$5:$C$12,M$4)=0),1,"")</x:f>
      </x:c>
      <x:c r="N6" s="100" t="str">
        <x:f>IF(AND(ISNUMBER($D6),ISNUMBER($E6),N$4&gt;=$D6,N$4&lt;=$E6,WEEKDAY(N$4,2)&lt;=5,COUNTIF('Sources &amp; Change Log'!$J$2:$J$5,N$4)=0,COUNTIFS('Team Calendar'!$A$5:$A$12,$F6,'Team Calendar'!$C$5:$C$12,N$4)=0),1,"")</x:f>
      </x:c>
      <x:c r="O6" s="100" t="str">
        <x:f>IF(AND(ISNUMBER($D6),ISNUMBER($E6),O$4&gt;=$D6,O$4&lt;=$E6,WEEKDAY(O$4,2)&lt;=5,COUNTIF('Sources &amp; Change Log'!$J$2:$J$5,O$4)=0,COUNTIFS('Team Calendar'!$A$5:$A$12,$F6,'Team Calendar'!$C$5:$C$12,O$4)=0),1,"")</x:f>
      </x:c>
      <x:c r="P6" s="100" t="str">
        <x:f>IF(AND(ISNUMBER($D6),ISNUMBER($E6),P$4&gt;=$D6,P$4&lt;=$E6,WEEKDAY(P$4,2)&lt;=5,COUNTIF('Sources &amp; Change Log'!$J$2:$J$5,P$4)=0,COUNTIFS('Team Calendar'!$A$5:$A$12,$F6,'Team Calendar'!$C$5:$C$12,P$4)=0),1,"")</x:f>
      </x:c>
      <x:c r="Q6" s="100" t="str">
        <x:f>IF(AND(ISNUMBER($D6),ISNUMBER($E6),Q$4&gt;=$D6,Q$4&lt;=$E6,WEEKDAY(Q$4,2)&lt;=5,COUNTIF('Sources &amp; Change Log'!$J$2:$J$5,Q$4)=0,COUNTIFS('Team Calendar'!$A$5:$A$12,$F6,'Team Calendar'!$C$5:$C$12,Q$4)=0),1,"")</x:f>
      </x:c>
      <x:c r="R6" s="100" t="str">
        <x:f>IF(AND(ISNUMBER($D6),ISNUMBER($E6),R$4&gt;=$D6,R$4&lt;=$E6,WEEKDAY(R$4,2)&lt;=5,COUNTIF('Sources &amp; Change Log'!$J$2:$J$5,R$4)=0,COUNTIFS('Team Calendar'!$A$5:$A$12,$F6,'Team Calendar'!$C$5:$C$12,R$4)=0),1,"")</x:f>
      </x:c>
      <x:c r="S6" s="107" t="str">
        <x:f>IF(AND(ISNUMBER($D6),ISNUMBER($E6),S$4&gt;=$D6,S$4&lt;=$E6,WEEKDAY(S$4,2)&lt;=5,COUNTIF('Sources &amp; Change Log'!$J$2:$J$5,S$4)=0,COUNTIFS('Team Calendar'!$A$5:$A$12,$F6,'Team Calendar'!$C$5:$C$12,S$4)=0),1,"")</x:f>
      </x:c>
      <x:c r="T6" s="107" t="str">
        <x:f>IF(AND(ISNUMBER($D6),ISNUMBER($E6),T$4&gt;=$D6,T$4&lt;=$E6,WEEKDAY(T$4,2)&lt;=5,COUNTIF('Sources &amp; Change Log'!$J$2:$J$5,T$4)=0,COUNTIFS('Team Calendar'!$A$5:$A$12,$F6,'Team Calendar'!$C$5:$C$12,T$4)=0),1,"")</x:f>
      </x:c>
      <x:c r="U6" s="100" t="str">
        <x:f>IF(AND(ISNUMBER($D6),ISNUMBER($E6),U$4&gt;=$D6,U$4&lt;=$E6,WEEKDAY(U$4,2)&lt;=5,COUNTIF('Sources &amp; Change Log'!$J$2:$J$5,U$4)=0,COUNTIFS('Team Calendar'!$A$5:$A$12,$F6,'Team Calendar'!$C$5:$C$12,U$4)=0),1,"")</x:f>
      </x:c>
      <x:c r="V6" s="100" t="str">
        <x:f>IF(AND(ISNUMBER($D6),ISNUMBER($E6),V$4&gt;=$D6,V$4&lt;=$E6,WEEKDAY(V$4,2)&lt;=5,COUNTIF('Sources &amp; Change Log'!$J$2:$J$5,V$4)=0,COUNTIFS('Team Calendar'!$A$5:$A$12,$F6,'Team Calendar'!$C$5:$C$12,V$4)=0),1,"")</x:f>
      </x:c>
      <x:c r="W6" s="100" t="str">
        <x:f>IF(AND(ISNUMBER($D6),ISNUMBER($E6),W$4&gt;=$D6,W$4&lt;=$E6,WEEKDAY(W$4,2)&lt;=5,COUNTIF('Sources &amp; Change Log'!$J$2:$J$5,W$4)=0,COUNTIFS('Team Calendar'!$A$5:$A$12,$F6,'Team Calendar'!$C$5:$C$12,W$4)=0),1,"")</x:f>
      </x:c>
      <x:c r="X6" s="100" t="str">
        <x:f>IF(AND(ISNUMBER($D6),ISNUMBER($E6),X$4&gt;=$D6,X$4&lt;=$E6,WEEKDAY(X$4,2)&lt;=5,COUNTIF('Sources &amp; Change Log'!$J$2:$J$5,X$4)=0,COUNTIFS('Team Calendar'!$A$5:$A$12,$F6,'Team Calendar'!$C$5:$C$12,X$4)=0),1,"")</x:f>
      </x:c>
      <x:c r="Y6" s="100" t="str">
        <x:f>IF(AND(ISNUMBER($D6),ISNUMBER($E6),Y$4&gt;=$D6,Y$4&lt;=$E6,WEEKDAY(Y$4,2)&lt;=5,COUNTIF('Sources &amp; Change Log'!$J$2:$J$5,Y$4)=0,COUNTIFS('Team Calendar'!$A$5:$A$12,$F6,'Team Calendar'!$C$5:$C$12,Y$4)=0),1,"")</x:f>
      </x:c>
      <x:c r="Z6" s="107" t="str">
        <x:f>IF(AND(ISNUMBER($D6),ISNUMBER($E6),Z$4&gt;=$D6,Z$4&lt;=$E6,WEEKDAY(Z$4,2)&lt;=5,COUNTIF('Sources &amp; Change Log'!$J$2:$J$5,Z$4)=0,COUNTIFS('Team Calendar'!$A$5:$A$12,$F6,'Team Calendar'!$C$5:$C$12,Z$4)=0),1,"")</x:f>
      </x:c>
      <x:c r="AA6" s="107" t="str">
        <x:f>IF(AND(ISNUMBER($D6),ISNUMBER($E6),AA$4&gt;=$D6,AA$4&lt;=$E6,WEEKDAY(AA$4,2)&lt;=5,COUNTIF('Sources &amp; Change Log'!$J$2:$J$5,AA$4)=0,COUNTIFS('Team Calendar'!$A$5:$A$12,$F6,'Team Calendar'!$C$5:$C$12,AA$4)=0),1,"")</x:f>
      </x:c>
      <x:c r="AB6" s="100" t="str">
        <x:f>IF(AND(ISNUMBER($D6),ISNUMBER($E6),AB$4&gt;=$D6,AB$4&lt;=$E6,WEEKDAY(AB$4,2)&lt;=5,COUNTIF('Sources &amp; Change Log'!$J$2:$J$5,AB$4)=0,COUNTIFS('Team Calendar'!$A$5:$A$12,$F6,'Team Calendar'!$C$5:$C$12,AB$4)=0),1,"")</x:f>
      </x:c>
      <x:c r="AC6" s="100" t="str">
        <x:f>IF(AND(ISNUMBER($D6),ISNUMBER($E6),AC$4&gt;=$D6,AC$4&lt;=$E6,WEEKDAY(AC$4,2)&lt;=5,COUNTIF('Sources &amp; Change Log'!$J$2:$J$5,AC$4)=0,COUNTIFS('Team Calendar'!$A$5:$A$12,$F6,'Team Calendar'!$C$5:$C$12,AC$4)=0),1,"")</x:f>
      </x:c>
      <x:c r="AD6" s="100" t="str">
        <x:f>IF(AND(ISNUMBER($D6),ISNUMBER($E6),AD$4&gt;=$D6,AD$4&lt;=$E6,WEEKDAY(AD$4,2)&lt;=5,COUNTIF('Sources &amp; Change Log'!$J$2:$J$5,AD$4)=0,COUNTIFS('Team Calendar'!$A$5:$A$12,$F6,'Team Calendar'!$C$5:$C$12,AD$4)=0),1,"")</x:f>
      </x:c>
      <x:c r="AE6" s="100" t="str">
        <x:f>IF(AND(ISNUMBER($D6),ISNUMBER($E6),AE$4&gt;=$D6,AE$4&lt;=$E6,WEEKDAY(AE$4,2)&lt;=5,COUNTIF('Sources &amp; Change Log'!$J$2:$J$5,AE$4)=0,COUNTIFS('Team Calendar'!$A$5:$A$12,$F6,'Team Calendar'!$C$5:$C$12,AE$4)=0),1,"")</x:f>
      </x:c>
      <x:c r="AF6" s="100" t="str">
        <x:f>IF(AND(ISNUMBER($D6),ISNUMBER($E6),AF$4&gt;=$D6,AF$4&lt;=$E6,WEEKDAY(AF$4,2)&lt;=5,COUNTIF('Sources &amp; Change Log'!$J$2:$J$5,AF$4)=0,COUNTIFS('Team Calendar'!$A$5:$A$12,$F6,'Team Calendar'!$C$5:$C$12,AF$4)=0),1,"")</x:f>
      </x:c>
      <x:c r="AG6" s="107" t="str">
        <x:f>IF(AND(ISNUMBER($D6),ISNUMBER($E6),AG$4&gt;=$D6,AG$4&lt;=$E6,WEEKDAY(AG$4,2)&lt;=5,COUNTIF('Sources &amp; Change Log'!$J$2:$J$5,AG$4)=0,COUNTIFS('Team Calendar'!$A$5:$A$12,$F6,'Team Calendar'!$C$5:$C$12,AG$4)=0),1,"")</x:f>
      </x:c>
      <x:c r="AH6" s="107" t="str">
        <x:f>IF(AND(ISNUMBER($D6),ISNUMBER($E6),AH$4&gt;=$D6,AH$4&lt;=$E6,WEEKDAY(AH$4,2)&lt;=5,COUNTIF('Sources &amp; Change Log'!$J$2:$J$5,AH$4)=0,COUNTIFS('Team Calendar'!$A$5:$A$12,$F6,'Team Calendar'!$C$5:$C$12,AH$4)=0),1,"")</x:f>
      </x:c>
      <x:c r="AI6" s="100" t="str">
        <x:f>IF(AND(ISNUMBER($D6),ISNUMBER($E6),AI$4&gt;=$D6,AI$4&lt;=$E6,WEEKDAY(AI$4,2)&lt;=5,COUNTIF('Sources &amp; Change Log'!$J$2:$J$5,AI$4)=0,COUNTIFS('Team Calendar'!$A$5:$A$12,$F6,'Team Calendar'!$C$5:$C$12,AI$4)=0),1,"")</x:f>
      </x:c>
    </x:row>
    <x:row r="7" ht="24" customHeight="1">
      <x:c r="A7" s="13" t="str">
        <x:f>WBS!A33</x:f>
        <x:v>P2-IAC-01</x:v>
      </x:c>
      <x:c r="B7" s="13" t="str">
        <x:f>WBS!B33</x:f>
        <x:v>AWS / ROSA Terraform IaC</x:v>
      </x:c>
      <x:c r="C7" s="13" t="str">
        <x:f>WBS!G33</x:f>
        <x:v>To Do</x:v>
      </x:c>
      <x:c r="D7" s="86" t="n">
        <x:f>IF(WBS!H33="","",WBS!H33)</x:f>
        <x:v>46293</x:v>
      </x:c>
      <x:c r="E7" s="86" t="n">
        <x:f>IF(WBS!I33="","",WBS!I33)</x:f>
        <x:v>46303</x:v>
      </x:c>
      <x:c r="F7" s="13" t="str">
        <x:f>WBS!L33</x:f>
        <x:v>이권욱</x:v>
      </x:c>
      <x:c r="G7" s="100" t="n">
        <x:f>IF(AND(ISNUMBER($D7),ISNUMBER($E7),G$4&gt;=$D7,G$4&lt;=$E7,WEEKDAY(G$4,2)&lt;=5,COUNTIF('Sources &amp; Change Log'!$J$2:$J$5,G$4)=0,COUNTIFS('Team Calendar'!$A$5:$A$12,$F7,'Team Calendar'!$C$5:$C$12,G$4)=0),1,"")</x:f>
        <x:v>1</x:v>
      </x:c>
      <x:c r="H7" s="100" t="n">
        <x:f>IF(AND(ISNUMBER($D7),ISNUMBER($E7),H$4&gt;=$D7,H$4&lt;=$E7,WEEKDAY(H$4,2)&lt;=5,COUNTIF('Sources &amp; Change Log'!$J$2:$J$5,H$4)=0,COUNTIFS('Team Calendar'!$A$5:$A$12,$F7,'Team Calendar'!$C$5:$C$12,H$4)=0),1,"")</x:f>
        <x:v>1</x:v>
      </x:c>
      <x:c r="I7" s="100" t="n">
        <x:f>IF(AND(ISNUMBER($D7),ISNUMBER($E7),I$4&gt;=$D7,I$4&lt;=$E7,WEEKDAY(I$4,2)&lt;=5,COUNTIF('Sources &amp; Change Log'!$J$2:$J$5,I$4)=0,COUNTIFS('Team Calendar'!$A$5:$A$12,$F7,'Team Calendar'!$C$5:$C$12,I$4)=0),1,"")</x:f>
        <x:v>1</x:v>
      </x:c>
      <x:c r="J7" s="100" t="n">
        <x:f>IF(AND(ISNUMBER($D7),ISNUMBER($E7),J$4&gt;=$D7,J$4&lt;=$E7,WEEKDAY(J$4,2)&lt;=5,COUNTIF('Sources &amp; Change Log'!$J$2:$J$5,J$4)=0,COUNTIFS('Team Calendar'!$A$5:$A$12,$F7,'Team Calendar'!$C$5:$C$12,J$4)=0),1,"")</x:f>
        <x:v>1</x:v>
      </x:c>
      <x:c r="K7" s="100" t="n">
        <x:f>IF(AND(ISNUMBER($D7),ISNUMBER($E7),K$4&gt;=$D7,K$4&lt;=$E7,WEEKDAY(K$4,2)&lt;=5,COUNTIF('Sources &amp; Change Log'!$J$2:$J$5,K$4)=0,COUNTIFS('Team Calendar'!$A$5:$A$12,$F7,'Team Calendar'!$C$5:$C$12,K$4)=0),1,"")</x:f>
        <x:v>1</x:v>
      </x:c>
      <x:c r="L7" s="107" t="str">
        <x:f>IF(AND(ISNUMBER($D7),ISNUMBER($E7),L$4&gt;=$D7,L$4&lt;=$E7,WEEKDAY(L$4,2)&lt;=5,COUNTIF('Sources &amp; Change Log'!$J$2:$J$5,L$4)=0,COUNTIFS('Team Calendar'!$A$5:$A$12,$F7,'Team Calendar'!$C$5:$C$12,L$4)=0),1,"")</x:f>
      </x:c>
      <x:c r="M7" s="107" t="str">
        <x:f>IF(AND(ISNUMBER($D7),ISNUMBER($E7),M$4&gt;=$D7,M$4&lt;=$E7,WEEKDAY(M$4,2)&lt;=5,COUNTIF('Sources &amp; Change Log'!$J$2:$J$5,M$4)=0,COUNTIFS('Team Calendar'!$A$5:$A$12,$F7,'Team Calendar'!$C$5:$C$12,M$4)=0),1,"")</x:f>
      </x:c>
      <x:c r="N7" s="100" t="str">
        <x:f>IF(AND(ISNUMBER($D7),ISNUMBER($E7),N$4&gt;=$D7,N$4&lt;=$E7,WEEKDAY(N$4,2)&lt;=5,COUNTIF('Sources &amp; Change Log'!$J$2:$J$5,N$4)=0,COUNTIFS('Team Calendar'!$A$5:$A$12,$F7,'Team Calendar'!$C$5:$C$12,N$4)=0),1,"")</x:f>
      </x:c>
      <x:c r="O7" s="100" t="n">
        <x:f>IF(AND(ISNUMBER($D7),ISNUMBER($E7),O$4&gt;=$D7,O$4&lt;=$E7,WEEKDAY(O$4,2)&lt;=5,COUNTIF('Sources &amp; Change Log'!$J$2:$J$5,O$4)=0,COUNTIFS('Team Calendar'!$A$5:$A$12,$F7,'Team Calendar'!$C$5:$C$12,O$4)=0),1,"")</x:f>
        <x:v>1</x:v>
      </x:c>
      <x:c r="P7" s="100" t="n">
        <x:f>IF(AND(ISNUMBER($D7),ISNUMBER($E7),P$4&gt;=$D7,P$4&lt;=$E7,WEEKDAY(P$4,2)&lt;=5,COUNTIF('Sources &amp; Change Log'!$J$2:$J$5,P$4)=0,COUNTIFS('Team Calendar'!$A$5:$A$12,$F7,'Team Calendar'!$C$5:$C$12,P$4)=0),1,"")</x:f>
        <x:v>1</x:v>
      </x:c>
      <x:c r="Q7" s="100" t="n">
        <x:f>IF(AND(ISNUMBER($D7),ISNUMBER($E7),Q$4&gt;=$D7,Q$4&lt;=$E7,WEEKDAY(Q$4,2)&lt;=5,COUNTIF('Sources &amp; Change Log'!$J$2:$J$5,Q$4)=0,COUNTIFS('Team Calendar'!$A$5:$A$12,$F7,'Team Calendar'!$C$5:$C$12,Q$4)=0),1,"")</x:f>
        <x:v>1</x:v>
      </x:c>
      <x:c r="R7" s="100" t="str">
        <x:f>IF(AND(ISNUMBER($D7),ISNUMBER($E7),R$4&gt;=$D7,R$4&lt;=$E7,WEEKDAY(R$4,2)&lt;=5,COUNTIF('Sources &amp; Change Log'!$J$2:$J$5,R$4)=0,COUNTIFS('Team Calendar'!$A$5:$A$12,$F7,'Team Calendar'!$C$5:$C$12,R$4)=0),1,"")</x:f>
      </x:c>
      <x:c r="S7" s="107" t="str">
        <x:f>IF(AND(ISNUMBER($D7),ISNUMBER($E7),S$4&gt;=$D7,S$4&lt;=$E7,WEEKDAY(S$4,2)&lt;=5,COUNTIF('Sources &amp; Change Log'!$J$2:$J$5,S$4)=0,COUNTIFS('Team Calendar'!$A$5:$A$12,$F7,'Team Calendar'!$C$5:$C$12,S$4)=0),1,"")</x:f>
      </x:c>
      <x:c r="T7" s="107" t="str">
        <x:f>IF(AND(ISNUMBER($D7),ISNUMBER($E7),T$4&gt;=$D7,T$4&lt;=$E7,WEEKDAY(T$4,2)&lt;=5,COUNTIF('Sources &amp; Change Log'!$J$2:$J$5,T$4)=0,COUNTIFS('Team Calendar'!$A$5:$A$12,$F7,'Team Calendar'!$C$5:$C$12,T$4)=0),1,"")</x:f>
      </x:c>
      <x:c r="U7" s="100" t="str">
        <x:f>IF(AND(ISNUMBER($D7),ISNUMBER($E7),U$4&gt;=$D7,U$4&lt;=$E7,WEEKDAY(U$4,2)&lt;=5,COUNTIF('Sources &amp; Change Log'!$J$2:$J$5,U$4)=0,COUNTIFS('Team Calendar'!$A$5:$A$12,$F7,'Team Calendar'!$C$5:$C$12,U$4)=0),1,"")</x:f>
      </x:c>
      <x:c r="V7" s="100" t="str">
        <x:f>IF(AND(ISNUMBER($D7),ISNUMBER($E7),V$4&gt;=$D7,V$4&lt;=$E7,WEEKDAY(V$4,2)&lt;=5,COUNTIF('Sources &amp; Change Log'!$J$2:$J$5,V$4)=0,COUNTIFS('Team Calendar'!$A$5:$A$12,$F7,'Team Calendar'!$C$5:$C$12,V$4)=0),1,"")</x:f>
      </x:c>
      <x:c r="W7" s="100" t="str">
        <x:f>IF(AND(ISNUMBER($D7),ISNUMBER($E7),W$4&gt;=$D7,W$4&lt;=$E7,WEEKDAY(W$4,2)&lt;=5,COUNTIF('Sources &amp; Change Log'!$J$2:$J$5,W$4)=0,COUNTIFS('Team Calendar'!$A$5:$A$12,$F7,'Team Calendar'!$C$5:$C$12,W$4)=0),1,"")</x:f>
      </x:c>
      <x:c r="X7" s="100" t="str">
        <x:f>IF(AND(ISNUMBER($D7),ISNUMBER($E7),X$4&gt;=$D7,X$4&lt;=$E7,WEEKDAY(X$4,2)&lt;=5,COUNTIF('Sources &amp; Change Log'!$J$2:$J$5,X$4)=0,COUNTIFS('Team Calendar'!$A$5:$A$12,$F7,'Team Calendar'!$C$5:$C$12,X$4)=0),1,"")</x:f>
      </x:c>
      <x:c r="Y7" s="100" t="str">
        <x:f>IF(AND(ISNUMBER($D7),ISNUMBER($E7),Y$4&gt;=$D7,Y$4&lt;=$E7,WEEKDAY(Y$4,2)&lt;=5,COUNTIF('Sources &amp; Change Log'!$J$2:$J$5,Y$4)=0,COUNTIFS('Team Calendar'!$A$5:$A$12,$F7,'Team Calendar'!$C$5:$C$12,Y$4)=0),1,"")</x:f>
      </x:c>
      <x:c r="Z7" s="107" t="str">
        <x:f>IF(AND(ISNUMBER($D7),ISNUMBER($E7),Z$4&gt;=$D7,Z$4&lt;=$E7,WEEKDAY(Z$4,2)&lt;=5,COUNTIF('Sources &amp; Change Log'!$J$2:$J$5,Z$4)=0,COUNTIFS('Team Calendar'!$A$5:$A$12,$F7,'Team Calendar'!$C$5:$C$12,Z$4)=0),1,"")</x:f>
      </x:c>
      <x:c r="AA7" s="107" t="str">
        <x:f>IF(AND(ISNUMBER($D7),ISNUMBER($E7),AA$4&gt;=$D7,AA$4&lt;=$E7,WEEKDAY(AA$4,2)&lt;=5,COUNTIF('Sources &amp; Change Log'!$J$2:$J$5,AA$4)=0,COUNTIFS('Team Calendar'!$A$5:$A$12,$F7,'Team Calendar'!$C$5:$C$12,AA$4)=0),1,"")</x:f>
      </x:c>
      <x:c r="AB7" s="100" t="str">
        <x:f>IF(AND(ISNUMBER($D7),ISNUMBER($E7),AB$4&gt;=$D7,AB$4&lt;=$E7,WEEKDAY(AB$4,2)&lt;=5,COUNTIF('Sources &amp; Change Log'!$J$2:$J$5,AB$4)=0,COUNTIFS('Team Calendar'!$A$5:$A$12,$F7,'Team Calendar'!$C$5:$C$12,AB$4)=0),1,"")</x:f>
      </x:c>
      <x:c r="AC7" s="100" t="str">
        <x:f>IF(AND(ISNUMBER($D7),ISNUMBER($E7),AC$4&gt;=$D7,AC$4&lt;=$E7,WEEKDAY(AC$4,2)&lt;=5,COUNTIF('Sources &amp; Change Log'!$J$2:$J$5,AC$4)=0,COUNTIFS('Team Calendar'!$A$5:$A$12,$F7,'Team Calendar'!$C$5:$C$12,AC$4)=0),1,"")</x:f>
      </x:c>
      <x:c r="AD7" s="100" t="str">
        <x:f>IF(AND(ISNUMBER($D7),ISNUMBER($E7),AD$4&gt;=$D7,AD$4&lt;=$E7,WEEKDAY(AD$4,2)&lt;=5,COUNTIF('Sources &amp; Change Log'!$J$2:$J$5,AD$4)=0,COUNTIFS('Team Calendar'!$A$5:$A$12,$F7,'Team Calendar'!$C$5:$C$12,AD$4)=0),1,"")</x:f>
      </x:c>
      <x:c r="AE7" s="100" t="str">
        <x:f>IF(AND(ISNUMBER($D7),ISNUMBER($E7),AE$4&gt;=$D7,AE$4&lt;=$E7,WEEKDAY(AE$4,2)&lt;=5,COUNTIF('Sources &amp; Change Log'!$J$2:$J$5,AE$4)=0,COUNTIFS('Team Calendar'!$A$5:$A$12,$F7,'Team Calendar'!$C$5:$C$12,AE$4)=0),1,"")</x:f>
      </x:c>
      <x:c r="AF7" s="100" t="str">
        <x:f>IF(AND(ISNUMBER($D7),ISNUMBER($E7),AF$4&gt;=$D7,AF$4&lt;=$E7,WEEKDAY(AF$4,2)&lt;=5,COUNTIF('Sources &amp; Change Log'!$J$2:$J$5,AF$4)=0,COUNTIFS('Team Calendar'!$A$5:$A$12,$F7,'Team Calendar'!$C$5:$C$12,AF$4)=0),1,"")</x:f>
      </x:c>
      <x:c r="AG7" s="107" t="str">
        <x:f>IF(AND(ISNUMBER($D7),ISNUMBER($E7),AG$4&gt;=$D7,AG$4&lt;=$E7,WEEKDAY(AG$4,2)&lt;=5,COUNTIF('Sources &amp; Change Log'!$J$2:$J$5,AG$4)=0,COUNTIFS('Team Calendar'!$A$5:$A$12,$F7,'Team Calendar'!$C$5:$C$12,AG$4)=0),1,"")</x:f>
      </x:c>
      <x:c r="AH7" s="107" t="str">
        <x:f>IF(AND(ISNUMBER($D7),ISNUMBER($E7),AH$4&gt;=$D7,AH$4&lt;=$E7,WEEKDAY(AH$4,2)&lt;=5,COUNTIF('Sources &amp; Change Log'!$J$2:$J$5,AH$4)=0,COUNTIFS('Team Calendar'!$A$5:$A$12,$F7,'Team Calendar'!$C$5:$C$12,AH$4)=0),1,"")</x:f>
      </x:c>
      <x:c r="AI7" s="100" t="str">
        <x:f>IF(AND(ISNUMBER($D7),ISNUMBER($E7),AI$4&gt;=$D7,AI$4&lt;=$E7,WEEKDAY(AI$4,2)&lt;=5,COUNTIF('Sources &amp; Change Log'!$J$2:$J$5,AI$4)=0,COUNTIFS('Team Calendar'!$A$5:$A$12,$F7,'Team Calendar'!$C$5:$C$12,AI$4)=0),1,"")</x:f>
      </x:c>
    </x:row>
    <x:row r="8" ht="24" customHeight="1">
      <x:c r="A8" s="13" t="str">
        <x:f>WBS!A34</x:f>
        <x:v>P2-OCI-01</x:v>
      </x:c>
      <x:c r="B8" s="13" t="str">
        <x:f>WBS!B34</x:f>
        <x:v>OCI Relay Go / No-Go</x:v>
      </x:c>
      <x:c r="C8" s="13" t="str">
        <x:f>WBS!G34</x:f>
        <x:v>To Do</x:v>
      </x:c>
      <x:c r="D8" s="86" t="n">
        <x:f>IF(WBS!H34="","",WBS!H34)</x:f>
        <x:v>46293</x:v>
      </x:c>
      <x:c r="E8" s="86" t="n">
        <x:f>IF(WBS!I34="","",WBS!I34)</x:f>
        <x:v>46297</x:v>
      </x:c>
      <x:c r="F8" s="13" t="str">
        <x:f>WBS!L34</x:f>
        <x:v>이권욱</x:v>
      </x:c>
      <x:c r="G8" s="100" t="n">
        <x:f>IF(AND(ISNUMBER($D8),ISNUMBER($E8),G$4&gt;=$D8,G$4&lt;=$E8,WEEKDAY(G$4,2)&lt;=5,COUNTIF('Sources &amp; Change Log'!$J$2:$J$5,G$4)=0,COUNTIFS('Team Calendar'!$A$5:$A$12,$F8,'Team Calendar'!$C$5:$C$12,G$4)=0),1,"")</x:f>
        <x:v>1</x:v>
      </x:c>
      <x:c r="H8" s="100" t="n">
        <x:f>IF(AND(ISNUMBER($D8),ISNUMBER($E8),H$4&gt;=$D8,H$4&lt;=$E8,WEEKDAY(H$4,2)&lt;=5,COUNTIF('Sources &amp; Change Log'!$J$2:$J$5,H$4)=0,COUNTIFS('Team Calendar'!$A$5:$A$12,$F8,'Team Calendar'!$C$5:$C$12,H$4)=0),1,"")</x:f>
        <x:v>1</x:v>
      </x:c>
      <x:c r="I8" s="100" t="n">
        <x:f>IF(AND(ISNUMBER($D8),ISNUMBER($E8),I$4&gt;=$D8,I$4&lt;=$E8,WEEKDAY(I$4,2)&lt;=5,COUNTIF('Sources &amp; Change Log'!$J$2:$J$5,I$4)=0,COUNTIFS('Team Calendar'!$A$5:$A$12,$F8,'Team Calendar'!$C$5:$C$12,I$4)=0),1,"")</x:f>
        <x:v>1</x:v>
      </x:c>
      <x:c r="J8" s="100" t="n">
        <x:f>IF(AND(ISNUMBER($D8),ISNUMBER($E8),J$4&gt;=$D8,J$4&lt;=$E8,WEEKDAY(J$4,2)&lt;=5,COUNTIF('Sources &amp; Change Log'!$J$2:$J$5,J$4)=0,COUNTIFS('Team Calendar'!$A$5:$A$12,$F8,'Team Calendar'!$C$5:$C$12,J$4)=0),1,"")</x:f>
        <x:v>1</x:v>
      </x:c>
      <x:c r="K8" s="100" t="n">
        <x:f>IF(AND(ISNUMBER($D8),ISNUMBER($E8),K$4&gt;=$D8,K$4&lt;=$E8,WEEKDAY(K$4,2)&lt;=5,COUNTIF('Sources &amp; Change Log'!$J$2:$J$5,K$4)=0,COUNTIFS('Team Calendar'!$A$5:$A$12,$F8,'Team Calendar'!$C$5:$C$12,K$4)=0),1,"")</x:f>
        <x:v>1</x:v>
      </x:c>
      <x:c r="L8" s="107" t="str">
        <x:f>IF(AND(ISNUMBER($D8),ISNUMBER($E8),L$4&gt;=$D8,L$4&lt;=$E8,WEEKDAY(L$4,2)&lt;=5,COUNTIF('Sources &amp; Change Log'!$J$2:$J$5,L$4)=0,COUNTIFS('Team Calendar'!$A$5:$A$12,$F8,'Team Calendar'!$C$5:$C$12,L$4)=0),1,"")</x:f>
      </x:c>
      <x:c r="M8" s="107" t="str">
        <x:f>IF(AND(ISNUMBER($D8),ISNUMBER($E8),M$4&gt;=$D8,M$4&lt;=$E8,WEEKDAY(M$4,2)&lt;=5,COUNTIF('Sources &amp; Change Log'!$J$2:$J$5,M$4)=0,COUNTIFS('Team Calendar'!$A$5:$A$12,$F8,'Team Calendar'!$C$5:$C$12,M$4)=0),1,"")</x:f>
      </x:c>
      <x:c r="N8" s="100" t="str">
        <x:f>IF(AND(ISNUMBER($D8),ISNUMBER($E8),N$4&gt;=$D8,N$4&lt;=$E8,WEEKDAY(N$4,2)&lt;=5,COUNTIF('Sources &amp; Change Log'!$J$2:$J$5,N$4)=0,COUNTIFS('Team Calendar'!$A$5:$A$12,$F8,'Team Calendar'!$C$5:$C$12,N$4)=0),1,"")</x:f>
      </x:c>
      <x:c r="O8" s="100" t="str">
        <x:f>IF(AND(ISNUMBER($D8),ISNUMBER($E8),O$4&gt;=$D8,O$4&lt;=$E8,WEEKDAY(O$4,2)&lt;=5,COUNTIF('Sources &amp; Change Log'!$J$2:$J$5,O$4)=0,COUNTIFS('Team Calendar'!$A$5:$A$12,$F8,'Team Calendar'!$C$5:$C$12,O$4)=0),1,"")</x:f>
      </x:c>
      <x:c r="P8" s="100" t="str">
        <x:f>IF(AND(ISNUMBER($D8),ISNUMBER($E8),P$4&gt;=$D8,P$4&lt;=$E8,WEEKDAY(P$4,2)&lt;=5,COUNTIF('Sources &amp; Change Log'!$J$2:$J$5,P$4)=0,COUNTIFS('Team Calendar'!$A$5:$A$12,$F8,'Team Calendar'!$C$5:$C$12,P$4)=0),1,"")</x:f>
      </x:c>
      <x:c r="Q8" s="100" t="str">
        <x:f>IF(AND(ISNUMBER($D8),ISNUMBER($E8),Q$4&gt;=$D8,Q$4&lt;=$E8,WEEKDAY(Q$4,2)&lt;=5,COUNTIF('Sources &amp; Change Log'!$J$2:$J$5,Q$4)=0,COUNTIFS('Team Calendar'!$A$5:$A$12,$F8,'Team Calendar'!$C$5:$C$12,Q$4)=0),1,"")</x:f>
      </x:c>
      <x:c r="R8" s="100" t="str">
        <x:f>IF(AND(ISNUMBER($D8),ISNUMBER($E8),R$4&gt;=$D8,R$4&lt;=$E8,WEEKDAY(R$4,2)&lt;=5,COUNTIF('Sources &amp; Change Log'!$J$2:$J$5,R$4)=0,COUNTIFS('Team Calendar'!$A$5:$A$12,$F8,'Team Calendar'!$C$5:$C$12,R$4)=0),1,"")</x:f>
      </x:c>
      <x:c r="S8" s="107" t="str">
        <x:f>IF(AND(ISNUMBER($D8),ISNUMBER($E8),S$4&gt;=$D8,S$4&lt;=$E8,WEEKDAY(S$4,2)&lt;=5,COUNTIF('Sources &amp; Change Log'!$J$2:$J$5,S$4)=0,COUNTIFS('Team Calendar'!$A$5:$A$12,$F8,'Team Calendar'!$C$5:$C$12,S$4)=0),1,"")</x:f>
      </x:c>
      <x:c r="T8" s="107" t="str">
        <x:f>IF(AND(ISNUMBER($D8),ISNUMBER($E8),T$4&gt;=$D8,T$4&lt;=$E8,WEEKDAY(T$4,2)&lt;=5,COUNTIF('Sources &amp; Change Log'!$J$2:$J$5,T$4)=0,COUNTIFS('Team Calendar'!$A$5:$A$12,$F8,'Team Calendar'!$C$5:$C$12,T$4)=0),1,"")</x:f>
      </x:c>
      <x:c r="U8" s="100" t="str">
        <x:f>IF(AND(ISNUMBER($D8),ISNUMBER($E8),U$4&gt;=$D8,U$4&lt;=$E8,WEEKDAY(U$4,2)&lt;=5,COUNTIF('Sources &amp; Change Log'!$J$2:$J$5,U$4)=0,COUNTIFS('Team Calendar'!$A$5:$A$12,$F8,'Team Calendar'!$C$5:$C$12,U$4)=0),1,"")</x:f>
      </x:c>
      <x:c r="V8" s="100" t="str">
        <x:f>IF(AND(ISNUMBER($D8),ISNUMBER($E8),V$4&gt;=$D8,V$4&lt;=$E8,WEEKDAY(V$4,2)&lt;=5,COUNTIF('Sources &amp; Change Log'!$J$2:$J$5,V$4)=0,COUNTIFS('Team Calendar'!$A$5:$A$12,$F8,'Team Calendar'!$C$5:$C$12,V$4)=0),1,"")</x:f>
      </x:c>
      <x:c r="W8" s="100" t="str">
        <x:f>IF(AND(ISNUMBER($D8),ISNUMBER($E8),W$4&gt;=$D8,W$4&lt;=$E8,WEEKDAY(W$4,2)&lt;=5,COUNTIF('Sources &amp; Change Log'!$J$2:$J$5,W$4)=0,COUNTIFS('Team Calendar'!$A$5:$A$12,$F8,'Team Calendar'!$C$5:$C$12,W$4)=0),1,"")</x:f>
      </x:c>
      <x:c r="X8" s="100" t="str">
        <x:f>IF(AND(ISNUMBER($D8),ISNUMBER($E8),X$4&gt;=$D8,X$4&lt;=$E8,WEEKDAY(X$4,2)&lt;=5,COUNTIF('Sources &amp; Change Log'!$J$2:$J$5,X$4)=0,COUNTIFS('Team Calendar'!$A$5:$A$12,$F8,'Team Calendar'!$C$5:$C$12,X$4)=0),1,"")</x:f>
      </x:c>
      <x:c r="Y8" s="100" t="str">
        <x:f>IF(AND(ISNUMBER($D8),ISNUMBER($E8),Y$4&gt;=$D8,Y$4&lt;=$E8,WEEKDAY(Y$4,2)&lt;=5,COUNTIF('Sources &amp; Change Log'!$J$2:$J$5,Y$4)=0,COUNTIFS('Team Calendar'!$A$5:$A$12,$F8,'Team Calendar'!$C$5:$C$12,Y$4)=0),1,"")</x:f>
      </x:c>
      <x:c r="Z8" s="107" t="str">
        <x:f>IF(AND(ISNUMBER($D8),ISNUMBER($E8),Z$4&gt;=$D8,Z$4&lt;=$E8,WEEKDAY(Z$4,2)&lt;=5,COUNTIF('Sources &amp; Change Log'!$J$2:$J$5,Z$4)=0,COUNTIFS('Team Calendar'!$A$5:$A$12,$F8,'Team Calendar'!$C$5:$C$12,Z$4)=0),1,"")</x:f>
      </x:c>
      <x:c r="AA8" s="107" t="str">
        <x:f>IF(AND(ISNUMBER($D8),ISNUMBER($E8),AA$4&gt;=$D8,AA$4&lt;=$E8,WEEKDAY(AA$4,2)&lt;=5,COUNTIF('Sources &amp; Change Log'!$J$2:$J$5,AA$4)=0,COUNTIFS('Team Calendar'!$A$5:$A$12,$F8,'Team Calendar'!$C$5:$C$12,AA$4)=0),1,"")</x:f>
      </x:c>
      <x:c r="AB8" s="100" t="str">
        <x:f>IF(AND(ISNUMBER($D8),ISNUMBER($E8),AB$4&gt;=$D8,AB$4&lt;=$E8,WEEKDAY(AB$4,2)&lt;=5,COUNTIF('Sources &amp; Change Log'!$J$2:$J$5,AB$4)=0,COUNTIFS('Team Calendar'!$A$5:$A$12,$F8,'Team Calendar'!$C$5:$C$12,AB$4)=0),1,"")</x:f>
      </x:c>
      <x:c r="AC8" s="100" t="str">
        <x:f>IF(AND(ISNUMBER($D8),ISNUMBER($E8),AC$4&gt;=$D8,AC$4&lt;=$E8,WEEKDAY(AC$4,2)&lt;=5,COUNTIF('Sources &amp; Change Log'!$J$2:$J$5,AC$4)=0,COUNTIFS('Team Calendar'!$A$5:$A$12,$F8,'Team Calendar'!$C$5:$C$12,AC$4)=0),1,"")</x:f>
      </x:c>
      <x:c r="AD8" s="100" t="str">
        <x:f>IF(AND(ISNUMBER($D8),ISNUMBER($E8),AD$4&gt;=$D8,AD$4&lt;=$E8,WEEKDAY(AD$4,2)&lt;=5,COUNTIF('Sources &amp; Change Log'!$J$2:$J$5,AD$4)=0,COUNTIFS('Team Calendar'!$A$5:$A$12,$F8,'Team Calendar'!$C$5:$C$12,AD$4)=0),1,"")</x:f>
      </x:c>
      <x:c r="AE8" s="100" t="str">
        <x:f>IF(AND(ISNUMBER($D8),ISNUMBER($E8),AE$4&gt;=$D8,AE$4&lt;=$E8,WEEKDAY(AE$4,2)&lt;=5,COUNTIF('Sources &amp; Change Log'!$J$2:$J$5,AE$4)=0,COUNTIFS('Team Calendar'!$A$5:$A$12,$F8,'Team Calendar'!$C$5:$C$12,AE$4)=0),1,"")</x:f>
      </x:c>
      <x:c r="AF8" s="100" t="str">
        <x:f>IF(AND(ISNUMBER($D8),ISNUMBER($E8),AF$4&gt;=$D8,AF$4&lt;=$E8,WEEKDAY(AF$4,2)&lt;=5,COUNTIF('Sources &amp; Change Log'!$J$2:$J$5,AF$4)=0,COUNTIFS('Team Calendar'!$A$5:$A$12,$F8,'Team Calendar'!$C$5:$C$12,AF$4)=0),1,"")</x:f>
      </x:c>
      <x:c r="AG8" s="107" t="str">
        <x:f>IF(AND(ISNUMBER($D8),ISNUMBER($E8),AG$4&gt;=$D8,AG$4&lt;=$E8,WEEKDAY(AG$4,2)&lt;=5,COUNTIF('Sources &amp; Change Log'!$J$2:$J$5,AG$4)=0,COUNTIFS('Team Calendar'!$A$5:$A$12,$F8,'Team Calendar'!$C$5:$C$12,AG$4)=0),1,"")</x:f>
      </x:c>
      <x:c r="AH8" s="107" t="str">
        <x:f>IF(AND(ISNUMBER($D8),ISNUMBER($E8),AH$4&gt;=$D8,AH$4&lt;=$E8,WEEKDAY(AH$4,2)&lt;=5,COUNTIF('Sources &amp; Change Log'!$J$2:$J$5,AH$4)=0,COUNTIFS('Team Calendar'!$A$5:$A$12,$F8,'Team Calendar'!$C$5:$C$12,AH$4)=0),1,"")</x:f>
      </x:c>
      <x:c r="AI8" s="100" t="str">
        <x:f>IF(AND(ISNUMBER($D8),ISNUMBER($E8),AI$4&gt;=$D8,AI$4&lt;=$E8,WEEKDAY(AI$4,2)&lt;=5,COUNTIF('Sources &amp; Change Log'!$J$2:$J$5,AI$4)=0,COUNTIFS('Team Calendar'!$A$5:$A$12,$F8,'Team Calendar'!$C$5:$C$12,AI$4)=0),1,"")</x:f>
      </x:c>
    </x:row>
    <x:row r="9" ht="24" customHeight="1">
      <x:c r="A9" s="13" t="str">
        <x:f>WBS!A35</x:f>
        <x:v>P2-VPN-01</x:v>
      </x:c>
      <x:c r="B9" s="13" t="str">
        <x:f>WBS!B35</x:f>
        <x:v>OCI Relay / AWS Site-to-Site VPN</x:v>
      </x:c>
      <x:c r="C9" s="13" t="str">
        <x:f>WBS!G35</x:f>
        <x:v>To Do</x:v>
      </x:c>
      <x:c r="D9" s="86" t="n">
        <x:f>IF(WBS!H35="","",WBS!H35)</x:f>
        <x:v>46296</x:v>
      </x:c>
      <x:c r="E9" s="86" t="n">
        <x:f>IF(WBS!I35="","",WBS!I35)</x:f>
        <x:v>46303</x:v>
      </x:c>
      <x:c r="F9" s="13" t="str">
        <x:f>WBS!L35</x:f>
        <x:v>이권욱</x:v>
      </x:c>
      <x:c r="G9" s="100" t="str">
        <x:f>IF(AND(ISNUMBER($D9),ISNUMBER($E9),G$4&gt;=$D9,G$4&lt;=$E9,WEEKDAY(G$4,2)&lt;=5,COUNTIF('Sources &amp; Change Log'!$J$2:$J$5,G$4)=0,COUNTIFS('Team Calendar'!$A$5:$A$12,$F9,'Team Calendar'!$C$5:$C$12,G$4)=0),1,"")</x:f>
      </x:c>
      <x:c r="H9" s="100" t="str">
        <x:f>IF(AND(ISNUMBER($D9),ISNUMBER($E9),H$4&gt;=$D9,H$4&lt;=$E9,WEEKDAY(H$4,2)&lt;=5,COUNTIF('Sources &amp; Change Log'!$J$2:$J$5,H$4)=0,COUNTIFS('Team Calendar'!$A$5:$A$12,$F9,'Team Calendar'!$C$5:$C$12,H$4)=0),1,"")</x:f>
      </x:c>
      <x:c r="I9" s="100" t="str">
        <x:f>IF(AND(ISNUMBER($D9),ISNUMBER($E9),I$4&gt;=$D9,I$4&lt;=$E9,WEEKDAY(I$4,2)&lt;=5,COUNTIF('Sources &amp; Change Log'!$J$2:$J$5,I$4)=0,COUNTIFS('Team Calendar'!$A$5:$A$12,$F9,'Team Calendar'!$C$5:$C$12,I$4)=0),1,"")</x:f>
      </x:c>
      <x:c r="J9" s="100" t="n">
        <x:f>IF(AND(ISNUMBER($D9),ISNUMBER($E9),J$4&gt;=$D9,J$4&lt;=$E9,WEEKDAY(J$4,2)&lt;=5,COUNTIF('Sources &amp; Change Log'!$J$2:$J$5,J$4)=0,COUNTIFS('Team Calendar'!$A$5:$A$12,$F9,'Team Calendar'!$C$5:$C$12,J$4)=0),1,"")</x:f>
        <x:v>1</x:v>
      </x:c>
      <x:c r="K9" s="100" t="n">
        <x:f>IF(AND(ISNUMBER($D9),ISNUMBER($E9),K$4&gt;=$D9,K$4&lt;=$E9,WEEKDAY(K$4,2)&lt;=5,COUNTIF('Sources &amp; Change Log'!$J$2:$J$5,K$4)=0,COUNTIFS('Team Calendar'!$A$5:$A$12,$F9,'Team Calendar'!$C$5:$C$12,K$4)=0),1,"")</x:f>
        <x:v>1</x:v>
      </x:c>
      <x:c r="L9" s="107" t="str">
        <x:f>IF(AND(ISNUMBER($D9),ISNUMBER($E9),L$4&gt;=$D9,L$4&lt;=$E9,WEEKDAY(L$4,2)&lt;=5,COUNTIF('Sources &amp; Change Log'!$J$2:$J$5,L$4)=0,COUNTIFS('Team Calendar'!$A$5:$A$12,$F9,'Team Calendar'!$C$5:$C$12,L$4)=0),1,"")</x:f>
      </x:c>
      <x:c r="M9" s="107" t="str">
        <x:f>IF(AND(ISNUMBER($D9),ISNUMBER($E9),M$4&gt;=$D9,M$4&lt;=$E9,WEEKDAY(M$4,2)&lt;=5,COUNTIF('Sources &amp; Change Log'!$J$2:$J$5,M$4)=0,COUNTIFS('Team Calendar'!$A$5:$A$12,$F9,'Team Calendar'!$C$5:$C$12,M$4)=0),1,"")</x:f>
      </x:c>
      <x:c r="N9" s="100" t="str">
        <x:f>IF(AND(ISNUMBER($D9),ISNUMBER($E9),N$4&gt;=$D9,N$4&lt;=$E9,WEEKDAY(N$4,2)&lt;=5,COUNTIF('Sources &amp; Change Log'!$J$2:$J$5,N$4)=0,COUNTIFS('Team Calendar'!$A$5:$A$12,$F9,'Team Calendar'!$C$5:$C$12,N$4)=0),1,"")</x:f>
      </x:c>
      <x:c r="O9" s="100" t="n">
        <x:f>IF(AND(ISNUMBER($D9),ISNUMBER($E9),O$4&gt;=$D9,O$4&lt;=$E9,WEEKDAY(O$4,2)&lt;=5,COUNTIF('Sources &amp; Change Log'!$J$2:$J$5,O$4)=0,COUNTIFS('Team Calendar'!$A$5:$A$12,$F9,'Team Calendar'!$C$5:$C$12,O$4)=0),1,"")</x:f>
        <x:v>1</x:v>
      </x:c>
      <x:c r="P9" s="100" t="n">
        <x:f>IF(AND(ISNUMBER($D9),ISNUMBER($E9),P$4&gt;=$D9,P$4&lt;=$E9,WEEKDAY(P$4,2)&lt;=5,COUNTIF('Sources &amp; Change Log'!$J$2:$J$5,P$4)=0,COUNTIFS('Team Calendar'!$A$5:$A$12,$F9,'Team Calendar'!$C$5:$C$12,P$4)=0),1,"")</x:f>
        <x:v>1</x:v>
      </x:c>
      <x:c r="Q9" s="100" t="n">
        <x:f>IF(AND(ISNUMBER($D9),ISNUMBER($E9),Q$4&gt;=$D9,Q$4&lt;=$E9,WEEKDAY(Q$4,2)&lt;=5,COUNTIF('Sources &amp; Change Log'!$J$2:$J$5,Q$4)=0,COUNTIFS('Team Calendar'!$A$5:$A$12,$F9,'Team Calendar'!$C$5:$C$12,Q$4)=0),1,"")</x:f>
        <x:v>1</x:v>
      </x:c>
      <x:c r="R9" s="100" t="str">
        <x:f>IF(AND(ISNUMBER($D9),ISNUMBER($E9),R$4&gt;=$D9,R$4&lt;=$E9,WEEKDAY(R$4,2)&lt;=5,COUNTIF('Sources &amp; Change Log'!$J$2:$J$5,R$4)=0,COUNTIFS('Team Calendar'!$A$5:$A$12,$F9,'Team Calendar'!$C$5:$C$12,R$4)=0),1,"")</x:f>
      </x:c>
      <x:c r="S9" s="107" t="str">
        <x:f>IF(AND(ISNUMBER($D9),ISNUMBER($E9),S$4&gt;=$D9,S$4&lt;=$E9,WEEKDAY(S$4,2)&lt;=5,COUNTIF('Sources &amp; Change Log'!$J$2:$J$5,S$4)=0,COUNTIFS('Team Calendar'!$A$5:$A$12,$F9,'Team Calendar'!$C$5:$C$12,S$4)=0),1,"")</x:f>
      </x:c>
      <x:c r="T9" s="107" t="str">
        <x:f>IF(AND(ISNUMBER($D9),ISNUMBER($E9),T$4&gt;=$D9,T$4&lt;=$E9,WEEKDAY(T$4,2)&lt;=5,COUNTIF('Sources &amp; Change Log'!$J$2:$J$5,T$4)=0,COUNTIFS('Team Calendar'!$A$5:$A$12,$F9,'Team Calendar'!$C$5:$C$12,T$4)=0),1,"")</x:f>
      </x:c>
      <x:c r="U9" s="100" t="str">
        <x:f>IF(AND(ISNUMBER($D9),ISNUMBER($E9),U$4&gt;=$D9,U$4&lt;=$E9,WEEKDAY(U$4,2)&lt;=5,COUNTIF('Sources &amp; Change Log'!$J$2:$J$5,U$4)=0,COUNTIFS('Team Calendar'!$A$5:$A$12,$F9,'Team Calendar'!$C$5:$C$12,U$4)=0),1,"")</x:f>
      </x:c>
      <x:c r="V9" s="100" t="str">
        <x:f>IF(AND(ISNUMBER($D9),ISNUMBER($E9),V$4&gt;=$D9,V$4&lt;=$E9,WEEKDAY(V$4,2)&lt;=5,COUNTIF('Sources &amp; Change Log'!$J$2:$J$5,V$4)=0,COUNTIFS('Team Calendar'!$A$5:$A$12,$F9,'Team Calendar'!$C$5:$C$12,V$4)=0),1,"")</x:f>
      </x:c>
      <x:c r="W9" s="100" t="str">
        <x:f>IF(AND(ISNUMBER($D9),ISNUMBER($E9),W$4&gt;=$D9,W$4&lt;=$E9,WEEKDAY(W$4,2)&lt;=5,COUNTIF('Sources &amp; Change Log'!$J$2:$J$5,W$4)=0,COUNTIFS('Team Calendar'!$A$5:$A$12,$F9,'Team Calendar'!$C$5:$C$12,W$4)=0),1,"")</x:f>
      </x:c>
      <x:c r="X9" s="100" t="str">
        <x:f>IF(AND(ISNUMBER($D9),ISNUMBER($E9),X$4&gt;=$D9,X$4&lt;=$E9,WEEKDAY(X$4,2)&lt;=5,COUNTIF('Sources &amp; Change Log'!$J$2:$J$5,X$4)=0,COUNTIFS('Team Calendar'!$A$5:$A$12,$F9,'Team Calendar'!$C$5:$C$12,X$4)=0),1,"")</x:f>
      </x:c>
      <x:c r="Y9" s="100" t="str">
        <x:f>IF(AND(ISNUMBER($D9),ISNUMBER($E9),Y$4&gt;=$D9,Y$4&lt;=$E9,WEEKDAY(Y$4,2)&lt;=5,COUNTIF('Sources &amp; Change Log'!$J$2:$J$5,Y$4)=0,COUNTIFS('Team Calendar'!$A$5:$A$12,$F9,'Team Calendar'!$C$5:$C$12,Y$4)=0),1,"")</x:f>
      </x:c>
      <x:c r="Z9" s="107" t="str">
        <x:f>IF(AND(ISNUMBER($D9),ISNUMBER($E9),Z$4&gt;=$D9,Z$4&lt;=$E9,WEEKDAY(Z$4,2)&lt;=5,COUNTIF('Sources &amp; Change Log'!$J$2:$J$5,Z$4)=0,COUNTIFS('Team Calendar'!$A$5:$A$12,$F9,'Team Calendar'!$C$5:$C$12,Z$4)=0),1,"")</x:f>
      </x:c>
      <x:c r="AA9" s="107" t="str">
        <x:f>IF(AND(ISNUMBER($D9),ISNUMBER($E9),AA$4&gt;=$D9,AA$4&lt;=$E9,WEEKDAY(AA$4,2)&lt;=5,COUNTIF('Sources &amp; Change Log'!$J$2:$J$5,AA$4)=0,COUNTIFS('Team Calendar'!$A$5:$A$12,$F9,'Team Calendar'!$C$5:$C$12,AA$4)=0),1,"")</x:f>
      </x:c>
      <x:c r="AB9" s="100" t="str">
        <x:f>IF(AND(ISNUMBER($D9),ISNUMBER($E9),AB$4&gt;=$D9,AB$4&lt;=$E9,WEEKDAY(AB$4,2)&lt;=5,COUNTIF('Sources &amp; Change Log'!$J$2:$J$5,AB$4)=0,COUNTIFS('Team Calendar'!$A$5:$A$12,$F9,'Team Calendar'!$C$5:$C$12,AB$4)=0),1,"")</x:f>
      </x:c>
      <x:c r="AC9" s="100" t="str">
        <x:f>IF(AND(ISNUMBER($D9),ISNUMBER($E9),AC$4&gt;=$D9,AC$4&lt;=$E9,WEEKDAY(AC$4,2)&lt;=5,COUNTIF('Sources &amp; Change Log'!$J$2:$J$5,AC$4)=0,COUNTIFS('Team Calendar'!$A$5:$A$12,$F9,'Team Calendar'!$C$5:$C$12,AC$4)=0),1,"")</x:f>
      </x:c>
      <x:c r="AD9" s="100" t="str">
        <x:f>IF(AND(ISNUMBER($D9),ISNUMBER($E9),AD$4&gt;=$D9,AD$4&lt;=$E9,WEEKDAY(AD$4,2)&lt;=5,COUNTIF('Sources &amp; Change Log'!$J$2:$J$5,AD$4)=0,COUNTIFS('Team Calendar'!$A$5:$A$12,$F9,'Team Calendar'!$C$5:$C$12,AD$4)=0),1,"")</x:f>
      </x:c>
      <x:c r="AE9" s="100" t="str">
        <x:f>IF(AND(ISNUMBER($D9),ISNUMBER($E9),AE$4&gt;=$D9,AE$4&lt;=$E9,WEEKDAY(AE$4,2)&lt;=5,COUNTIF('Sources &amp; Change Log'!$J$2:$J$5,AE$4)=0,COUNTIFS('Team Calendar'!$A$5:$A$12,$F9,'Team Calendar'!$C$5:$C$12,AE$4)=0),1,"")</x:f>
      </x:c>
      <x:c r="AF9" s="100" t="str">
        <x:f>IF(AND(ISNUMBER($D9),ISNUMBER($E9),AF$4&gt;=$D9,AF$4&lt;=$E9,WEEKDAY(AF$4,2)&lt;=5,COUNTIF('Sources &amp; Change Log'!$J$2:$J$5,AF$4)=0,COUNTIFS('Team Calendar'!$A$5:$A$12,$F9,'Team Calendar'!$C$5:$C$12,AF$4)=0),1,"")</x:f>
      </x:c>
      <x:c r="AG9" s="107" t="str">
        <x:f>IF(AND(ISNUMBER($D9),ISNUMBER($E9),AG$4&gt;=$D9,AG$4&lt;=$E9,WEEKDAY(AG$4,2)&lt;=5,COUNTIF('Sources &amp; Change Log'!$J$2:$J$5,AG$4)=0,COUNTIFS('Team Calendar'!$A$5:$A$12,$F9,'Team Calendar'!$C$5:$C$12,AG$4)=0),1,"")</x:f>
      </x:c>
      <x:c r="AH9" s="107" t="str">
        <x:f>IF(AND(ISNUMBER($D9),ISNUMBER($E9),AH$4&gt;=$D9,AH$4&lt;=$E9,WEEKDAY(AH$4,2)&lt;=5,COUNTIF('Sources &amp; Change Log'!$J$2:$J$5,AH$4)=0,COUNTIFS('Team Calendar'!$A$5:$A$12,$F9,'Team Calendar'!$C$5:$C$12,AH$4)=0),1,"")</x:f>
      </x:c>
      <x:c r="AI9" s="100" t="str">
        <x:f>IF(AND(ISNUMBER($D9),ISNUMBER($E9),AI$4&gt;=$D9,AI$4&lt;=$E9,WEEKDAY(AI$4,2)&lt;=5,COUNTIF('Sources &amp; Change Log'!$J$2:$J$5,AI$4)=0,COUNTIFS('Team Calendar'!$A$5:$A$12,$F9,'Team Calendar'!$C$5:$C$12,AI$4)=0),1,"")</x:f>
      </x:c>
    </x:row>
    <x:row r="10" ht="24" customHeight="1">
      <x:c r="A10" s="13" t="str">
        <x:f>WBS!A36</x:f>
        <x:v>P2-ROSA-01</x:v>
      </x:c>
      <x:c r="B10" s="13" t="str">
        <x:f>WBS!B36</x:f>
        <x:v>ROSA Platform / Security</x:v>
      </x:c>
      <x:c r="C10" s="13" t="str">
        <x:f>WBS!G36</x:f>
        <x:v>To Do</x:v>
      </x:c>
      <x:c r="D10" s="86" t="n">
        <x:f>IF(WBS!H36="","",WBS!H36)</x:f>
        <x:v>46301</x:v>
      </x:c>
      <x:c r="E10" s="86" t="n">
        <x:f>IF(WBS!I36="","",WBS!I36)</x:f>
        <x:v>46311</x:v>
      </x:c>
      <x:c r="F10" s="13" t="str">
        <x:f>WBS!L36</x:f>
        <x:v>이하영</x:v>
      </x:c>
      <x:c r="G10" s="100" t="str">
        <x:f>IF(AND(ISNUMBER($D10),ISNUMBER($E10),G$4&gt;=$D10,G$4&lt;=$E10,WEEKDAY(G$4,2)&lt;=5,COUNTIF('Sources &amp; Change Log'!$J$2:$J$5,G$4)=0,COUNTIFS('Team Calendar'!$A$5:$A$12,$F10,'Team Calendar'!$C$5:$C$12,G$4)=0),1,"")</x:f>
      </x:c>
      <x:c r="H10" s="100" t="str">
        <x:f>IF(AND(ISNUMBER($D10),ISNUMBER($E10),H$4&gt;=$D10,H$4&lt;=$E10,WEEKDAY(H$4,2)&lt;=5,COUNTIF('Sources &amp; Change Log'!$J$2:$J$5,H$4)=0,COUNTIFS('Team Calendar'!$A$5:$A$12,$F10,'Team Calendar'!$C$5:$C$12,H$4)=0),1,"")</x:f>
      </x:c>
      <x:c r="I10" s="100" t="str">
        <x:f>IF(AND(ISNUMBER($D10),ISNUMBER($E10),I$4&gt;=$D10,I$4&lt;=$E10,WEEKDAY(I$4,2)&lt;=5,COUNTIF('Sources &amp; Change Log'!$J$2:$J$5,I$4)=0,COUNTIFS('Team Calendar'!$A$5:$A$12,$F10,'Team Calendar'!$C$5:$C$12,I$4)=0),1,"")</x:f>
      </x:c>
      <x:c r="J10" s="100" t="str">
        <x:f>IF(AND(ISNUMBER($D10),ISNUMBER($E10),J$4&gt;=$D10,J$4&lt;=$E10,WEEKDAY(J$4,2)&lt;=5,COUNTIF('Sources &amp; Change Log'!$J$2:$J$5,J$4)=0,COUNTIFS('Team Calendar'!$A$5:$A$12,$F10,'Team Calendar'!$C$5:$C$12,J$4)=0),1,"")</x:f>
      </x:c>
      <x:c r="K10" s="100" t="str">
        <x:f>IF(AND(ISNUMBER($D10),ISNUMBER($E10),K$4&gt;=$D10,K$4&lt;=$E10,WEEKDAY(K$4,2)&lt;=5,COUNTIF('Sources &amp; Change Log'!$J$2:$J$5,K$4)=0,COUNTIFS('Team Calendar'!$A$5:$A$12,$F10,'Team Calendar'!$C$5:$C$12,K$4)=0),1,"")</x:f>
      </x:c>
      <x:c r="L10" s="107" t="str">
        <x:f>IF(AND(ISNUMBER($D10),ISNUMBER($E10),L$4&gt;=$D10,L$4&lt;=$E10,WEEKDAY(L$4,2)&lt;=5,COUNTIF('Sources &amp; Change Log'!$J$2:$J$5,L$4)=0,COUNTIFS('Team Calendar'!$A$5:$A$12,$F10,'Team Calendar'!$C$5:$C$12,L$4)=0),1,"")</x:f>
      </x:c>
      <x:c r="M10" s="107" t="str">
        <x:f>IF(AND(ISNUMBER($D10),ISNUMBER($E10),M$4&gt;=$D10,M$4&lt;=$E10,WEEKDAY(M$4,2)&lt;=5,COUNTIF('Sources &amp; Change Log'!$J$2:$J$5,M$4)=0,COUNTIFS('Team Calendar'!$A$5:$A$12,$F10,'Team Calendar'!$C$5:$C$12,M$4)=0),1,"")</x:f>
      </x:c>
      <x:c r="N10" s="100" t="str">
        <x:f>IF(AND(ISNUMBER($D10),ISNUMBER($E10),N$4&gt;=$D10,N$4&lt;=$E10,WEEKDAY(N$4,2)&lt;=5,COUNTIF('Sources &amp; Change Log'!$J$2:$J$5,N$4)=0,COUNTIFS('Team Calendar'!$A$5:$A$12,$F10,'Team Calendar'!$C$5:$C$12,N$4)=0),1,"")</x:f>
      </x:c>
      <x:c r="O10" s="100" t="n">
        <x:f>IF(AND(ISNUMBER($D10),ISNUMBER($E10),O$4&gt;=$D10,O$4&lt;=$E10,WEEKDAY(O$4,2)&lt;=5,COUNTIF('Sources &amp; Change Log'!$J$2:$J$5,O$4)=0,COUNTIFS('Team Calendar'!$A$5:$A$12,$F10,'Team Calendar'!$C$5:$C$12,O$4)=0),1,"")</x:f>
        <x:v>1</x:v>
      </x:c>
      <x:c r="P10" s="100" t="n">
        <x:f>IF(AND(ISNUMBER($D10),ISNUMBER($E10),P$4&gt;=$D10,P$4&lt;=$E10,WEEKDAY(P$4,2)&lt;=5,COUNTIF('Sources &amp; Change Log'!$J$2:$J$5,P$4)=0,COUNTIFS('Team Calendar'!$A$5:$A$12,$F10,'Team Calendar'!$C$5:$C$12,P$4)=0),1,"")</x:f>
        <x:v>1</x:v>
      </x:c>
      <x:c r="Q10" s="100" t="n">
        <x:f>IF(AND(ISNUMBER($D10),ISNUMBER($E10),Q$4&gt;=$D10,Q$4&lt;=$E10,WEEKDAY(Q$4,2)&lt;=5,COUNTIF('Sources &amp; Change Log'!$J$2:$J$5,Q$4)=0,COUNTIFS('Team Calendar'!$A$5:$A$12,$F10,'Team Calendar'!$C$5:$C$12,Q$4)=0),1,"")</x:f>
        <x:v>1</x:v>
      </x:c>
      <x:c r="R10" s="100" t="str">
        <x:f>IF(AND(ISNUMBER($D10),ISNUMBER($E10),R$4&gt;=$D10,R$4&lt;=$E10,WEEKDAY(R$4,2)&lt;=5,COUNTIF('Sources &amp; Change Log'!$J$2:$J$5,R$4)=0,COUNTIFS('Team Calendar'!$A$5:$A$12,$F10,'Team Calendar'!$C$5:$C$12,R$4)=0),1,"")</x:f>
      </x:c>
      <x:c r="S10" s="107" t="str">
        <x:f>IF(AND(ISNUMBER($D10),ISNUMBER($E10),S$4&gt;=$D10,S$4&lt;=$E10,WEEKDAY(S$4,2)&lt;=5,COUNTIF('Sources &amp; Change Log'!$J$2:$J$5,S$4)=0,COUNTIFS('Team Calendar'!$A$5:$A$12,$F10,'Team Calendar'!$C$5:$C$12,S$4)=0),1,"")</x:f>
      </x:c>
      <x:c r="T10" s="107" t="str">
        <x:f>IF(AND(ISNUMBER($D10),ISNUMBER($E10),T$4&gt;=$D10,T$4&lt;=$E10,WEEKDAY(T$4,2)&lt;=5,COUNTIF('Sources &amp; Change Log'!$J$2:$J$5,T$4)=0,COUNTIFS('Team Calendar'!$A$5:$A$12,$F10,'Team Calendar'!$C$5:$C$12,T$4)=0),1,"")</x:f>
      </x:c>
      <x:c r="U10" s="100" t="n">
        <x:f>IF(AND(ISNUMBER($D10),ISNUMBER($E10),U$4&gt;=$D10,U$4&lt;=$E10,WEEKDAY(U$4,2)&lt;=5,COUNTIF('Sources &amp; Change Log'!$J$2:$J$5,U$4)=0,COUNTIFS('Team Calendar'!$A$5:$A$12,$F10,'Team Calendar'!$C$5:$C$12,U$4)=0),1,"")</x:f>
        <x:v>1</x:v>
      </x:c>
      <x:c r="V10" s="100" t="n">
        <x:f>IF(AND(ISNUMBER($D10),ISNUMBER($E10),V$4&gt;=$D10,V$4&lt;=$E10,WEEKDAY(V$4,2)&lt;=5,COUNTIF('Sources &amp; Change Log'!$J$2:$J$5,V$4)=0,COUNTIFS('Team Calendar'!$A$5:$A$12,$F10,'Team Calendar'!$C$5:$C$12,V$4)=0),1,"")</x:f>
        <x:v>1</x:v>
      </x:c>
      <x:c r="W10" s="100" t="n">
        <x:f>IF(AND(ISNUMBER($D10),ISNUMBER($E10),W$4&gt;=$D10,W$4&lt;=$E10,WEEKDAY(W$4,2)&lt;=5,COUNTIF('Sources &amp; Change Log'!$J$2:$J$5,W$4)=0,COUNTIFS('Team Calendar'!$A$5:$A$12,$F10,'Team Calendar'!$C$5:$C$12,W$4)=0),1,"")</x:f>
        <x:v>1</x:v>
      </x:c>
      <x:c r="X10" s="100" t="n">
        <x:f>IF(AND(ISNUMBER($D10),ISNUMBER($E10),X$4&gt;=$D10,X$4&lt;=$E10,WEEKDAY(X$4,2)&lt;=5,COUNTIF('Sources &amp; Change Log'!$J$2:$J$5,X$4)=0,COUNTIFS('Team Calendar'!$A$5:$A$12,$F10,'Team Calendar'!$C$5:$C$12,X$4)=0),1,"")</x:f>
        <x:v>1</x:v>
      </x:c>
      <x:c r="Y10" s="100" t="n">
        <x:f>IF(AND(ISNUMBER($D10),ISNUMBER($E10),Y$4&gt;=$D10,Y$4&lt;=$E10,WEEKDAY(Y$4,2)&lt;=5,COUNTIF('Sources &amp; Change Log'!$J$2:$J$5,Y$4)=0,COUNTIFS('Team Calendar'!$A$5:$A$12,$F10,'Team Calendar'!$C$5:$C$12,Y$4)=0),1,"")</x:f>
        <x:v>1</x:v>
      </x:c>
      <x:c r="Z10" s="107" t="str">
        <x:f>IF(AND(ISNUMBER($D10),ISNUMBER($E10),Z$4&gt;=$D10,Z$4&lt;=$E10,WEEKDAY(Z$4,2)&lt;=5,COUNTIF('Sources &amp; Change Log'!$J$2:$J$5,Z$4)=0,COUNTIFS('Team Calendar'!$A$5:$A$12,$F10,'Team Calendar'!$C$5:$C$12,Z$4)=0),1,"")</x:f>
      </x:c>
      <x:c r="AA10" s="107" t="str">
        <x:f>IF(AND(ISNUMBER($D10),ISNUMBER($E10),AA$4&gt;=$D10,AA$4&lt;=$E10,WEEKDAY(AA$4,2)&lt;=5,COUNTIF('Sources &amp; Change Log'!$J$2:$J$5,AA$4)=0,COUNTIFS('Team Calendar'!$A$5:$A$12,$F10,'Team Calendar'!$C$5:$C$12,AA$4)=0),1,"")</x:f>
      </x:c>
      <x:c r="AB10" s="100" t="str">
        <x:f>IF(AND(ISNUMBER($D10),ISNUMBER($E10),AB$4&gt;=$D10,AB$4&lt;=$E10,WEEKDAY(AB$4,2)&lt;=5,COUNTIF('Sources &amp; Change Log'!$J$2:$J$5,AB$4)=0,COUNTIFS('Team Calendar'!$A$5:$A$12,$F10,'Team Calendar'!$C$5:$C$12,AB$4)=0),1,"")</x:f>
      </x:c>
      <x:c r="AC10" s="100" t="str">
        <x:f>IF(AND(ISNUMBER($D10),ISNUMBER($E10),AC$4&gt;=$D10,AC$4&lt;=$E10,WEEKDAY(AC$4,2)&lt;=5,COUNTIF('Sources &amp; Change Log'!$J$2:$J$5,AC$4)=0,COUNTIFS('Team Calendar'!$A$5:$A$12,$F10,'Team Calendar'!$C$5:$C$12,AC$4)=0),1,"")</x:f>
      </x:c>
      <x:c r="AD10" s="100" t="str">
        <x:f>IF(AND(ISNUMBER($D10),ISNUMBER($E10),AD$4&gt;=$D10,AD$4&lt;=$E10,WEEKDAY(AD$4,2)&lt;=5,COUNTIF('Sources &amp; Change Log'!$J$2:$J$5,AD$4)=0,COUNTIFS('Team Calendar'!$A$5:$A$12,$F10,'Team Calendar'!$C$5:$C$12,AD$4)=0),1,"")</x:f>
      </x:c>
      <x:c r="AE10" s="100" t="str">
        <x:f>IF(AND(ISNUMBER($D10),ISNUMBER($E10),AE$4&gt;=$D10,AE$4&lt;=$E10,WEEKDAY(AE$4,2)&lt;=5,COUNTIF('Sources &amp; Change Log'!$J$2:$J$5,AE$4)=0,COUNTIFS('Team Calendar'!$A$5:$A$12,$F10,'Team Calendar'!$C$5:$C$12,AE$4)=0),1,"")</x:f>
      </x:c>
      <x:c r="AF10" s="100" t="str">
        <x:f>IF(AND(ISNUMBER($D10),ISNUMBER($E10),AF$4&gt;=$D10,AF$4&lt;=$E10,WEEKDAY(AF$4,2)&lt;=5,COUNTIF('Sources &amp; Change Log'!$J$2:$J$5,AF$4)=0,COUNTIFS('Team Calendar'!$A$5:$A$12,$F10,'Team Calendar'!$C$5:$C$12,AF$4)=0),1,"")</x:f>
      </x:c>
      <x:c r="AG10" s="107" t="str">
        <x:f>IF(AND(ISNUMBER($D10),ISNUMBER($E10),AG$4&gt;=$D10,AG$4&lt;=$E10,WEEKDAY(AG$4,2)&lt;=5,COUNTIF('Sources &amp; Change Log'!$J$2:$J$5,AG$4)=0,COUNTIFS('Team Calendar'!$A$5:$A$12,$F10,'Team Calendar'!$C$5:$C$12,AG$4)=0),1,"")</x:f>
      </x:c>
      <x:c r="AH10" s="107" t="str">
        <x:f>IF(AND(ISNUMBER($D10),ISNUMBER($E10),AH$4&gt;=$D10,AH$4&lt;=$E10,WEEKDAY(AH$4,2)&lt;=5,COUNTIF('Sources &amp; Change Log'!$J$2:$J$5,AH$4)=0,COUNTIFS('Team Calendar'!$A$5:$A$12,$F10,'Team Calendar'!$C$5:$C$12,AH$4)=0),1,"")</x:f>
      </x:c>
      <x:c r="AI10" s="100" t="str">
        <x:f>IF(AND(ISNUMBER($D10),ISNUMBER($E10),AI$4&gt;=$D10,AI$4&lt;=$E10,WEEKDAY(AI$4,2)&lt;=5,COUNTIF('Sources &amp; Change Log'!$J$2:$J$5,AI$4)=0,COUNTIFS('Team Calendar'!$A$5:$A$12,$F10,'Team Calendar'!$C$5:$C$12,AI$4)=0),1,"")</x:f>
      </x:c>
    </x:row>
    <x:row r="11" ht="24" customHeight="1">
      <x:c r="A11" s="13" t="str">
        <x:f>WBS!A37</x:f>
        <x:v>MS-G4-01</x:v>
      </x:c>
      <x:c r="B11" s="13" t="str">
        <x:f>WBS!B37</x:f>
        <x:v>G4 Cloud / VPN Ready</x:v>
      </x:c>
      <x:c r="C11" s="13" t="str">
        <x:f>WBS!G37</x:f>
        <x:v>To Do</x:v>
      </x:c>
      <x:c r="D11" s="86" t="n">
        <x:f>IF(WBS!H37="","",WBS!H37)</x:f>
        <x:v>46303</x:v>
      </x:c>
      <x:c r="E11" s="86" t="n">
        <x:f>IF(WBS!I37="","",WBS!I37)</x:f>
        <x:v>46303</x:v>
      </x:c>
      <x:c r="F11" s="13" t="str">
        <x:f>WBS!L37</x:f>
        <x:v>이권욱</x:v>
      </x:c>
      <x:c r="G11" s="100" t="str">
        <x:f>IF(AND(ISNUMBER($D11),ISNUMBER($E11),G$4&gt;=$D11,G$4&lt;=$E11,WEEKDAY(G$4,2)&lt;=5,COUNTIF('Sources &amp; Change Log'!$J$2:$J$5,G$4)=0,COUNTIFS('Team Calendar'!$A$5:$A$12,$F11,'Team Calendar'!$C$5:$C$12,G$4)=0),1,"")</x:f>
      </x:c>
      <x:c r="H11" s="100" t="str">
        <x:f>IF(AND(ISNUMBER($D11),ISNUMBER($E11),H$4&gt;=$D11,H$4&lt;=$E11,WEEKDAY(H$4,2)&lt;=5,COUNTIF('Sources &amp; Change Log'!$J$2:$J$5,H$4)=0,COUNTIFS('Team Calendar'!$A$5:$A$12,$F11,'Team Calendar'!$C$5:$C$12,H$4)=0),1,"")</x:f>
      </x:c>
      <x:c r="I11" s="100" t="str">
        <x:f>IF(AND(ISNUMBER($D11),ISNUMBER($E11),I$4&gt;=$D11,I$4&lt;=$E11,WEEKDAY(I$4,2)&lt;=5,COUNTIF('Sources &amp; Change Log'!$J$2:$J$5,I$4)=0,COUNTIFS('Team Calendar'!$A$5:$A$12,$F11,'Team Calendar'!$C$5:$C$12,I$4)=0),1,"")</x:f>
      </x:c>
      <x:c r="J11" s="100" t="str">
        <x:f>IF(AND(ISNUMBER($D11),ISNUMBER($E11),J$4&gt;=$D11,J$4&lt;=$E11,WEEKDAY(J$4,2)&lt;=5,COUNTIF('Sources &amp; Change Log'!$J$2:$J$5,J$4)=0,COUNTIFS('Team Calendar'!$A$5:$A$12,$F11,'Team Calendar'!$C$5:$C$12,J$4)=0),1,"")</x:f>
      </x:c>
      <x:c r="K11" s="100" t="str">
        <x:f>IF(AND(ISNUMBER($D11),ISNUMBER($E11),K$4&gt;=$D11,K$4&lt;=$E11,WEEKDAY(K$4,2)&lt;=5,COUNTIF('Sources &amp; Change Log'!$J$2:$J$5,K$4)=0,COUNTIFS('Team Calendar'!$A$5:$A$12,$F11,'Team Calendar'!$C$5:$C$12,K$4)=0),1,"")</x:f>
      </x:c>
      <x:c r="L11" s="107" t="str">
        <x:f>IF(AND(ISNUMBER($D11),ISNUMBER($E11),L$4&gt;=$D11,L$4&lt;=$E11,WEEKDAY(L$4,2)&lt;=5,COUNTIF('Sources &amp; Change Log'!$J$2:$J$5,L$4)=0,COUNTIFS('Team Calendar'!$A$5:$A$12,$F11,'Team Calendar'!$C$5:$C$12,L$4)=0),1,"")</x:f>
      </x:c>
      <x:c r="M11" s="107" t="str">
        <x:f>IF(AND(ISNUMBER($D11),ISNUMBER($E11),M$4&gt;=$D11,M$4&lt;=$E11,WEEKDAY(M$4,2)&lt;=5,COUNTIF('Sources &amp; Change Log'!$J$2:$J$5,M$4)=0,COUNTIFS('Team Calendar'!$A$5:$A$12,$F11,'Team Calendar'!$C$5:$C$12,M$4)=0),1,"")</x:f>
      </x:c>
      <x:c r="N11" s="100" t="str">
        <x:f>IF(AND(ISNUMBER($D11),ISNUMBER($E11),N$4&gt;=$D11,N$4&lt;=$E11,WEEKDAY(N$4,2)&lt;=5,COUNTIF('Sources &amp; Change Log'!$J$2:$J$5,N$4)=0,COUNTIFS('Team Calendar'!$A$5:$A$12,$F11,'Team Calendar'!$C$5:$C$12,N$4)=0),1,"")</x:f>
      </x:c>
      <x:c r="O11" s="100" t="str">
        <x:f>IF(AND(ISNUMBER($D11),ISNUMBER($E11),O$4&gt;=$D11,O$4&lt;=$E11,WEEKDAY(O$4,2)&lt;=5,COUNTIF('Sources &amp; Change Log'!$J$2:$J$5,O$4)=0,COUNTIFS('Team Calendar'!$A$5:$A$12,$F11,'Team Calendar'!$C$5:$C$12,O$4)=0),1,"")</x:f>
      </x:c>
      <x:c r="P11" s="100" t="str">
        <x:f>IF(AND(ISNUMBER($D11),ISNUMBER($E11),P$4&gt;=$D11,P$4&lt;=$E11,WEEKDAY(P$4,2)&lt;=5,COUNTIF('Sources &amp; Change Log'!$J$2:$J$5,P$4)=0,COUNTIFS('Team Calendar'!$A$5:$A$12,$F11,'Team Calendar'!$C$5:$C$12,P$4)=0),1,"")</x:f>
      </x:c>
      <x:c r="Q11" s="100" t="n">
        <x:f>IF(AND(ISNUMBER($D11),ISNUMBER($E11),Q$4&gt;=$D11,Q$4&lt;=$E11,WEEKDAY(Q$4,2)&lt;=5,COUNTIF('Sources &amp; Change Log'!$J$2:$J$5,Q$4)=0,COUNTIFS('Team Calendar'!$A$5:$A$12,$F11,'Team Calendar'!$C$5:$C$12,Q$4)=0),1,"")</x:f>
        <x:v>1</x:v>
      </x:c>
      <x:c r="R11" s="100" t="str">
        <x:f>IF(AND(ISNUMBER($D11),ISNUMBER($E11),R$4&gt;=$D11,R$4&lt;=$E11,WEEKDAY(R$4,2)&lt;=5,COUNTIF('Sources &amp; Change Log'!$J$2:$J$5,R$4)=0,COUNTIFS('Team Calendar'!$A$5:$A$12,$F11,'Team Calendar'!$C$5:$C$12,R$4)=0),1,"")</x:f>
      </x:c>
      <x:c r="S11" s="107" t="str">
        <x:f>IF(AND(ISNUMBER($D11),ISNUMBER($E11),S$4&gt;=$D11,S$4&lt;=$E11,WEEKDAY(S$4,2)&lt;=5,COUNTIF('Sources &amp; Change Log'!$J$2:$J$5,S$4)=0,COUNTIFS('Team Calendar'!$A$5:$A$12,$F11,'Team Calendar'!$C$5:$C$12,S$4)=0),1,"")</x:f>
      </x:c>
      <x:c r="T11" s="107" t="str">
        <x:f>IF(AND(ISNUMBER($D11),ISNUMBER($E11),T$4&gt;=$D11,T$4&lt;=$E11,WEEKDAY(T$4,2)&lt;=5,COUNTIF('Sources &amp; Change Log'!$J$2:$J$5,T$4)=0,COUNTIFS('Team Calendar'!$A$5:$A$12,$F11,'Team Calendar'!$C$5:$C$12,T$4)=0),1,"")</x:f>
      </x:c>
      <x:c r="U11" s="100" t="str">
        <x:f>IF(AND(ISNUMBER($D11),ISNUMBER($E11),U$4&gt;=$D11,U$4&lt;=$E11,WEEKDAY(U$4,2)&lt;=5,COUNTIF('Sources &amp; Change Log'!$J$2:$J$5,U$4)=0,COUNTIFS('Team Calendar'!$A$5:$A$12,$F11,'Team Calendar'!$C$5:$C$12,U$4)=0),1,"")</x:f>
      </x:c>
      <x:c r="V11" s="100" t="str">
        <x:f>IF(AND(ISNUMBER($D11),ISNUMBER($E11),V$4&gt;=$D11,V$4&lt;=$E11,WEEKDAY(V$4,2)&lt;=5,COUNTIF('Sources &amp; Change Log'!$J$2:$J$5,V$4)=0,COUNTIFS('Team Calendar'!$A$5:$A$12,$F11,'Team Calendar'!$C$5:$C$12,V$4)=0),1,"")</x:f>
      </x:c>
      <x:c r="W11" s="100" t="str">
        <x:f>IF(AND(ISNUMBER($D11),ISNUMBER($E11),W$4&gt;=$D11,W$4&lt;=$E11,WEEKDAY(W$4,2)&lt;=5,COUNTIF('Sources &amp; Change Log'!$J$2:$J$5,W$4)=0,COUNTIFS('Team Calendar'!$A$5:$A$12,$F11,'Team Calendar'!$C$5:$C$12,W$4)=0),1,"")</x:f>
      </x:c>
      <x:c r="X11" s="100" t="str">
        <x:f>IF(AND(ISNUMBER($D11),ISNUMBER($E11),X$4&gt;=$D11,X$4&lt;=$E11,WEEKDAY(X$4,2)&lt;=5,COUNTIF('Sources &amp; Change Log'!$J$2:$J$5,X$4)=0,COUNTIFS('Team Calendar'!$A$5:$A$12,$F11,'Team Calendar'!$C$5:$C$12,X$4)=0),1,"")</x:f>
      </x:c>
      <x:c r="Y11" s="100" t="str">
        <x:f>IF(AND(ISNUMBER($D11),ISNUMBER($E11),Y$4&gt;=$D11,Y$4&lt;=$E11,WEEKDAY(Y$4,2)&lt;=5,COUNTIF('Sources &amp; Change Log'!$J$2:$J$5,Y$4)=0,COUNTIFS('Team Calendar'!$A$5:$A$12,$F11,'Team Calendar'!$C$5:$C$12,Y$4)=0),1,"")</x:f>
      </x:c>
      <x:c r="Z11" s="107" t="str">
        <x:f>IF(AND(ISNUMBER($D11),ISNUMBER($E11),Z$4&gt;=$D11,Z$4&lt;=$E11,WEEKDAY(Z$4,2)&lt;=5,COUNTIF('Sources &amp; Change Log'!$J$2:$J$5,Z$4)=0,COUNTIFS('Team Calendar'!$A$5:$A$12,$F11,'Team Calendar'!$C$5:$C$12,Z$4)=0),1,"")</x:f>
      </x:c>
      <x:c r="AA11" s="107" t="str">
        <x:f>IF(AND(ISNUMBER($D11),ISNUMBER($E11),AA$4&gt;=$D11,AA$4&lt;=$E11,WEEKDAY(AA$4,2)&lt;=5,COUNTIF('Sources &amp; Change Log'!$J$2:$J$5,AA$4)=0,COUNTIFS('Team Calendar'!$A$5:$A$12,$F11,'Team Calendar'!$C$5:$C$12,AA$4)=0),1,"")</x:f>
      </x:c>
      <x:c r="AB11" s="100" t="str">
        <x:f>IF(AND(ISNUMBER($D11),ISNUMBER($E11),AB$4&gt;=$D11,AB$4&lt;=$E11,WEEKDAY(AB$4,2)&lt;=5,COUNTIF('Sources &amp; Change Log'!$J$2:$J$5,AB$4)=0,COUNTIFS('Team Calendar'!$A$5:$A$12,$F11,'Team Calendar'!$C$5:$C$12,AB$4)=0),1,"")</x:f>
      </x:c>
      <x:c r="AC11" s="100" t="str">
        <x:f>IF(AND(ISNUMBER($D11),ISNUMBER($E11),AC$4&gt;=$D11,AC$4&lt;=$E11,WEEKDAY(AC$4,2)&lt;=5,COUNTIF('Sources &amp; Change Log'!$J$2:$J$5,AC$4)=0,COUNTIFS('Team Calendar'!$A$5:$A$12,$F11,'Team Calendar'!$C$5:$C$12,AC$4)=0),1,"")</x:f>
      </x:c>
      <x:c r="AD11" s="100" t="str">
        <x:f>IF(AND(ISNUMBER($D11),ISNUMBER($E11),AD$4&gt;=$D11,AD$4&lt;=$E11,WEEKDAY(AD$4,2)&lt;=5,COUNTIF('Sources &amp; Change Log'!$J$2:$J$5,AD$4)=0,COUNTIFS('Team Calendar'!$A$5:$A$12,$F11,'Team Calendar'!$C$5:$C$12,AD$4)=0),1,"")</x:f>
      </x:c>
      <x:c r="AE11" s="100" t="str">
        <x:f>IF(AND(ISNUMBER($D11),ISNUMBER($E11),AE$4&gt;=$D11,AE$4&lt;=$E11,WEEKDAY(AE$4,2)&lt;=5,COUNTIF('Sources &amp; Change Log'!$J$2:$J$5,AE$4)=0,COUNTIFS('Team Calendar'!$A$5:$A$12,$F11,'Team Calendar'!$C$5:$C$12,AE$4)=0),1,"")</x:f>
      </x:c>
      <x:c r="AF11" s="100" t="str">
        <x:f>IF(AND(ISNUMBER($D11),ISNUMBER($E11),AF$4&gt;=$D11,AF$4&lt;=$E11,WEEKDAY(AF$4,2)&lt;=5,COUNTIF('Sources &amp; Change Log'!$J$2:$J$5,AF$4)=0,COUNTIFS('Team Calendar'!$A$5:$A$12,$F11,'Team Calendar'!$C$5:$C$12,AF$4)=0),1,"")</x:f>
      </x:c>
      <x:c r="AG11" s="107" t="str">
        <x:f>IF(AND(ISNUMBER($D11),ISNUMBER($E11),AG$4&gt;=$D11,AG$4&lt;=$E11,WEEKDAY(AG$4,2)&lt;=5,COUNTIF('Sources &amp; Change Log'!$J$2:$J$5,AG$4)=0,COUNTIFS('Team Calendar'!$A$5:$A$12,$F11,'Team Calendar'!$C$5:$C$12,AG$4)=0),1,"")</x:f>
      </x:c>
      <x:c r="AH11" s="107" t="str">
        <x:f>IF(AND(ISNUMBER($D11),ISNUMBER($E11),AH$4&gt;=$D11,AH$4&lt;=$E11,WEEKDAY(AH$4,2)&lt;=5,COUNTIF('Sources &amp; Change Log'!$J$2:$J$5,AH$4)=0,COUNTIFS('Team Calendar'!$A$5:$A$12,$F11,'Team Calendar'!$C$5:$C$12,AH$4)=0),1,"")</x:f>
      </x:c>
      <x:c r="AI11" s="100" t="str">
        <x:f>IF(AND(ISNUMBER($D11),ISNUMBER($E11),AI$4&gt;=$D11,AI$4&lt;=$E11,WEEKDAY(AI$4,2)&lt;=5,COUNTIF('Sources &amp; Change Log'!$J$2:$J$5,AI$4)=0,COUNTIFS('Team Calendar'!$A$5:$A$12,$F11,'Team Calendar'!$C$5:$C$12,AI$4)=0),1,"")</x:f>
      </x:c>
    </x:row>
    <x:row r="12" ht="24" customHeight="1">
      <x:c r="A12" s="13" t="str">
        <x:f>WBS!A38</x:f>
        <x:v>DEC-P2-DNS-01</x:v>
      </x:c>
      <x:c r="B12" s="13" t="str">
        <x:f>WBS!B38</x:f>
        <x:v>Hybrid DNS Scope Decision</x:v>
      </x:c>
      <x:c r="C12" s="13" t="str">
        <x:f>WBS!G38</x:f>
        <x:v>To Do</x:v>
      </x:c>
      <x:c r="D12" s="86" t="n">
        <x:f>IF(WBS!H38="","",WBS!H38)</x:f>
        <x:v>46307</x:v>
      </x:c>
      <x:c r="E12" s="86" t="n">
        <x:f>IF(WBS!I38="","",WBS!I38)</x:f>
        <x:v>46311</x:v>
      </x:c>
      <x:c r="F12" s="13" t="str">
        <x:f>WBS!L38</x:f>
        <x:v>이권욱</x:v>
      </x:c>
      <x:c r="G12" s="100" t="str">
        <x:f>IF(AND(ISNUMBER($D12),ISNUMBER($E12),G$4&gt;=$D12,G$4&lt;=$E12,WEEKDAY(G$4,2)&lt;=5,COUNTIF('Sources &amp; Change Log'!$J$2:$J$5,G$4)=0,COUNTIFS('Team Calendar'!$A$5:$A$12,$F12,'Team Calendar'!$C$5:$C$12,G$4)=0),1,"")</x:f>
      </x:c>
      <x:c r="H12" s="100" t="str">
        <x:f>IF(AND(ISNUMBER($D12),ISNUMBER($E12),H$4&gt;=$D12,H$4&lt;=$E12,WEEKDAY(H$4,2)&lt;=5,COUNTIF('Sources &amp; Change Log'!$J$2:$J$5,H$4)=0,COUNTIFS('Team Calendar'!$A$5:$A$12,$F12,'Team Calendar'!$C$5:$C$12,H$4)=0),1,"")</x:f>
      </x:c>
      <x:c r="I12" s="100" t="str">
        <x:f>IF(AND(ISNUMBER($D12),ISNUMBER($E12),I$4&gt;=$D12,I$4&lt;=$E12,WEEKDAY(I$4,2)&lt;=5,COUNTIF('Sources &amp; Change Log'!$J$2:$J$5,I$4)=0,COUNTIFS('Team Calendar'!$A$5:$A$12,$F12,'Team Calendar'!$C$5:$C$12,I$4)=0),1,"")</x:f>
      </x:c>
      <x:c r="J12" s="100" t="str">
        <x:f>IF(AND(ISNUMBER($D12),ISNUMBER($E12),J$4&gt;=$D12,J$4&lt;=$E12,WEEKDAY(J$4,2)&lt;=5,COUNTIF('Sources &amp; Change Log'!$J$2:$J$5,J$4)=0,COUNTIFS('Team Calendar'!$A$5:$A$12,$F12,'Team Calendar'!$C$5:$C$12,J$4)=0),1,"")</x:f>
      </x:c>
      <x:c r="K12" s="100" t="str">
        <x:f>IF(AND(ISNUMBER($D12),ISNUMBER($E12),K$4&gt;=$D12,K$4&lt;=$E12,WEEKDAY(K$4,2)&lt;=5,COUNTIF('Sources &amp; Change Log'!$J$2:$J$5,K$4)=0,COUNTIFS('Team Calendar'!$A$5:$A$12,$F12,'Team Calendar'!$C$5:$C$12,K$4)=0),1,"")</x:f>
      </x:c>
      <x:c r="L12" s="107" t="str">
        <x:f>IF(AND(ISNUMBER($D12),ISNUMBER($E12),L$4&gt;=$D12,L$4&lt;=$E12,WEEKDAY(L$4,2)&lt;=5,COUNTIF('Sources &amp; Change Log'!$J$2:$J$5,L$4)=0,COUNTIFS('Team Calendar'!$A$5:$A$12,$F12,'Team Calendar'!$C$5:$C$12,L$4)=0),1,"")</x:f>
      </x:c>
      <x:c r="M12" s="107" t="str">
        <x:f>IF(AND(ISNUMBER($D12),ISNUMBER($E12),M$4&gt;=$D12,M$4&lt;=$E12,WEEKDAY(M$4,2)&lt;=5,COUNTIF('Sources &amp; Change Log'!$J$2:$J$5,M$4)=0,COUNTIFS('Team Calendar'!$A$5:$A$12,$F12,'Team Calendar'!$C$5:$C$12,M$4)=0),1,"")</x:f>
      </x:c>
      <x:c r="N12" s="100" t="str">
        <x:f>IF(AND(ISNUMBER($D12),ISNUMBER($E12),N$4&gt;=$D12,N$4&lt;=$E12,WEEKDAY(N$4,2)&lt;=5,COUNTIF('Sources &amp; Change Log'!$J$2:$J$5,N$4)=0,COUNTIFS('Team Calendar'!$A$5:$A$12,$F12,'Team Calendar'!$C$5:$C$12,N$4)=0),1,"")</x:f>
      </x:c>
      <x:c r="O12" s="100" t="str">
        <x:f>IF(AND(ISNUMBER($D12),ISNUMBER($E12),O$4&gt;=$D12,O$4&lt;=$E12,WEEKDAY(O$4,2)&lt;=5,COUNTIF('Sources &amp; Change Log'!$J$2:$J$5,O$4)=0,COUNTIFS('Team Calendar'!$A$5:$A$12,$F12,'Team Calendar'!$C$5:$C$12,O$4)=0),1,"")</x:f>
      </x:c>
      <x:c r="P12" s="100" t="str">
        <x:f>IF(AND(ISNUMBER($D12),ISNUMBER($E12),P$4&gt;=$D12,P$4&lt;=$E12,WEEKDAY(P$4,2)&lt;=5,COUNTIF('Sources &amp; Change Log'!$J$2:$J$5,P$4)=0,COUNTIFS('Team Calendar'!$A$5:$A$12,$F12,'Team Calendar'!$C$5:$C$12,P$4)=0),1,"")</x:f>
      </x:c>
      <x:c r="Q12" s="100" t="str">
        <x:f>IF(AND(ISNUMBER($D12),ISNUMBER($E12),Q$4&gt;=$D12,Q$4&lt;=$E12,WEEKDAY(Q$4,2)&lt;=5,COUNTIF('Sources &amp; Change Log'!$J$2:$J$5,Q$4)=0,COUNTIFS('Team Calendar'!$A$5:$A$12,$F12,'Team Calendar'!$C$5:$C$12,Q$4)=0),1,"")</x:f>
      </x:c>
      <x:c r="R12" s="100" t="str">
        <x:f>IF(AND(ISNUMBER($D12),ISNUMBER($E12),R$4&gt;=$D12,R$4&lt;=$E12,WEEKDAY(R$4,2)&lt;=5,COUNTIF('Sources &amp; Change Log'!$J$2:$J$5,R$4)=0,COUNTIFS('Team Calendar'!$A$5:$A$12,$F12,'Team Calendar'!$C$5:$C$12,R$4)=0),1,"")</x:f>
      </x:c>
      <x:c r="S12" s="107" t="str">
        <x:f>IF(AND(ISNUMBER($D12),ISNUMBER($E12),S$4&gt;=$D12,S$4&lt;=$E12,WEEKDAY(S$4,2)&lt;=5,COUNTIF('Sources &amp; Change Log'!$J$2:$J$5,S$4)=0,COUNTIFS('Team Calendar'!$A$5:$A$12,$F12,'Team Calendar'!$C$5:$C$12,S$4)=0),1,"")</x:f>
      </x:c>
      <x:c r="T12" s="107" t="str">
        <x:f>IF(AND(ISNUMBER($D12),ISNUMBER($E12),T$4&gt;=$D12,T$4&lt;=$E12,WEEKDAY(T$4,2)&lt;=5,COUNTIF('Sources &amp; Change Log'!$J$2:$J$5,T$4)=0,COUNTIFS('Team Calendar'!$A$5:$A$12,$F12,'Team Calendar'!$C$5:$C$12,T$4)=0),1,"")</x:f>
      </x:c>
      <x:c r="U12" s="100" t="n">
        <x:f>IF(AND(ISNUMBER($D12),ISNUMBER($E12),U$4&gt;=$D12,U$4&lt;=$E12,WEEKDAY(U$4,2)&lt;=5,COUNTIF('Sources &amp; Change Log'!$J$2:$J$5,U$4)=0,COUNTIFS('Team Calendar'!$A$5:$A$12,$F12,'Team Calendar'!$C$5:$C$12,U$4)=0),1,"")</x:f>
        <x:v>1</x:v>
      </x:c>
      <x:c r="V12" s="100" t="n">
        <x:f>IF(AND(ISNUMBER($D12),ISNUMBER($E12),V$4&gt;=$D12,V$4&lt;=$E12,WEEKDAY(V$4,2)&lt;=5,COUNTIF('Sources &amp; Change Log'!$J$2:$J$5,V$4)=0,COUNTIFS('Team Calendar'!$A$5:$A$12,$F12,'Team Calendar'!$C$5:$C$12,V$4)=0),1,"")</x:f>
        <x:v>1</x:v>
      </x:c>
      <x:c r="W12" s="100" t="n">
        <x:f>IF(AND(ISNUMBER($D12),ISNUMBER($E12),W$4&gt;=$D12,W$4&lt;=$E12,WEEKDAY(W$4,2)&lt;=5,COUNTIF('Sources &amp; Change Log'!$J$2:$J$5,W$4)=0,COUNTIFS('Team Calendar'!$A$5:$A$12,$F12,'Team Calendar'!$C$5:$C$12,W$4)=0),1,"")</x:f>
        <x:v>1</x:v>
      </x:c>
      <x:c r="X12" s="100" t="n">
        <x:f>IF(AND(ISNUMBER($D12),ISNUMBER($E12),X$4&gt;=$D12,X$4&lt;=$E12,WEEKDAY(X$4,2)&lt;=5,COUNTIF('Sources &amp; Change Log'!$J$2:$J$5,X$4)=0,COUNTIFS('Team Calendar'!$A$5:$A$12,$F12,'Team Calendar'!$C$5:$C$12,X$4)=0),1,"")</x:f>
        <x:v>1</x:v>
      </x:c>
      <x:c r="Y12" s="100" t="n">
        <x:f>IF(AND(ISNUMBER($D12),ISNUMBER($E12),Y$4&gt;=$D12,Y$4&lt;=$E12,WEEKDAY(Y$4,2)&lt;=5,COUNTIF('Sources &amp; Change Log'!$J$2:$J$5,Y$4)=0,COUNTIFS('Team Calendar'!$A$5:$A$12,$F12,'Team Calendar'!$C$5:$C$12,Y$4)=0),1,"")</x:f>
        <x:v>1</x:v>
      </x:c>
      <x:c r="Z12" s="107" t="str">
        <x:f>IF(AND(ISNUMBER($D12),ISNUMBER($E12),Z$4&gt;=$D12,Z$4&lt;=$E12,WEEKDAY(Z$4,2)&lt;=5,COUNTIF('Sources &amp; Change Log'!$J$2:$J$5,Z$4)=0,COUNTIFS('Team Calendar'!$A$5:$A$12,$F12,'Team Calendar'!$C$5:$C$12,Z$4)=0),1,"")</x:f>
      </x:c>
      <x:c r="AA12" s="107" t="str">
        <x:f>IF(AND(ISNUMBER($D12),ISNUMBER($E12),AA$4&gt;=$D12,AA$4&lt;=$E12,WEEKDAY(AA$4,2)&lt;=5,COUNTIF('Sources &amp; Change Log'!$J$2:$J$5,AA$4)=0,COUNTIFS('Team Calendar'!$A$5:$A$12,$F12,'Team Calendar'!$C$5:$C$12,AA$4)=0),1,"")</x:f>
      </x:c>
      <x:c r="AB12" s="100" t="str">
        <x:f>IF(AND(ISNUMBER($D12),ISNUMBER($E12),AB$4&gt;=$D12,AB$4&lt;=$E12,WEEKDAY(AB$4,2)&lt;=5,COUNTIF('Sources &amp; Change Log'!$J$2:$J$5,AB$4)=0,COUNTIFS('Team Calendar'!$A$5:$A$12,$F12,'Team Calendar'!$C$5:$C$12,AB$4)=0),1,"")</x:f>
      </x:c>
      <x:c r="AC12" s="100" t="str">
        <x:f>IF(AND(ISNUMBER($D12),ISNUMBER($E12),AC$4&gt;=$D12,AC$4&lt;=$E12,WEEKDAY(AC$4,2)&lt;=5,COUNTIF('Sources &amp; Change Log'!$J$2:$J$5,AC$4)=0,COUNTIFS('Team Calendar'!$A$5:$A$12,$F12,'Team Calendar'!$C$5:$C$12,AC$4)=0),1,"")</x:f>
      </x:c>
      <x:c r="AD12" s="100" t="str">
        <x:f>IF(AND(ISNUMBER($D12),ISNUMBER($E12),AD$4&gt;=$D12,AD$4&lt;=$E12,WEEKDAY(AD$4,2)&lt;=5,COUNTIF('Sources &amp; Change Log'!$J$2:$J$5,AD$4)=0,COUNTIFS('Team Calendar'!$A$5:$A$12,$F12,'Team Calendar'!$C$5:$C$12,AD$4)=0),1,"")</x:f>
      </x:c>
      <x:c r="AE12" s="100" t="str">
        <x:f>IF(AND(ISNUMBER($D12),ISNUMBER($E12),AE$4&gt;=$D12,AE$4&lt;=$E12,WEEKDAY(AE$4,2)&lt;=5,COUNTIF('Sources &amp; Change Log'!$J$2:$J$5,AE$4)=0,COUNTIFS('Team Calendar'!$A$5:$A$12,$F12,'Team Calendar'!$C$5:$C$12,AE$4)=0),1,"")</x:f>
      </x:c>
      <x:c r="AF12" s="100" t="str">
        <x:f>IF(AND(ISNUMBER($D12),ISNUMBER($E12),AF$4&gt;=$D12,AF$4&lt;=$E12,WEEKDAY(AF$4,2)&lt;=5,COUNTIF('Sources &amp; Change Log'!$J$2:$J$5,AF$4)=0,COUNTIFS('Team Calendar'!$A$5:$A$12,$F12,'Team Calendar'!$C$5:$C$12,AF$4)=0),1,"")</x:f>
      </x:c>
      <x:c r="AG12" s="107" t="str">
        <x:f>IF(AND(ISNUMBER($D12),ISNUMBER($E12),AG$4&gt;=$D12,AG$4&lt;=$E12,WEEKDAY(AG$4,2)&lt;=5,COUNTIF('Sources &amp; Change Log'!$J$2:$J$5,AG$4)=0,COUNTIFS('Team Calendar'!$A$5:$A$12,$F12,'Team Calendar'!$C$5:$C$12,AG$4)=0),1,"")</x:f>
      </x:c>
      <x:c r="AH12" s="107" t="str">
        <x:f>IF(AND(ISNUMBER($D12),ISNUMBER($E12),AH$4&gt;=$D12,AH$4&lt;=$E12,WEEKDAY(AH$4,2)&lt;=5,COUNTIF('Sources &amp; Change Log'!$J$2:$J$5,AH$4)=0,COUNTIFS('Team Calendar'!$A$5:$A$12,$F12,'Team Calendar'!$C$5:$C$12,AH$4)=0),1,"")</x:f>
      </x:c>
      <x:c r="AI12" s="100" t="str">
        <x:f>IF(AND(ISNUMBER($D12),ISNUMBER($E12),AI$4&gt;=$D12,AI$4&lt;=$E12,WEEKDAY(AI$4,2)&lt;=5,COUNTIF('Sources &amp; Change Log'!$J$2:$J$5,AI$4)=0,COUNTIFS('Team Calendar'!$A$5:$A$12,$F12,'Team Calendar'!$C$5:$C$12,AI$4)=0),1,"")</x:f>
      </x:c>
    </x:row>
    <x:row r="13" ht="24" customHeight="1">
      <x:c r="A13" s="13" t="str">
        <x:f>WBS!A39</x:f>
        <x:v>DEC-P2-OP-01</x:v>
      </x:c>
      <x:c r="B13" s="13" t="str">
        <x:f>WBS!B39</x:f>
        <x:v>Operator Supply Chain Scope Decision</x:v>
      </x:c>
      <x:c r="C13" s="13" t="str">
        <x:f>WBS!G39</x:f>
        <x:v>To Do</x:v>
      </x:c>
      <x:c r="D13" s="86" t="n">
        <x:f>IF(WBS!H39="","",WBS!H39)</x:f>
        <x:v>46307</x:v>
      </x:c>
      <x:c r="E13" s="86" t="n">
        <x:f>IF(WBS!I39="","",WBS!I39)</x:f>
        <x:v>46311</x:v>
      </x:c>
      <x:c r="F13" s="13" t="str">
        <x:f>WBS!L39</x:f>
        <x:v>이하영</x:v>
      </x:c>
      <x:c r="G13" s="100" t="str">
        <x:f>IF(AND(ISNUMBER($D13),ISNUMBER($E13),G$4&gt;=$D13,G$4&lt;=$E13,WEEKDAY(G$4,2)&lt;=5,COUNTIF('Sources &amp; Change Log'!$J$2:$J$5,G$4)=0,COUNTIFS('Team Calendar'!$A$5:$A$12,$F13,'Team Calendar'!$C$5:$C$12,G$4)=0),1,"")</x:f>
      </x:c>
      <x:c r="H13" s="100" t="str">
        <x:f>IF(AND(ISNUMBER($D13),ISNUMBER($E13),H$4&gt;=$D13,H$4&lt;=$E13,WEEKDAY(H$4,2)&lt;=5,COUNTIF('Sources &amp; Change Log'!$J$2:$J$5,H$4)=0,COUNTIFS('Team Calendar'!$A$5:$A$12,$F13,'Team Calendar'!$C$5:$C$12,H$4)=0),1,"")</x:f>
      </x:c>
      <x:c r="I13" s="100" t="str">
        <x:f>IF(AND(ISNUMBER($D13),ISNUMBER($E13),I$4&gt;=$D13,I$4&lt;=$E13,WEEKDAY(I$4,2)&lt;=5,COUNTIF('Sources &amp; Change Log'!$J$2:$J$5,I$4)=0,COUNTIFS('Team Calendar'!$A$5:$A$12,$F13,'Team Calendar'!$C$5:$C$12,I$4)=0),1,"")</x:f>
      </x:c>
      <x:c r="J13" s="100" t="str">
        <x:f>IF(AND(ISNUMBER($D13),ISNUMBER($E13),J$4&gt;=$D13,J$4&lt;=$E13,WEEKDAY(J$4,2)&lt;=5,COUNTIF('Sources &amp; Change Log'!$J$2:$J$5,J$4)=0,COUNTIFS('Team Calendar'!$A$5:$A$12,$F13,'Team Calendar'!$C$5:$C$12,J$4)=0),1,"")</x:f>
      </x:c>
      <x:c r="K13" s="100" t="str">
        <x:f>IF(AND(ISNUMBER($D13),ISNUMBER($E13),K$4&gt;=$D13,K$4&lt;=$E13,WEEKDAY(K$4,2)&lt;=5,COUNTIF('Sources &amp; Change Log'!$J$2:$J$5,K$4)=0,COUNTIFS('Team Calendar'!$A$5:$A$12,$F13,'Team Calendar'!$C$5:$C$12,K$4)=0),1,"")</x:f>
      </x:c>
      <x:c r="L13" s="107" t="str">
        <x:f>IF(AND(ISNUMBER($D13),ISNUMBER($E13),L$4&gt;=$D13,L$4&lt;=$E13,WEEKDAY(L$4,2)&lt;=5,COUNTIF('Sources &amp; Change Log'!$J$2:$J$5,L$4)=0,COUNTIFS('Team Calendar'!$A$5:$A$12,$F13,'Team Calendar'!$C$5:$C$12,L$4)=0),1,"")</x:f>
      </x:c>
      <x:c r="M13" s="107" t="str">
        <x:f>IF(AND(ISNUMBER($D13),ISNUMBER($E13),M$4&gt;=$D13,M$4&lt;=$E13,WEEKDAY(M$4,2)&lt;=5,COUNTIF('Sources &amp; Change Log'!$J$2:$J$5,M$4)=0,COUNTIFS('Team Calendar'!$A$5:$A$12,$F13,'Team Calendar'!$C$5:$C$12,M$4)=0),1,"")</x:f>
      </x:c>
      <x:c r="N13" s="100" t="str">
        <x:f>IF(AND(ISNUMBER($D13),ISNUMBER($E13),N$4&gt;=$D13,N$4&lt;=$E13,WEEKDAY(N$4,2)&lt;=5,COUNTIF('Sources &amp; Change Log'!$J$2:$J$5,N$4)=0,COUNTIFS('Team Calendar'!$A$5:$A$12,$F13,'Team Calendar'!$C$5:$C$12,N$4)=0),1,"")</x:f>
      </x:c>
      <x:c r="O13" s="100" t="str">
        <x:f>IF(AND(ISNUMBER($D13),ISNUMBER($E13),O$4&gt;=$D13,O$4&lt;=$E13,WEEKDAY(O$4,2)&lt;=5,COUNTIF('Sources &amp; Change Log'!$J$2:$J$5,O$4)=0,COUNTIFS('Team Calendar'!$A$5:$A$12,$F13,'Team Calendar'!$C$5:$C$12,O$4)=0),1,"")</x:f>
      </x:c>
      <x:c r="P13" s="100" t="str">
        <x:f>IF(AND(ISNUMBER($D13),ISNUMBER($E13),P$4&gt;=$D13,P$4&lt;=$E13,WEEKDAY(P$4,2)&lt;=5,COUNTIF('Sources &amp; Change Log'!$J$2:$J$5,P$4)=0,COUNTIFS('Team Calendar'!$A$5:$A$12,$F13,'Team Calendar'!$C$5:$C$12,P$4)=0),1,"")</x:f>
      </x:c>
      <x:c r="Q13" s="100" t="str">
        <x:f>IF(AND(ISNUMBER($D13),ISNUMBER($E13),Q$4&gt;=$D13,Q$4&lt;=$E13,WEEKDAY(Q$4,2)&lt;=5,COUNTIF('Sources &amp; Change Log'!$J$2:$J$5,Q$4)=0,COUNTIFS('Team Calendar'!$A$5:$A$12,$F13,'Team Calendar'!$C$5:$C$12,Q$4)=0),1,"")</x:f>
      </x:c>
      <x:c r="R13" s="100" t="str">
        <x:f>IF(AND(ISNUMBER($D13),ISNUMBER($E13),R$4&gt;=$D13,R$4&lt;=$E13,WEEKDAY(R$4,2)&lt;=5,COUNTIF('Sources &amp; Change Log'!$J$2:$J$5,R$4)=0,COUNTIFS('Team Calendar'!$A$5:$A$12,$F13,'Team Calendar'!$C$5:$C$12,R$4)=0),1,"")</x:f>
      </x:c>
      <x:c r="S13" s="107" t="str">
        <x:f>IF(AND(ISNUMBER($D13),ISNUMBER($E13),S$4&gt;=$D13,S$4&lt;=$E13,WEEKDAY(S$4,2)&lt;=5,COUNTIF('Sources &amp; Change Log'!$J$2:$J$5,S$4)=0,COUNTIFS('Team Calendar'!$A$5:$A$12,$F13,'Team Calendar'!$C$5:$C$12,S$4)=0),1,"")</x:f>
      </x:c>
      <x:c r="T13" s="107" t="str">
        <x:f>IF(AND(ISNUMBER($D13),ISNUMBER($E13),T$4&gt;=$D13,T$4&lt;=$E13,WEEKDAY(T$4,2)&lt;=5,COUNTIF('Sources &amp; Change Log'!$J$2:$J$5,T$4)=0,COUNTIFS('Team Calendar'!$A$5:$A$12,$F13,'Team Calendar'!$C$5:$C$12,T$4)=0),1,"")</x:f>
      </x:c>
      <x:c r="U13" s="100" t="n">
        <x:f>IF(AND(ISNUMBER($D13),ISNUMBER($E13),U$4&gt;=$D13,U$4&lt;=$E13,WEEKDAY(U$4,2)&lt;=5,COUNTIF('Sources &amp; Change Log'!$J$2:$J$5,U$4)=0,COUNTIFS('Team Calendar'!$A$5:$A$12,$F13,'Team Calendar'!$C$5:$C$12,U$4)=0),1,"")</x:f>
        <x:v>1</x:v>
      </x:c>
      <x:c r="V13" s="100" t="n">
        <x:f>IF(AND(ISNUMBER($D13),ISNUMBER($E13),V$4&gt;=$D13,V$4&lt;=$E13,WEEKDAY(V$4,2)&lt;=5,COUNTIF('Sources &amp; Change Log'!$J$2:$J$5,V$4)=0,COUNTIFS('Team Calendar'!$A$5:$A$12,$F13,'Team Calendar'!$C$5:$C$12,V$4)=0),1,"")</x:f>
        <x:v>1</x:v>
      </x:c>
      <x:c r="W13" s="100" t="n">
        <x:f>IF(AND(ISNUMBER($D13),ISNUMBER($E13),W$4&gt;=$D13,W$4&lt;=$E13,WEEKDAY(W$4,2)&lt;=5,COUNTIF('Sources &amp; Change Log'!$J$2:$J$5,W$4)=0,COUNTIFS('Team Calendar'!$A$5:$A$12,$F13,'Team Calendar'!$C$5:$C$12,W$4)=0),1,"")</x:f>
        <x:v>1</x:v>
      </x:c>
      <x:c r="X13" s="100" t="n">
        <x:f>IF(AND(ISNUMBER($D13),ISNUMBER($E13),X$4&gt;=$D13,X$4&lt;=$E13,WEEKDAY(X$4,2)&lt;=5,COUNTIF('Sources &amp; Change Log'!$J$2:$J$5,X$4)=0,COUNTIFS('Team Calendar'!$A$5:$A$12,$F13,'Team Calendar'!$C$5:$C$12,X$4)=0),1,"")</x:f>
        <x:v>1</x:v>
      </x:c>
      <x:c r="Y13" s="100" t="n">
        <x:f>IF(AND(ISNUMBER($D13),ISNUMBER($E13),Y$4&gt;=$D13,Y$4&lt;=$E13,WEEKDAY(Y$4,2)&lt;=5,COUNTIF('Sources &amp; Change Log'!$J$2:$J$5,Y$4)=0,COUNTIFS('Team Calendar'!$A$5:$A$12,$F13,'Team Calendar'!$C$5:$C$12,Y$4)=0),1,"")</x:f>
        <x:v>1</x:v>
      </x:c>
      <x:c r="Z13" s="107" t="str">
        <x:f>IF(AND(ISNUMBER($D13),ISNUMBER($E13),Z$4&gt;=$D13,Z$4&lt;=$E13,WEEKDAY(Z$4,2)&lt;=5,COUNTIF('Sources &amp; Change Log'!$J$2:$J$5,Z$4)=0,COUNTIFS('Team Calendar'!$A$5:$A$12,$F13,'Team Calendar'!$C$5:$C$12,Z$4)=0),1,"")</x:f>
      </x:c>
      <x:c r="AA13" s="107" t="str">
        <x:f>IF(AND(ISNUMBER($D13),ISNUMBER($E13),AA$4&gt;=$D13,AA$4&lt;=$E13,WEEKDAY(AA$4,2)&lt;=5,COUNTIF('Sources &amp; Change Log'!$J$2:$J$5,AA$4)=0,COUNTIFS('Team Calendar'!$A$5:$A$12,$F13,'Team Calendar'!$C$5:$C$12,AA$4)=0),1,"")</x:f>
      </x:c>
      <x:c r="AB13" s="100" t="str">
        <x:f>IF(AND(ISNUMBER($D13),ISNUMBER($E13),AB$4&gt;=$D13,AB$4&lt;=$E13,WEEKDAY(AB$4,2)&lt;=5,COUNTIF('Sources &amp; Change Log'!$J$2:$J$5,AB$4)=0,COUNTIFS('Team Calendar'!$A$5:$A$12,$F13,'Team Calendar'!$C$5:$C$12,AB$4)=0),1,"")</x:f>
      </x:c>
      <x:c r="AC13" s="100" t="str">
        <x:f>IF(AND(ISNUMBER($D13),ISNUMBER($E13),AC$4&gt;=$D13,AC$4&lt;=$E13,WEEKDAY(AC$4,2)&lt;=5,COUNTIF('Sources &amp; Change Log'!$J$2:$J$5,AC$4)=0,COUNTIFS('Team Calendar'!$A$5:$A$12,$F13,'Team Calendar'!$C$5:$C$12,AC$4)=0),1,"")</x:f>
      </x:c>
      <x:c r="AD13" s="100" t="str">
        <x:f>IF(AND(ISNUMBER($D13),ISNUMBER($E13),AD$4&gt;=$D13,AD$4&lt;=$E13,WEEKDAY(AD$4,2)&lt;=5,COUNTIF('Sources &amp; Change Log'!$J$2:$J$5,AD$4)=0,COUNTIFS('Team Calendar'!$A$5:$A$12,$F13,'Team Calendar'!$C$5:$C$12,AD$4)=0),1,"")</x:f>
      </x:c>
      <x:c r="AE13" s="100" t="str">
        <x:f>IF(AND(ISNUMBER($D13),ISNUMBER($E13),AE$4&gt;=$D13,AE$4&lt;=$E13,WEEKDAY(AE$4,2)&lt;=5,COUNTIF('Sources &amp; Change Log'!$J$2:$J$5,AE$4)=0,COUNTIFS('Team Calendar'!$A$5:$A$12,$F13,'Team Calendar'!$C$5:$C$12,AE$4)=0),1,"")</x:f>
      </x:c>
      <x:c r="AF13" s="100" t="str">
        <x:f>IF(AND(ISNUMBER($D13),ISNUMBER($E13),AF$4&gt;=$D13,AF$4&lt;=$E13,WEEKDAY(AF$4,2)&lt;=5,COUNTIF('Sources &amp; Change Log'!$J$2:$J$5,AF$4)=0,COUNTIFS('Team Calendar'!$A$5:$A$12,$F13,'Team Calendar'!$C$5:$C$12,AF$4)=0),1,"")</x:f>
      </x:c>
      <x:c r="AG13" s="107" t="str">
        <x:f>IF(AND(ISNUMBER($D13),ISNUMBER($E13),AG$4&gt;=$D13,AG$4&lt;=$E13,WEEKDAY(AG$4,2)&lt;=5,COUNTIF('Sources &amp; Change Log'!$J$2:$J$5,AG$4)=0,COUNTIFS('Team Calendar'!$A$5:$A$12,$F13,'Team Calendar'!$C$5:$C$12,AG$4)=0),1,"")</x:f>
      </x:c>
      <x:c r="AH13" s="107" t="str">
        <x:f>IF(AND(ISNUMBER($D13),ISNUMBER($E13),AH$4&gt;=$D13,AH$4&lt;=$E13,WEEKDAY(AH$4,2)&lt;=5,COUNTIF('Sources &amp; Change Log'!$J$2:$J$5,AH$4)=0,COUNTIFS('Team Calendar'!$A$5:$A$12,$F13,'Team Calendar'!$C$5:$C$12,AH$4)=0),1,"")</x:f>
      </x:c>
      <x:c r="AI13" s="100" t="str">
        <x:f>IF(AND(ISNUMBER($D13),ISNUMBER($E13),AI$4&gt;=$D13,AI$4&lt;=$E13,WEEKDAY(AI$4,2)&lt;=5,COUNTIF('Sources &amp; Change Log'!$J$2:$J$5,AI$4)=0,COUNTIFS('Team Calendar'!$A$5:$A$12,$F13,'Team Calendar'!$C$5:$C$12,AI$4)=0),1,"")</x:f>
      </x:c>
    </x:row>
    <x:row r="14" ht="24" customHeight="1">
      <x:c r="A14" s="13" t="str">
        <x:f>WBS!A40</x:f>
        <x:v>DEC-P2-REG-01</x:v>
      </x:c>
      <x:c r="B14" s="13" t="str">
        <x:f>WBS!B40</x:f>
        <x:v>ROSA Image Registry Source Decision</x:v>
      </x:c>
      <x:c r="C14" s="13" t="str">
        <x:f>WBS!G40</x:f>
        <x:v>To Do</x:v>
      </x:c>
      <x:c r="D14" s="86" t="n">
        <x:f>IF(WBS!H40="","",WBS!H40)</x:f>
        <x:v>46307</x:v>
      </x:c>
      <x:c r="E14" s="86" t="n">
        <x:f>IF(WBS!I40="","",WBS!I40)</x:f>
        <x:v>46311</x:v>
      </x:c>
      <x:c r="F14" s="13" t="str">
        <x:f>WBS!L40</x:f>
        <x:v>이하영</x:v>
      </x:c>
      <x:c r="G14" s="100" t="str">
        <x:f>IF(AND(ISNUMBER($D14),ISNUMBER($E14),G$4&gt;=$D14,G$4&lt;=$E14,WEEKDAY(G$4,2)&lt;=5,COUNTIF('Sources &amp; Change Log'!$J$2:$J$5,G$4)=0,COUNTIFS('Team Calendar'!$A$5:$A$12,$F14,'Team Calendar'!$C$5:$C$12,G$4)=0),1,"")</x:f>
      </x:c>
      <x:c r="H14" s="100" t="str">
        <x:f>IF(AND(ISNUMBER($D14),ISNUMBER($E14),H$4&gt;=$D14,H$4&lt;=$E14,WEEKDAY(H$4,2)&lt;=5,COUNTIF('Sources &amp; Change Log'!$J$2:$J$5,H$4)=0,COUNTIFS('Team Calendar'!$A$5:$A$12,$F14,'Team Calendar'!$C$5:$C$12,H$4)=0),1,"")</x:f>
      </x:c>
      <x:c r="I14" s="100" t="str">
        <x:f>IF(AND(ISNUMBER($D14),ISNUMBER($E14),I$4&gt;=$D14,I$4&lt;=$E14,WEEKDAY(I$4,2)&lt;=5,COUNTIF('Sources &amp; Change Log'!$J$2:$J$5,I$4)=0,COUNTIFS('Team Calendar'!$A$5:$A$12,$F14,'Team Calendar'!$C$5:$C$12,I$4)=0),1,"")</x:f>
      </x:c>
      <x:c r="J14" s="100" t="str">
        <x:f>IF(AND(ISNUMBER($D14),ISNUMBER($E14),J$4&gt;=$D14,J$4&lt;=$E14,WEEKDAY(J$4,2)&lt;=5,COUNTIF('Sources &amp; Change Log'!$J$2:$J$5,J$4)=0,COUNTIFS('Team Calendar'!$A$5:$A$12,$F14,'Team Calendar'!$C$5:$C$12,J$4)=0),1,"")</x:f>
      </x:c>
      <x:c r="K14" s="100" t="str">
        <x:f>IF(AND(ISNUMBER($D14),ISNUMBER($E14),K$4&gt;=$D14,K$4&lt;=$E14,WEEKDAY(K$4,2)&lt;=5,COUNTIF('Sources &amp; Change Log'!$J$2:$J$5,K$4)=0,COUNTIFS('Team Calendar'!$A$5:$A$12,$F14,'Team Calendar'!$C$5:$C$12,K$4)=0),1,"")</x:f>
      </x:c>
      <x:c r="L14" s="107" t="str">
        <x:f>IF(AND(ISNUMBER($D14),ISNUMBER($E14),L$4&gt;=$D14,L$4&lt;=$E14,WEEKDAY(L$4,2)&lt;=5,COUNTIF('Sources &amp; Change Log'!$J$2:$J$5,L$4)=0,COUNTIFS('Team Calendar'!$A$5:$A$12,$F14,'Team Calendar'!$C$5:$C$12,L$4)=0),1,"")</x:f>
      </x:c>
      <x:c r="M14" s="107" t="str">
        <x:f>IF(AND(ISNUMBER($D14),ISNUMBER($E14),M$4&gt;=$D14,M$4&lt;=$E14,WEEKDAY(M$4,2)&lt;=5,COUNTIF('Sources &amp; Change Log'!$J$2:$J$5,M$4)=0,COUNTIFS('Team Calendar'!$A$5:$A$12,$F14,'Team Calendar'!$C$5:$C$12,M$4)=0),1,"")</x:f>
      </x:c>
      <x:c r="N14" s="100" t="str">
        <x:f>IF(AND(ISNUMBER($D14),ISNUMBER($E14),N$4&gt;=$D14,N$4&lt;=$E14,WEEKDAY(N$4,2)&lt;=5,COUNTIF('Sources &amp; Change Log'!$J$2:$J$5,N$4)=0,COUNTIFS('Team Calendar'!$A$5:$A$12,$F14,'Team Calendar'!$C$5:$C$12,N$4)=0),1,"")</x:f>
      </x:c>
      <x:c r="O14" s="100" t="str">
        <x:f>IF(AND(ISNUMBER($D14),ISNUMBER($E14),O$4&gt;=$D14,O$4&lt;=$E14,WEEKDAY(O$4,2)&lt;=5,COUNTIF('Sources &amp; Change Log'!$J$2:$J$5,O$4)=0,COUNTIFS('Team Calendar'!$A$5:$A$12,$F14,'Team Calendar'!$C$5:$C$12,O$4)=0),1,"")</x:f>
      </x:c>
      <x:c r="P14" s="100" t="str">
        <x:f>IF(AND(ISNUMBER($D14),ISNUMBER($E14),P$4&gt;=$D14,P$4&lt;=$E14,WEEKDAY(P$4,2)&lt;=5,COUNTIF('Sources &amp; Change Log'!$J$2:$J$5,P$4)=0,COUNTIFS('Team Calendar'!$A$5:$A$12,$F14,'Team Calendar'!$C$5:$C$12,P$4)=0),1,"")</x:f>
      </x:c>
      <x:c r="Q14" s="100" t="str">
        <x:f>IF(AND(ISNUMBER($D14),ISNUMBER($E14),Q$4&gt;=$D14,Q$4&lt;=$E14,WEEKDAY(Q$4,2)&lt;=5,COUNTIF('Sources &amp; Change Log'!$J$2:$J$5,Q$4)=0,COUNTIFS('Team Calendar'!$A$5:$A$12,$F14,'Team Calendar'!$C$5:$C$12,Q$4)=0),1,"")</x:f>
      </x:c>
      <x:c r="R14" s="100" t="str">
        <x:f>IF(AND(ISNUMBER($D14),ISNUMBER($E14),R$4&gt;=$D14,R$4&lt;=$E14,WEEKDAY(R$4,2)&lt;=5,COUNTIF('Sources &amp; Change Log'!$J$2:$J$5,R$4)=0,COUNTIFS('Team Calendar'!$A$5:$A$12,$F14,'Team Calendar'!$C$5:$C$12,R$4)=0),1,"")</x:f>
      </x:c>
      <x:c r="S14" s="107" t="str">
        <x:f>IF(AND(ISNUMBER($D14),ISNUMBER($E14),S$4&gt;=$D14,S$4&lt;=$E14,WEEKDAY(S$4,2)&lt;=5,COUNTIF('Sources &amp; Change Log'!$J$2:$J$5,S$4)=0,COUNTIFS('Team Calendar'!$A$5:$A$12,$F14,'Team Calendar'!$C$5:$C$12,S$4)=0),1,"")</x:f>
      </x:c>
      <x:c r="T14" s="107" t="str">
        <x:f>IF(AND(ISNUMBER($D14),ISNUMBER($E14),T$4&gt;=$D14,T$4&lt;=$E14,WEEKDAY(T$4,2)&lt;=5,COUNTIF('Sources &amp; Change Log'!$J$2:$J$5,T$4)=0,COUNTIFS('Team Calendar'!$A$5:$A$12,$F14,'Team Calendar'!$C$5:$C$12,T$4)=0),1,"")</x:f>
      </x:c>
      <x:c r="U14" s="100" t="n">
        <x:f>IF(AND(ISNUMBER($D14),ISNUMBER($E14),U$4&gt;=$D14,U$4&lt;=$E14,WEEKDAY(U$4,2)&lt;=5,COUNTIF('Sources &amp; Change Log'!$J$2:$J$5,U$4)=0,COUNTIFS('Team Calendar'!$A$5:$A$12,$F14,'Team Calendar'!$C$5:$C$12,U$4)=0),1,"")</x:f>
        <x:v>1</x:v>
      </x:c>
      <x:c r="V14" s="100" t="n">
        <x:f>IF(AND(ISNUMBER($D14),ISNUMBER($E14),V$4&gt;=$D14,V$4&lt;=$E14,WEEKDAY(V$4,2)&lt;=5,COUNTIF('Sources &amp; Change Log'!$J$2:$J$5,V$4)=0,COUNTIFS('Team Calendar'!$A$5:$A$12,$F14,'Team Calendar'!$C$5:$C$12,V$4)=0),1,"")</x:f>
        <x:v>1</x:v>
      </x:c>
      <x:c r="W14" s="100" t="n">
        <x:f>IF(AND(ISNUMBER($D14),ISNUMBER($E14),W$4&gt;=$D14,W$4&lt;=$E14,WEEKDAY(W$4,2)&lt;=5,COUNTIF('Sources &amp; Change Log'!$J$2:$J$5,W$4)=0,COUNTIFS('Team Calendar'!$A$5:$A$12,$F14,'Team Calendar'!$C$5:$C$12,W$4)=0),1,"")</x:f>
        <x:v>1</x:v>
      </x:c>
      <x:c r="X14" s="100" t="n">
        <x:f>IF(AND(ISNUMBER($D14),ISNUMBER($E14),X$4&gt;=$D14,X$4&lt;=$E14,WEEKDAY(X$4,2)&lt;=5,COUNTIF('Sources &amp; Change Log'!$J$2:$J$5,X$4)=0,COUNTIFS('Team Calendar'!$A$5:$A$12,$F14,'Team Calendar'!$C$5:$C$12,X$4)=0),1,"")</x:f>
        <x:v>1</x:v>
      </x:c>
      <x:c r="Y14" s="100" t="n">
        <x:f>IF(AND(ISNUMBER($D14),ISNUMBER($E14),Y$4&gt;=$D14,Y$4&lt;=$E14,WEEKDAY(Y$4,2)&lt;=5,COUNTIF('Sources &amp; Change Log'!$J$2:$J$5,Y$4)=0,COUNTIFS('Team Calendar'!$A$5:$A$12,$F14,'Team Calendar'!$C$5:$C$12,Y$4)=0),1,"")</x:f>
        <x:v>1</x:v>
      </x:c>
      <x:c r="Z14" s="107" t="str">
        <x:f>IF(AND(ISNUMBER($D14),ISNUMBER($E14),Z$4&gt;=$D14,Z$4&lt;=$E14,WEEKDAY(Z$4,2)&lt;=5,COUNTIF('Sources &amp; Change Log'!$J$2:$J$5,Z$4)=0,COUNTIFS('Team Calendar'!$A$5:$A$12,$F14,'Team Calendar'!$C$5:$C$12,Z$4)=0),1,"")</x:f>
      </x:c>
      <x:c r="AA14" s="107" t="str">
        <x:f>IF(AND(ISNUMBER($D14),ISNUMBER($E14),AA$4&gt;=$D14,AA$4&lt;=$E14,WEEKDAY(AA$4,2)&lt;=5,COUNTIF('Sources &amp; Change Log'!$J$2:$J$5,AA$4)=0,COUNTIFS('Team Calendar'!$A$5:$A$12,$F14,'Team Calendar'!$C$5:$C$12,AA$4)=0),1,"")</x:f>
      </x:c>
      <x:c r="AB14" s="100" t="str">
        <x:f>IF(AND(ISNUMBER($D14),ISNUMBER($E14),AB$4&gt;=$D14,AB$4&lt;=$E14,WEEKDAY(AB$4,2)&lt;=5,COUNTIF('Sources &amp; Change Log'!$J$2:$J$5,AB$4)=0,COUNTIFS('Team Calendar'!$A$5:$A$12,$F14,'Team Calendar'!$C$5:$C$12,AB$4)=0),1,"")</x:f>
      </x:c>
      <x:c r="AC14" s="100" t="str">
        <x:f>IF(AND(ISNUMBER($D14),ISNUMBER($E14),AC$4&gt;=$D14,AC$4&lt;=$E14,WEEKDAY(AC$4,2)&lt;=5,COUNTIF('Sources &amp; Change Log'!$J$2:$J$5,AC$4)=0,COUNTIFS('Team Calendar'!$A$5:$A$12,$F14,'Team Calendar'!$C$5:$C$12,AC$4)=0),1,"")</x:f>
      </x:c>
      <x:c r="AD14" s="100" t="str">
        <x:f>IF(AND(ISNUMBER($D14),ISNUMBER($E14),AD$4&gt;=$D14,AD$4&lt;=$E14,WEEKDAY(AD$4,2)&lt;=5,COUNTIF('Sources &amp; Change Log'!$J$2:$J$5,AD$4)=0,COUNTIFS('Team Calendar'!$A$5:$A$12,$F14,'Team Calendar'!$C$5:$C$12,AD$4)=0),1,"")</x:f>
      </x:c>
      <x:c r="AE14" s="100" t="str">
        <x:f>IF(AND(ISNUMBER($D14),ISNUMBER($E14),AE$4&gt;=$D14,AE$4&lt;=$E14,WEEKDAY(AE$4,2)&lt;=5,COUNTIF('Sources &amp; Change Log'!$J$2:$J$5,AE$4)=0,COUNTIFS('Team Calendar'!$A$5:$A$12,$F14,'Team Calendar'!$C$5:$C$12,AE$4)=0),1,"")</x:f>
      </x:c>
      <x:c r="AF14" s="100" t="str">
        <x:f>IF(AND(ISNUMBER($D14),ISNUMBER($E14),AF$4&gt;=$D14,AF$4&lt;=$E14,WEEKDAY(AF$4,2)&lt;=5,COUNTIF('Sources &amp; Change Log'!$J$2:$J$5,AF$4)=0,COUNTIFS('Team Calendar'!$A$5:$A$12,$F14,'Team Calendar'!$C$5:$C$12,AF$4)=0),1,"")</x:f>
      </x:c>
      <x:c r="AG14" s="107" t="str">
        <x:f>IF(AND(ISNUMBER($D14),ISNUMBER($E14),AG$4&gt;=$D14,AG$4&lt;=$E14,WEEKDAY(AG$4,2)&lt;=5,COUNTIF('Sources &amp; Change Log'!$J$2:$J$5,AG$4)=0,COUNTIFS('Team Calendar'!$A$5:$A$12,$F14,'Team Calendar'!$C$5:$C$12,AG$4)=0),1,"")</x:f>
      </x:c>
      <x:c r="AH14" s="107" t="str">
        <x:f>IF(AND(ISNUMBER($D14),ISNUMBER($E14),AH$4&gt;=$D14,AH$4&lt;=$E14,WEEKDAY(AH$4,2)&lt;=5,COUNTIF('Sources &amp; Change Log'!$J$2:$J$5,AH$4)=0,COUNTIFS('Team Calendar'!$A$5:$A$12,$F14,'Team Calendar'!$C$5:$C$12,AH$4)=0),1,"")</x:f>
      </x:c>
      <x:c r="AI14" s="100" t="str">
        <x:f>IF(AND(ISNUMBER($D14),ISNUMBER($E14),AI$4&gt;=$D14,AI$4&lt;=$E14,WEEKDAY(AI$4,2)&lt;=5,COUNTIF('Sources &amp; Change Log'!$J$2:$J$5,AI$4)=0,COUNTIFS('Team Calendar'!$A$5:$A$12,$F14,'Team Calendar'!$C$5:$C$12,AI$4)=0),1,"")</x:f>
      </x:c>
    </x:row>
    <x:row r="15" ht="24" customHeight="1">
      <x:c r="A15" s="13" t="str">
        <x:f>WBS!A41</x:f>
        <x:v>P2-APP-01</x:v>
      </x:c>
      <x:c r="B15" s="13" t="str">
        <x:f>WBS!B41</x:f>
        <x:v>ROSA Application Deployment</x:v>
      </x:c>
      <x:c r="C15" s="13" t="str">
        <x:f>WBS!G41</x:f>
        <x:v>To Do</x:v>
      </x:c>
      <x:c r="D15" s="86" t="n">
        <x:f>IF(WBS!H41="","",WBS!H41)</x:f>
        <x:v>46307</x:v>
      </x:c>
      <x:c r="E15" s="86" t="n">
        <x:f>IF(WBS!I41="","",WBS!I41)</x:f>
        <x:v>46311</x:v>
      </x:c>
      <x:c r="F15" s="13" t="str">
        <x:f>WBS!L41</x:f>
        <x:v>이재환</x:v>
      </x:c>
      <x:c r="G15" s="100" t="str">
        <x:f>IF(AND(ISNUMBER($D15),ISNUMBER($E15),G$4&gt;=$D15,G$4&lt;=$E15,WEEKDAY(G$4,2)&lt;=5,COUNTIF('Sources &amp; Change Log'!$J$2:$J$5,G$4)=0,COUNTIFS('Team Calendar'!$A$5:$A$12,$F15,'Team Calendar'!$C$5:$C$12,G$4)=0),1,"")</x:f>
      </x:c>
      <x:c r="H15" s="100" t="str">
        <x:f>IF(AND(ISNUMBER($D15),ISNUMBER($E15),H$4&gt;=$D15,H$4&lt;=$E15,WEEKDAY(H$4,2)&lt;=5,COUNTIF('Sources &amp; Change Log'!$J$2:$J$5,H$4)=0,COUNTIFS('Team Calendar'!$A$5:$A$12,$F15,'Team Calendar'!$C$5:$C$12,H$4)=0),1,"")</x:f>
      </x:c>
      <x:c r="I15" s="100" t="str">
        <x:f>IF(AND(ISNUMBER($D15),ISNUMBER($E15),I$4&gt;=$D15,I$4&lt;=$E15,WEEKDAY(I$4,2)&lt;=5,COUNTIF('Sources &amp; Change Log'!$J$2:$J$5,I$4)=0,COUNTIFS('Team Calendar'!$A$5:$A$12,$F15,'Team Calendar'!$C$5:$C$12,I$4)=0),1,"")</x:f>
      </x:c>
      <x:c r="J15" s="100" t="str">
        <x:f>IF(AND(ISNUMBER($D15),ISNUMBER($E15),J$4&gt;=$D15,J$4&lt;=$E15,WEEKDAY(J$4,2)&lt;=5,COUNTIF('Sources &amp; Change Log'!$J$2:$J$5,J$4)=0,COUNTIFS('Team Calendar'!$A$5:$A$12,$F15,'Team Calendar'!$C$5:$C$12,J$4)=0),1,"")</x:f>
      </x:c>
      <x:c r="K15" s="100" t="str">
        <x:f>IF(AND(ISNUMBER($D15),ISNUMBER($E15),K$4&gt;=$D15,K$4&lt;=$E15,WEEKDAY(K$4,2)&lt;=5,COUNTIF('Sources &amp; Change Log'!$J$2:$J$5,K$4)=0,COUNTIFS('Team Calendar'!$A$5:$A$12,$F15,'Team Calendar'!$C$5:$C$12,K$4)=0),1,"")</x:f>
      </x:c>
      <x:c r="L15" s="107" t="str">
        <x:f>IF(AND(ISNUMBER($D15),ISNUMBER($E15),L$4&gt;=$D15,L$4&lt;=$E15,WEEKDAY(L$4,2)&lt;=5,COUNTIF('Sources &amp; Change Log'!$J$2:$J$5,L$4)=0,COUNTIFS('Team Calendar'!$A$5:$A$12,$F15,'Team Calendar'!$C$5:$C$12,L$4)=0),1,"")</x:f>
      </x:c>
      <x:c r="M15" s="107" t="str">
        <x:f>IF(AND(ISNUMBER($D15),ISNUMBER($E15),M$4&gt;=$D15,M$4&lt;=$E15,WEEKDAY(M$4,2)&lt;=5,COUNTIF('Sources &amp; Change Log'!$J$2:$J$5,M$4)=0,COUNTIFS('Team Calendar'!$A$5:$A$12,$F15,'Team Calendar'!$C$5:$C$12,M$4)=0),1,"")</x:f>
      </x:c>
      <x:c r="N15" s="100" t="str">
        <x:f>IF(AND(ISNUMBER($D15),ISNUMBER($E15),N$4&gt;=$D15,N$4&lt;=$E15,WEEKDAY(N$4,2)&lt;=5,COUNTIF('Sources &amp; Change Log'!$J$2:$J$5,N$4)=0,COUNTIFS('Team Calendar'!$A$5:$A$12,$F15,'Team Calendar'!$C$5:$C$12,N$4)=0),1,"")</x:f>
      </x:c>
      <x:c r="O15" s="100" t="str">
        <x:f>IF(AND(ISNUMBER($D15),ISNUMBER($E15),O$4&gt;=$D15,O$4&lt;=$E15,WEEKDAY(O$4,2)&lt;=5,COUNTIF('Sources &amp; Change Log'!$J$2:$J$5,O$4)=0,COUNTIFS('Team Calendar'!$A$5:$A$12,$F15,'Team Calendar'!$C$5:$C$12,O$4)=0),1,"")</x:f>
      </x:c>
      <x:c r="P15" s="100" t="str">
        <x:f>IF(AND(ISNUMBER($D15),ISNUMBER($E15),P$4&gt;=$D15,P$4&lt;=$E15,WEEKDAY(P$4,2)&lt;=5,COUNTIF('Sources &amp; Change Log'!$J$2:$J$5,P$4)=0,COUNTIFS('Team Calendar'!$A$5:$A$12,$F15,'Team Calendar'!$C$5:$C$12,P$4)=0),1,"")</x:f>
      </x:c>
      <x:c r="Q15" s="100" t="str">
        <x:f>IF(AND(ISNUMBER($D15),ISNUMBER($E15),Q$4&gt;=$D15,Q$4&lt;=$E15,WEEKDAY(Q$4,2)&lt;=5,COUNTIF('Sources &amp; Change Log'!$J$2:$J$5,Q$4)=0,COUNTIFS('Team Calendar'!$A$5:$A$12,$F15,'Team Calendar'!$C$5:$C$12,Q$4)=0),1,"")</x:f>
      </x:c>
      <x:c r="R15" s="100" t="str">
        <x:f>IF(AND(ISNUMBER($D15),ISNUMBER($E15),R$4&gt;=$D15,R$4&lt;=$E15,WEEKDAY(R$4,2)&lt;=5,COUNTIF('Sources &amp; Change Log'!$J$2:$J$5,R$4)=0,COUNTIFS('Team Calendar'!$A$5:$A$12,$F15,'Team Calendar'!$C$5:$C$12,R$4)=0),1,"")</x:f>
      </x:c>
      <x:c r="S15" s="107" t="str">
        <x:f>IF(AND(ISNUMBER($D15),ISNUMBER($E15),S$4&gt;=$D15,S$4&lt;=$E15,WEEKDAY(S$4,2)&lt;=5,COUNTIF('Sources &amp; Change Log'!$J$2:$J$5,S$4)=0,COUNTIFS('Team Calendar'!$A$5:$A$12,$F15,'Team Calendar'!$C$5:$C$12,S$4)=0),1,"")</x:f>
      </x:c>
      <x:c r="T15" s="107" t="str">
        <x:f>IF(AND(ISNUMBER($D15),ISNUMBER($E15),T$4&gt;=$D15,T$4&lt;=$E15,WEEKDAY(T$4,2)&lt;=5,COUNTIF('Sources &amp; Change Log'!$J$2:$J$5,T$4)=0,COUNTIFS('Team Calendar'!$A$5:$A$12,$F15,'Team Calendar'!$C$5:$C$12,T$4)=0),1,"")</x:f>
      </x:c>
      <x:c r="U15" s="100" t="n">
        <x:f>IF(AND(ISNUMBER($D15),ISNUMBER($E15),U$4&gt;=$D15,U$4&lt;=$E15,WEEKDAY(U$4,2)&lt;=5,COUNTIF('Sources &amp; Change Log'!$J$2:$J$5,U$4)=0,COUNTIFS('Team Calendar'!$A$5:$A$12,$F15,'Team Calendar'!$C$5:$C$12,U$4)=0),1,"")</x:f>
        <x:v>1</x:v>
      </x:c>
      <x:c r="V15" s="100" t="n">
        <x:f>IF(AND(ISNUMBER($D15),ISNUMBER($E15),V$4&gt;=$D15,V$4&lt;=$E15,WEEKDAY(V$4,2)&lt;=5,COUNTIF('Sources &amp; Change Log'!$J$2:$J$5,V$4)=0,COUNTIFS('Team Calendar'!$A$5:$A$12,$F15,'Team Calendar'!$C$5:$C$12,V$4)=0),1,"")</x:f>
        <x:v>1</x:v>
      </x:c>
      <x:c r="W15" s="100" t="n">
        <x:f>IF(AND(ISNUMBER($D15),ISNUMBER($E15),W$4&gt;=$D15,W$4&lt;=$E15,WEEKDAY(W$4,2)&lt;=5,COUNTIF('Sources &amp; Change Log'!$J$2:$J$5,W$4)=0,COUNTIFS('Team Calendar'!$A$5:$A$12,$F15,'Team Calendar'!$C$5:$C$12,W$4)=0),1,"")</x:f>
        <x:v>1</x:v>
      </x:c>
      <x:c r="X15" s="100" t="n">
        <x:f>IF(AND(ISNUMBER($D15),ISNUMBER($E15),X$4&gt;=$D15,X$4&lt;=$E15,WEEKDAY(X$4,2)&lt;=5,COUNTIF('Sources &amp; Change Log'!$J$2:$J$5,X$4)=0,COUNTIFS('Team Calendar'!$A$5:$A$12,$F15,'Team Calendar'!$C$5:$C$12,X$4)=0),1,"")</x:f>
        <x:v>1</x:v>
      </x:c>
      <x:c r="Y15" s="100" t="n">
        <x:f>IF(AND(ISNUMBER($D15),ISNUMBER($E15),Y$4&gt;=$D15,Y$4&lt;=$E15,WEEKDAY(Y$4,2)&lt;=5,COUNTIF('Sources &amp; Change Log'!$J$2:$J$5,Y$4)=0,COUNTIFS('Team Calendar'!$A$5:$A$12,$F15,'Team Calendar'!$C$5:$C$12,Y$4)=0),1,"")</x:f>
        <x:v>1</x:v>
      </x:c>
      <x:c r="Z15" s="107" t="str">
        <x:f>IF(AND(ISNUMBER($D15),ISNUMBER($E15),Z$4&gt;=$D15,Z$4&lt;=$E15,WEEKDAY(Z$4,2)&lt;=5,COUNTIF('Sources &amp; Change Log'!$J$2:$J$5,Z$4)=0,COUNTIFS('Team Calendar'!$A$5:$A$12,$F15,'Team Calendar'!$C$5:$C$12,Z$4)=0),1,"")</x:f>
      </x:c>
      <x:c r="AA15" s="107" t="str">
        <x:f>IF(AND(ISNUMBER($D15),ISNUMBER($E15),AA$4&gt;=$D15,AA$4&lt;=$E15,WEEKDAY(AA$4,2)&lt;=5,COUNTIF('Sources &amp; Change Log'!$J$2:$J$5,AA$4)=0,COUNTIFS('Team Calendar'!$A$5:$A$12,$F15,'Team Calendar'!$C$5:$C$12,AA$4)=0),1,"")</x:f>
      </x:c>
      <x:c r="AB15" s="100" t="str">
        <x:f>IF(AND(ISNUMBER($D15),ISNUMBER($E15),AB$4&gt;=$D15,AB$4&lt;=$E15,WEEKDAY(AB$4,2)&lt;=5,COUNTIF('Sources &amp; Change Log'!$J$2:$J$5,AB$4)=0,COUNTIFS('Team Calendar'!$A$5:$A$12,$F15,'Team Calendar'!$C$5:$C$12,AB$4)=0),1,"")</x:f>
      </x:c>
      <x:c r="AC15" s="100" t="str">
        <x:f>IF(AND(ISNUMBER($D15),ISNUMBER($E15),AC$4&gt;=$D15,AC$4&lt;=$E15,WEEKDAY(AC$4,2)&lt;=5,COUNTIF('Sources &amp; Change Log'!$J$2:$J$5,AC$4)=0,COUNTIFS('Team Calendar'!$A$5:$A$12,$F15,'Team Calendar'!$C$5:$C$12,AC$4)=0),1,"")</x:f>
      </x:c>
      <x:c r="AD15" s="100" t="str">
        <x:f>IF(AND(ISNUMBER($D15),ISNUMBER($E15),AD$4&gt;=$D15,AD$4&lt;=$E15,WEEKDAY(AD$4,2)&lt;=5,COUNTIF('Sources &amp; Change Log'!$J$2:$J$5,AD$4)=0,COUNTIFS('Team Calendar'!$A$5:$A$12,$F15,'Team Calendar'!$C$5:$C$12,AD$4)=0),1,"")</x:f>
      </x:c>
      <x:c r="AE15" s="100" t="str">
        <x:f>IF(AND(ISNUMBER($D15),ISNUMBER($E15),AE$4&gt;=$D15,AE$4&lt;=$E15,WEEKDAY(AE$4,2)&lt;=5,COUNTIF('Sources &amp; Change Log'!$J$2:$J$5,AE$4)=0,COUNTIFS('Team Calendar'!$A$5:$A$12,$F15,'Team Calendar'!$C$5:$C$12,AE$4)=0),1,"")</x:f>
      </x:c>
      <x:c r="AF15" s="100" t="str">
        <x:f>IF(AND(ISNUMBER($D15),ISNUMBER($E15),AF$4&gt;=$D15,AF$4&lt;=$E15,WEEKDAY(AF$4,2)&lt;=5,COUNTIF('Sources &amp; Change Log'!$J$2:$J$5,AF$4)=0,COUNTIFS('Team Calendar'!$A$5:$A$12,$F15,'Team Calendar'!$C$5:$C$12,AF$4)=0),1,"")</x:f>
      </x:c>
      <x:c r="AG15" s="107" t="str">
        <x:f>IF(AND(ISNUMBER($D15),ISNUMBER($E15),AG$4&gt;=$D15,AG$4&lt;=$E15,WEEKDAY(AG$4,2)&lt;=5,COUNTIF('Sources &amp; Change Log'!$J$2:$J$5,AG$4)=0,COUNTIFS('Team Calendar'!$A$5:$A$12,$F15,'Team Calendar'!$C$5:$C$12,AG$4)=0),1,"")</x:f>
      </x:c>
      <x:c r="AH15" s="107" t="str">
        <x:f>IF(AND(ISNUMBER($D15),ISNUMBER($E15),AH$4&gt;=$D15,AH$4&lt;=$E15,WEEKDAY(AH$4,2)&lt;=5,COUNTIF('Sources &amp; Change Log'!$J$2:$J$5,AH$4)=0,COUNTIFS('Team Calendar'!$A$5:$A$12,$F15,'Team Calendar'!$C$5:$C$12,AH$4)=0),1,"")</x:f>
      </x:c>
      <x:c r="AI15" s="100" t="str">
        <x:f>IF(AND(ISNUMBER($D15),ISNUMBER($E15),AI$4&gt;=$D15,AI$4&lt;=$E15,WEEKDAY(AI$4,2)&lt;=5,COUNTIF('Sources &amp; Change Log'!$J$2:$J$5,AI$4)=0,COUNTIFS('Team Calendar'!$A$5:$A$12,$F15,'Team Calendar'!$C$5:$C$12,AI$4)=0),1,"")</x:f>
      </x:c>
    </x:row>
    <x:row r="16" ht="24" customHeight="1">
      <x:c r="A16" s="13" t="str">
        <x:f>WBS!A42</x:f>
        <x:v>P2-OADP-01</x:v>
      </x:c>
      <x:c r="B16" s="13" t="str">
        <x:f>WBS!B42</x:f>
        <x:v>OADP / S3 Backup</x:v>
      </x:c>
      <x:c r="C16" s="13" t="str">
        <x:f>WBS!G42</x:f>
        <x:v>To Do</x:v>
      </x:c>
      <x:c r="D16" s="86" t="n">
        <x:f>IF(WBS!H42="","",WBS!H42)</x:f>
        <x:v>46310</x:v>
      </x:c>
      <x:c r="E16" s="86" t="n">
        <x:f>IF(WBS!I42="","",WBS!I42)</x:f>
        <x:v>46317</x:v>
      </x:c>
      <x:c r="F16" s="13" t="str">
        <x:f>WBS!L42</x:f>
        <x:v>이하영</x:v>
      </x:c>
      <x:c r="G16" s="100" t="str">
        <x:f>IF(AND(ISNUMBER($D16),ISNUMBER($E16),G$4&gt;=$D16,G$4&lt;=$E16,WEEKDAY(G$4,2)&lt;=5,COUNTIF('Sources &amp; Change Log'!$J$2:$J$5,G$4)=0,COUNTIFS('Team Calendar'!$A$5:$A$12,$F16,'Team Calendar'!$C$5:$C$12,G$4)=0),1,"")</x:f>
      </x:c>
      <x:c r="H16" s="100" t="str">
        <x:f>IF(AND(ISNUMBER($D16),ISNUMBER($E16),H$4&gt;=$D16,H$4&lt;=$E16,WEEKDAY(H$4,2)&lt;=5,COUNTIF('Sources &amp; Change Log'!$J$2:$J$5,H$4)=0,COUNTIFS('Team Calendar'!$A$5:$A$12,$F16,'Team Calendar'!$C$5:$C$12,H$4)=0),1,"")</x:f>
      </x:c>
      <x:c r="I16" s="100" t="str">
        <x:f>IF(AND(ISNUMBER($D16),ISNUMBER($E16),I$4&gt;=$D16,I$4&lt;=$E16,WEEKDAY(I$4,2)&lt;=5,COUNTIF('Sources &amp; Change Log'!$J$2:$J$5,I$4)=0,COUNTIFS('Team Calendar'!$A$5:$A$12,$F16,'Team Calendar'!$C$5:$C$12,I$4)=0),1,"")</x:f>
      </x:c>
      <x:c r="J16" s="100" t="str">
        <x:f>IF(AND(ISNUMBER($D16),ISNUMBER($E16),J$4&gt;=$D16,J$4&lt;=$E16,WEEKDAY(J$4,2)&lt;=5,COUNTIF('Sources &amp; Change Log'!$J$2:$J$5,J$4)=0,COUNTIFS('Team Calendar'!$A$5:$A$12,$F16,'Team Calendar'!$C$5:$C$12,J$4)=0),1,"")</x:f>
      </x:c>
      <x:c r="K16" s="100" t="str">
        <x:f>IF(AND(ISNUMBER($D16),ISNUMBER($E16),K$4&gt;=$D16,K$4&lt;=$E16,WEEKDAY(K$4,2)&lt;=5,COUNTIF('Sources &amp; Change Log'!$J$2:$J$5,K$4)=0,COUNTIFS('Team Calendar'!$A$5:$A$12,$F16,'Team Calendar'!$C$5:$C$12,K$4)=0),1,"")</x:f>
      </x:c>
      <x:c r="L16" s="107" t="str">
        <x:f>IF(AND(ISNUMBER($D16),ISNUMBER($E16),L$4&gt;=$D16,L$4&lt;=$E16,WEEKDAY(L$4,2)&lt;=5,COUNTIF('Sources &amp; Change Log'!$J$2:$J$5,L$4)=0,COUNTIFS('Team Calendar'!$A$5:$A$12,$F16,'Team Calendar'!$C$5:$C$12,L$4)=0),1,"")</x:f>
      </x:c>
      <x:c r="M16" s="107" t="str">
        <x:f>IF(AND(ISNUMBER($D16),ISNUMBER($E16),M$4&gt;=$D16,M$4&lt;=$E16,WEEKDAY(M$4,2)&lt;=5,COUNTIF('Sources &amp; Change Log'!$J$2:$J$5,M$4)=0,COUNTIFS('Team Calendar'!$A$5:$A$12,$F16,'Team Calendar'!$C$5:$C$12,M$4)=0),1,"")</x:f>
      </x:c>
      <x:c r="N16" s="100" t="str">
        <x:f>IF(AND(ISNUMBER($D16),ISNUMBER($E16),N$4&gt;=$D16,N$4&lt;=$E16,WEEKDAY(N$4,2)&lt;=5,COUNTIF('Sources &amp; Change Log'!$J$2:$J$5,N$4)=0,COUNTIFS('Team Calendar'!$A$5:$A$12,$F16,'Team Calendar'!$C$5:$C$12,N$4)=0),1,"")</x:f>
      </x:c>
      <x:c r="O16" s="100" t="str">
        <x:f>IF(AND(ISNUMBER($D16),ISNUMBER($E16),O$4&gt;=$D16,O$4&lt;=$E16,WEEKDAY(O$4,2)&lt;=5,COUNTIF('Sources &amp; Change Log'!$J$2:$J$5,O$4)=0,COUNTIFS('Team Calendar'!$A$5:$A$12,$F16,'Team Calendar'!$C$5:$C$12,O$4)=0),1,"")</x:f>
      </x:c>
      <x:c r="P16" s="100" t="str">
        <x:f>IF(AND(ISNUMBER($D16),ISNUMBER($E16),P$4&gt;=$D16,P$4&lt;=$E16,WEEKDAY(P$4,2)&lt;=5,COUNTIF('Sources &amp; Change Log'!$J$2:$J$5,P$4)=0,COUNTIFS('Team Calendar'!$A$5:$A$12,$F16,'Team Calendar'!$C$5:$C$12,P$4)=0),1,"")</x:f>
      </x:c>
      <x:c r="Q16" s="100" t="str">
        <x:f>IF(AND(ISNUMBER($D16),ISNUMBER($E16),Q$4&gt;=$D16,Q$4&lt;=$E16,WEEKDAY(Q$4,2)&lt;=5,COUNTIF('Sources &amp; Change Log'!$J$2:$J$5,Q$4)=0,COUNTIFS('Team Calendar'!$A$5:$A$12,$F16,'Team Calendar'!$C$5:$C$12,Q$4)=0),1,"")</x:f>
      </x:c>
      <x:c r="R16" s="100" t="str">
        <x:f>IF(AND(ISNUMBER($D16),ISNUMBER($E16),R$4&gt;=$D16,R$4&lt;=$E16,WEEKDAY(R$4,2)&lt;=5,COUNTIF('Sources &amp; Change Log'!$J$2:$J$5,R$4)=0,COUNTIFS('Team Calendar'!$A$5:$A$12,$F16,'Team Calendar'!$C$5:$C$12,R$4)=0),1,"")</x:f>
      </x:c>
      <x:c r="S16" s="107" t="str">
        <x:f>IF(AND(ISNUMBER($D16),ISNUMBER($E16),S$4&gt;=$D16,S$4&lt;=$E16,WEEKDAY(S$4,2)&lt;=5,COUNTIF('Sources &amp; Change Log'!$J$2:$J$5,S$4)=0,COUNTIFS('Team Calendar'!$A$5:$A$12,$F16,'Team Calendar'!$C$5:$C$12,S$4)=0),1,"")</x:f>
      </x:c>
      <x:c r="T16" s="107" t="str">
        <x:f>IF(AND(ISNUMBER($D16),ISNUMBER($E16),T$4&gt;=$D16,T$4&lt;=$E16,WEEKDAY(T$4,2)&lt;=5,COUNTIF('Sources &amp; Change Log'!$J$2:$J$5,T$4)=0,COUNTIFS('Team Calendar'!$A$5:$A$12,$F16,'Team Calendar'!$C$5:$C$12,T$4)=0),1,"")</x:f>
      </x:c>
      <x:c r="U16" s="100" t="str">
        <x:f>IF(AND(ISNUMBER($D16),ISNUMBER($E16),U$4&gt;=$D16,U$4&lt;=$E16,WEEKDAY(U$4,2)&lt;=5,COUNTIF('Sources &amp; Change Log'!$J$2:$J$5,U$4)=0,COUNTIFS('Team Calendar'!$A$5:$A$12,$F16,'Team Calendar'!$C$5:$C$12,U$4)=0),1,"")</x:f>
      </x:c>
      <x:c r="V16" s="100" t="str">
        <x:f>IF(AND(ISNUMBER($D16),ISNUMBER($E16),V$4&gt;=$D16,V$4&lt;=$E16,WEEKDAY(V$4,2)&lt;=5,COUNTIF('Sources &amp; Change Log'!$J$2:$J$5,V$4)=0,COUNTIFS('Team Calendar'!$A$5:$A$12,$F16,'Team Calendar'!$C$5:$C$12,V$4)=0),1,"")</x:f>
      </x:c>
      <x:c r="W16" s="100" t="str">
        <x:f>IF(AND(ISNUMBER($D16),ISNUMBER($E16),W$4&gt;=$D16,W$4&lt;=$E16,WEEKDAY(W$4,2)&lt;=5,COUNTIF('Sources &amp; Change Log'!$J$2:$J$5,W$4)=0,COUNTIFS('Team Calendar'!$A$5:$A$12,$F16,'Team Calendar'!$C$5:$C$12,W$4)=0),1,"")</x:f>
      </x:c>
      <x:c r="X16" s="100" t="n">
        <x:f>IF(AND(ISNUMBER($D16),ISNUMBER($E16),X$4&gt;=$D16,X$4&lt;=$E16,WEEKDAY(X$4,2)&lt;=5,COUNTIF('Sources &amp; Change Log'!$J$2:$J$5,X$4)=0,COUNTIFS('Team Calendar'!$A$5:$A$12,$F16,'Team Calendar'!$C$5:$C$12,X$4)=0),1,"")</x:f>
        <x:v>1</x:v>
      </x:c>
      <x:c r="Y16" s="100" t="n">
        <x:f>IF(AND(ISNUMBER($D16),ISNUMBER($E16),Y$4&gt;=$D16,Y$4&lt;=$E16,WEEKDAY(Y$4,2)&lt;=5,COUNTIF('Sources &amp; Change Log'!$J$2:$J$5,Y$4)=0,COUNTIFS('Team Calendar'!$A$5:$A$12,$F16,'Team Calendar'!$C$5:$C$12,Y$4)=0),1,"")</x:f>
        <x:v>1</x:v>
      </x:c>
      <x:c r="Z16" s="107" t="str">
        <x:f>IF(AND(ISNUMBER($D16),ISNUMBER($E16),Z$4&gt;=$D16,Z$4&lt;=$E16,WEEKDAY(Z$4,2)&lt;=5,COUNTIF('Sources &amp; Change Log'!$J$2:$J$5,Z$4)=0,COUNTIFS('Team Calendar'!$A$5:$A$12,$F16,'Team Calendar'!$C$5:$C$12,Z$4)=0),1,"")</x:f>
      </x:c>
      <x:c r="AA16" s="107" t="str">
        <x:f>IF(AND(ISNUMBER($D16),ISNUMBER($E16),AA$4&gt;=$D16,AA$4&lt;=$E16,WEEKDAY(AA$4,2)&lt;=5,COUNTIF('Sources &amp; Change Log'!$J$2:$J$5,AA$4)=0,COUNTIFS('Team Calendar'!$A$5:$A$12,$F16,'Team Calendar'!$C$5:$C$12,AA$4)=0),1,"")</x:f>
      </x:c>
      <x:c r="AB16" s="100" t="n">
        <x:f>IF(AND(ISNUMBER($D16),ISNUMBER($E16),AB$4&gt;=$D16,AB$4&lt;=$E16,WEEKDAY(AB$4,2)&lt;=5,COUNTIF('Sources &amp; Change Log'!$J$2:$J$5,AB$4)=0,COUNTIFS('Team Calendar'!$A$5:$A$12,$F16,'Team Calendar'!$C$5:$C$12,AB$4)=0),1,"")</x:f>
        <x:v>1</x:v>
      </x:c>
      <x:c r="AC16" s="100" t="n">
        <x:f>IF(AND(ISNUMBER($D16),ISNUMBER($E16),AC$4&gt;=$D16,AC$4&lt;=$E16,WEEKDAY(AC$4,2)&lt;=5,COUNTIF('Sources &amp; Change Log'!$J$2:$J$5,AC$4)=0,COUNTIFS('Team Calendar'!$A$5:$A$12,$F16,'Team Calendar'!$C$5:$C$12,AC$4)=0),1,"")</x:f>
        <x:v>1</x:v>
      </x:c>
      <x:c r="AD16" s="100" t="n">
        <x:f>IF(AND(ISNUMBER($D16),ISNUMBER($E16),AD$4&gt;=$D16,AD$4&lt;=$E16,WEEKDAY(AD$4,2)&lt;=5,COUNTIF('Sources &amp; Change Log'!$J$2:$J$5,AD$4)=0,COUNTIFS('Team Calendar'!$A$5:$A$12,$F16,'Team Calendar'!$C$5:$C$12,AD$4)=0),1,"")</x:f>
        <x:v>1</x:v>
      </x:c>
      <x:c r="AE16" s="100" t="n">
        <x:f>IF(AND(ISNUMBER($D16),ISNUMBER($E16),AE$4&gt;=$D16,AE$4&lt;=$E16,WEEKDAY(AE$4,2)&lt;=5,COUNTIF('Sources &amp; Change Log'!$J$2:$J$5,AE$4)=0,COUNTIFS('Team Calendar'!$A$5:$A$12,$F16,'Team Calendar'!$C$5:$C$12,AE$4)=0),1,"")</x:f>
        <x:v>1</x:v>
      </x:c>
      <x:c r="AF16" s="100" t="str">
        <x:f>IF(AND(ISNUMBER($D16),ISNUMBER($E16),AF$4&gt;=$D16,AF$4&lt;=$E16,WEEKDAY(AF$4,2)&lt;=5,COUNTIF('Sources &amp; Change Log'!$J$2:$J$5,AF$4)=0,COUNTIFS('Team Calendar'!$A$5:$A$12,$F16,'Team Calendar'!$C$5:$C$12,AF$4)=0),1,"")</x:f>
      </x:c>
      <x:c r="AG16" s="107" t="str">
        <x:f>IF(AND(ISNUMBER($D16),ISNUMBER($E16),AG$4&gt;=$D16,AG$4&lt;=$E16,WEEKDAY(AG$4,2)&lt;=5,COUNTIF('Sources &amp; Change Log'!$J$2:$J$5,AG$4)=0,COUNTIFS('Team Calendar'!$A$5:$A$12,$F16,'Team Calendar'!$C$5:$C$12,AG$4)=0),1,"")</x:f>
      </x:c>
      <x:c r="AH16" s="107" t="str">
        <x:f>IF(AND(ISNUMBER($D16),ISNUMBER($E16),AH$4&gt;=$D16,AH$4&lt;=$E16,WEEKDAY(AH$4,2)&lt;=5,COUNTIF('Sources &amp; Change Log'!$J$2:$J$5,AH$4)=0,COUNTIFS('Team Calendar'!$A$5:$A$12,$F16,'Team Calendar'!$C$5:$C$12,AH$4)=0),1,"")</x:f>
      </x:c>
      <x:c r="AI16" s="100" t="str">
        <x:f>IF(AND(ISNUMBER($D16),ISNUMBER($E16),AI$4&gt;=$D16,AI$4&lt;=$E16,WEEKDAY(AI$4,2)&lt;=5,COUNTIF('Sources &amp; Change Log'!$J$2:$J$5,AI$4)=0,COUNTIFS('Team Calendar'!$A$5:$A$12,$F16,'Team Calendar'!$C$5:$C$12,AI$4)=0),1,"")</x:f>
      </x:c>
    </x:row>
    <x:row r="17" ht="24" customHeight="1">
      <x:c r="A17" s="13" t="str">
        <x:f>WBS!A43</x:f>
        <x:v>MS-G5-01</x:v>
      </x:c>
      <x:c r="B17" s="13" t="str">
        <x:f>WBS!B43</x:f>
        <x:v>G5 ROSA Application Ready</x:v>
      </x:c>
      <x:c r="C17" s="13" t="str">
        <x:f>WBS!G43</x:f>
        <x:v>To Do</x:v>
      </x:c>
      <x:c r="D17" s="86" t="n">
        <x:f>IF(WBS!H43="","",WBS!H43)</x:f>
        <x:v>46311</x:v>
      </x:c>
      <x:c r="E17" s="86" t="n">
        <x:f>IF(WBS!I43="","",WBS!I43)</x:f>
        <x:v>46311</x:v>
      </x:c>
      <x:c r="F17" s="13" t="str">
        <x:f>WBS!L43</x:f>
        <x:v>이하영</x:v>
      </x:c>
      <x:c r="G17" s="100" t="str">
        <x:f>IF(AND(ISNUMBER($D17),ISNUMBER($E17),G$4&gt;=$D17,G$4&lt;=$E17,WEEKDAY(G$4,2)&lt;=5,COUNTIF('Sources &amp; Change Log'!$J$2:$J$5,G$4)=0,COUNTIFS('Team Calendar'!$A$5:$A$12,$F17,'Team Calendar'!$C$5:$C$12,G$4)=0),1,"")</x:f>
      </x:c>
      <x:c r="H17" s="100" t="str">
        <x:f>IF(AND(ISNUMBER($D17),ISNUMBER($E17),H$4&gt;=$D17,H$4&lt;=$E17,WEEKDAY(H$4,2)&lt;=5,COUNTIF('Sources &amp; Change Log'!$J$2:$J$5,H$4)=0,COUNTIFS('Team Calendar'!$A$5:$A$12,$F17,'Team Calendar'!$C$5:$C$12,H$4)=0),1,"")</x:f>
      </x:c>
      <x:c r="I17" s="100" t="str">
        <x:f>IF(AND(ISNUMBER($D17),ISNUMBER($E17),I$4&gt;=$D17,I$4&lt;=$E17,WEEKDAY(I$4,2)&lt;=5,COUNTIF('Sources &amp; Change Log'!$J$2:$J$5,I$4)=0,COUNTIFS('Team Calendar'!$A$5:$A$12,$F17,'Team Calendar'!$C$5:$C$12,I$4)=0),1,"")</x:f>
      </x:c>
      <x:c r="J17" s="100" t="str">
        <x:f>IF(AND(ISNUMBER($D17),ISNUMBER($E17),J$4&gt;=$D17,J$4&lt;=$E17,WEEKDAY(J$4,2)&lt;=5,COUNTIF('Sources &amp; Change Log'!$J$2:$J$5,J$4)=0,COUNTIFS('Team Calendar'!$A$5:$A$12,$F17,'Team Calendar'!$C$5:$C$12,J$4)=0),1,"")</x:f>
      </x:c>
      <x:c r="K17" s="100" t="str">
        <x:f>IF(AND(ISNUMBER($D17),ISNUMBER($E17),K$4&gt;=$D17,K$4&lt;=$E17,WEEKDAY(K$4,2)&lt;=5,COUNTIF('Sources &amp; Change Log'!$J$2:$J$5,K$4)=0,COUNTIFS('Team Calendar'!$A$5:$A$12,$F17,'Team Calendar'!$C$5:$C$12,K$4)=0),1,"")</x:f>
      </x:c>
      <x:c r="L17" s="107" t="str">
        <x:f>IF(AND(ISNUMBER($D17),ISNUMBER($E17),L$4&gt;=$D17,L$4&lt;=$E17,WEEKDAY(L$4,2)&lt;=5,COUNTIF('Sources &amp; Change Log'!$J$2:$J$5,L$4)=0,COUNTIFS('Team Calendar'!$A$5:$A$12,$F17,'Team Calendar'!$C$5:$C$12,L$4)=0),1,"")</x:f>
      </x:c>
      <x:c r="M17" s="107" t="str">
        <x:f>IF(AND(ISNUMBER($D17),ISNUMBER($E17),M$4&gt;=$D17,M$4&lt;=$E17,WEEKDAY(M$4,2)&lt;=5,COUNTIF('Sources &amp; Change Log'!$J$2:$J$5,M$4)=0,COUNTIFS('Team Calendar'!$A$5:$A$12,$F17,'Team Calendar'!$C$5:$C$12,M$4)=0),1,"")</x:f>
      </x:c>
      <x:c r="N17" s="100" t="str">
        <x:f>IF(AND(ISNUMBER($D17),ISNUMBER($E17),N$4&gt;=$D17,N$4&lt;=$E17,WEEKDAY(N$4,2)&lt;=5,COUNTIF('Sources &amp; Change Log'!$J$2:$J$5,N$4)=0,COUNTIFS('Team Calendar'!$A$5:$A$12,$F17,'Team Calendar'!$C$5:$C$12,N$4)=0),1,"")</x:f>
      </x:c>
      <x:c r="O17" s="100" t="str">
        <x:f>IF(AND(ISNUMBER($D17),ISNUMBER($E17),O$4&gt;=$D17,O$4&lt;=$E17,WEEKDAY(O$4,2)&lt;=5,COUNTIF('Sources &amp; Change Log'!$J$2:$J$5,O$4)=0,COUNTIFS('Team Calendar'!$A$5:$A$12,$F17,'Team Calendar'!$C$5:$C$12,O$4)=0),1,"")</x:f>
      </x:c>
      <x:c r="P17" s="100" t="str">
        <x:f>IF(AND(ISNUMBER($D17),ISNUMBER($E17),P$4&gt;=$D17,P$4&lt;=$E17,WEEKDAY(P$4,2)&lt;=5,COUNTIF('Sources &amp; Change Log'!$J$2:$J$5,P$4)=0,COUNTIFS('Team Calendar'!$A$5:$A$12,$F17,'Team Calendar'!$C$5:$C$12,P$4)=0),1,"")</x:f>
      </x:c>
      <x:c r="Q17" s="100" t="str">
        <x:f>IF(AND(ISNUMBER($D17),ISNUMBER($E17),Q$4&gt;=$D17,Q$4&lt;=$E17,WEEKDAY(Q$4,2)&lt;=5,COUNTIF('Sources &amp; Change Log'!$J$2:$J$5,Q$4)=0,COUNTIFS('Team Calendar'!$A$5:$A$12,$F17,'Team Calendar'!$C$5:$C$12,Q$4)=0),1,"")</x:f>
      </x:c>
      <x:c r="R17" s="100" t="str">
        <x:f>IF(AND(ISNUMBER($D17),ISNUMBER($E17),R$4&gt;=$D17,R$4&lt;=$E17,WEEKDAY(R$4,2)&lt;=5,COUNTIF('Sources &amp; Change Log'!$J$2:$J$5,R$4)=0,COUNTIFS('Team Calendar'!$A$5:$A$12,$F17,'Team Calendar'!$C$5:$C$12,R$4)=0),1,"")</x:f>
      </x:c>
      <x:c r="S17" s="107" t="str">
        <x:f>IF(AND(ISNUMBER($D17),ISNUMBER($E17),S$4&gt;=$D17,S$4&lt;=$E17,WEEKDAY(S$4,2)&lt;=5,COUNTIF('Sources &amp; Change Log'!$J$2:$J$5,S$4)=0,COUNTIFS('Team Calendar'!$A$5:$A$12,$F17,'Team Calendar'!$C$5:$C$12,S$4)=0),1,"")</x:f>
      </x:c>
      <x:c r="T17" s="107" t="str">
        <x:f>IF(AND(ISNUMBER($D17),ISNUMBER($E17),T$4&gt;=$D17,T$4&lt;=$E17,WEEKDAY(T$4,2)&lt;=5,COUNTIF('Sources &amp; Change Log'!$J$2:$J$5,T$4)=0,COUNTIFS('Team Calendar'!$A$5:$A$12,$F17,'Team Calendar'!$C$5:$C$12,T$4)=0),1,"")</x:f>
      </x:c>
      <x:c r="U17" s="100" t="str">
        <x:f>IF(AND(ISNUMBER($D17),ISNUMBER($E17),U$4&gt;=$D17,U$4&lt;=$E17,WEEKDAY(U$4,2)&lt;=5,COUNTIF('Sources &amp; Change Log'!$J$2:$J$5,U$4)=0,COUNTIFS('Team Calendar'!$A$5:$A$12,$F17,'Team Calendar'!$C$5:$C$12,U$4)=0),1,"")</x:f>
      </x:c>
      <x:c r="V17" s="100" t="str">
        <x:f>IF(AND(ISNUMBER($D17),ISNUMBER($E17),V$4&gt;=$D17,V$4&lt;=$E17,WEEKDAY(V$4,2)&lt;=5,COUNTIF('Sources &amp; Change Log'!$J$2:$J$5,V$4)=0,COUNTIFS('Team Calendar'!$A$5:$A$12,$F17,'Team Calendar'!$C$5:$C$12,V$4)=0),1,"")</x:f>
      </x:c>
      <x:c r="W17" s="100" t="str">
        <x:f>IF(AND(ISNUMBER($D17),ISNUMBER($E17),W$4&gt;=$D17,W$4&lt;=$E17,WEEKDAY(W$4,2)&lt;=5,COUNTIF('Sources &amp; Change Log'!$J$2:$J$5,W$4)=0,COUNTIFS('Team Calendar'!$A$5:$A$12,$F17,'Team Calendar'!$C$5:$C$12,W$4)=0),1,"")</x:f>
      </x:c>
      <x:c r="X17" s="100" t="str">
        <x:f>IF(AND(ISNUMBER($D17),ISNUMBER($E17),X$4&gt;=$D17,X$4&lt;=$E17,WEEKDAY(X$4,2)&lt;=5,COUNTIF('Sources &amp; Change Log'!$J$2:$J$5,X$4)=0,COUNTIFS('Team Calendar'!$A$5:$A$12,$F17,'Team Calendar'!$C$5:$C$12,X$4)=0),1,"")</x:f>
      </x:c>
      <x:c r="Y17" s="100" t="n">
        <x:f>IF(AND(ISNUMBER($D17),ISNUMBER($E17),Y$4&gt;=$D17,Y$4&lt;=$E17,WEEKDAY(Y$4,2)&lt;=5,COUNTIF('Sources &amp; Change Log'!$J$2:$J$5,Y$4)=0,COUNTIFS('Team Calendar'!$A$5:$A$12,$F17,'Team Calendar'!$C$5:$C$12,Y$4)=0),1,"")</x:f>
        <x:v>1</x:v>
      </x:c>
      <x:c r="Z17" s="107" t="str">
        <x:f>IF(AND(ISNUMBER($D17),ISNUMBER($E17),Z$4&gt;=$D17,Z$4&lt;=$E17,WEEKDAY(Z$4,2)&lt;=5,COUNTIF('Sources &amp; Change Log'!$J$2:$J$5,Z$4)=0,COUNTIFS('Team Calendar'!$A$5:$A$12,$F17,'Team Calendar'!$C$5:$C$12,Z$4)=0),1,"")</x:f>
      </x:c>
      <x:c r="AA17" s="107" t="str">
        <x:f>IF(AND(ISNUMBER($D17),ISNUMBER($E17),AA$4&gt;=$D17,AA$4&lt;=$E17,WEEKDAY(AA$4,2)&lt;=5,COUNTIF('Sources &amp; Change Log'!$J$2:$J$5,AA$4)=0,COUNTIFS('Team Calendar'!$A$5:$A$12,$F17,'Team Calendar'!$C$5:$C$12,AA$4)=0),1,"")</x:f>
      </x:c>
      <x:c r="AB17" s="100" t="str">
        <x:f>IF(AND(ISNUMBER($D17),ISNUMBER($E17),AB$4&gt;=$D17,AB$4&lt;=$E17,WEEKDAY(AB$4,2)&lt;=5,COUNTIF('Sources &amp; Change Log'!$J$2:$J$5,AB$4)=0,COUNTIFS('Team Calendar'!$A$5:$A$12,$F17,'Team Calendar'!$C$5:$C$12,AB$4)=0),1,"")</x:f>
      </x:c>
      <x:c r="AC17" s="100" t="str">
        <x:f>IF(AND(ISNUMBER($D17),ISNUMBER($E17),AC$4&gt;=$D17,AC$4&lt;=$E17,WEEKDAY(AC$4,2)&lt;=5,COUNTIF('Sources &amp; Change Log'!$J$2:$J$5,AC$4)=0,COUNTIFS('Team Calendar'!$A$5:$A$12,$F17,'Team Calendar'!$C$5:$C$12,AC$4)=0),1,"")</x:f>
      </x:c>
      <x:c r="AD17" s="100" t="str">
        <x:f>IF(AND(ISNUMBER($D17),ISNUMBER($E17),AD$4&gt;=$D17,AD$4&lt;=$E17,WEEKDAY(AD$4,2)&lt;=5,COUNTIF('Sources &amp; Change Log'!$J$2:$J$5,AD$4)=0,COUNTIFS('Team Calendar'!$A$5:$A$12,$F17,'Team Calendar'!$C$5:$C$12,AD$4)=0),1,"")</x:f>
      </x:c>
      <x:c r="AE17" s="100" t="str">
        <x:f>IF(AND(ISNUMBER($D17),ISNUMBER($E17),AE$4&gt;=$D17,AE$4&lt;=$E17,WEEKDAY(AE$4,2)&lt;=5,COUNTIF('Sources &amp; Change Log'!$J$2:$J$5,AE$4)=0,COUNTIFS('Team Calendar'!$A$5:$A$12,$F17,'Team Calendar'!$C$5:$C$12,AE$4)=0),1,"")</x:f>
      </x:c>
      <x:c r="AF17" s="100" t="str">
        <x:f>IF(AND(ISNUMBER($D17),ISNUMBER($E17),AF$4&gt;=$D17,AF$4&lt;=$E17,WEEKDAY(AF$4,2)&lt;=5,COUNTIF('Sources &amp; Change Log'!$J$2:$J$5,AF$4)=0,COUNTIFS('Team Calendar'!$A$5:$A$12,$F17,'Team Calendar'!$C$5:$C$12,AF$4)=0),1,"")</x:f>
      </x:c>
      <x:c r="AG17" s="107" t="str">
        <x:f>IF(AND(ISNUMBER($D17),ISNUMBER($E17),AG$4&gt;=$D17,AG$4&lt;=$E17,WEEKDAY(AG$4,2)&lt;=5,COUNTIF('Sources &amp; Change Log'!$J$2:$J$5,AG$4)=0,COUNTIFS('Team Calendar'!$A$5:$A$12,$F17,'Team Calendar'!$C$5:$C$12,AG$4)=0),1,"")</x:f>
      </x:c>
      <x:c r="AH17" s="107" t="str">
        <x:f>IF(AND(ISNUMBER($D17),ISNUMBER($E17),AH$4&gt;=$D17,AH$4&lt;=$E17,WEEKDAY(AH$4,2)&lt;=5,COUNTIF('Sources &amp; Change Log'!$J$2:$J$5,AH$4)=0,COUNTIFS('Team Calendar'!$A$5:$A$12,$F17,'Team Calendar'!$C$5:$C$12,AH$4)=0),1,"")</x:f>
      </x:c>
      <x:c r="AI17" s="100" t="str">
        <x:f>IF(AND(ISNUMBER($D17),ISNUMBER($E17),AI$4&gt;=$D17,AI$4&lt;=$E17,WEEKDAY(AI$4,2)&lt;=5,COUNTIF('Sources &amp; Change Log'!$J$2:$J$5,AI$4)=0,COUNTIFS('Team Calendar'!$A$5:$A$12,$F17,'Team Calendar'!$C$5:$C$12,AI$4)=0),1,"")</x:f>
      </x:c>
    </x:row>
    <x:row r="18" ht="24" customHeight="1">
      <x:c r="A18" s="13" t="str">
        <x:f>WBS!A44</x:f>
        <x:v>P2-CICD-01</x:v>
      </x:c>
      <x:c r="B18" s="13" t="str">
        <x:f>WBS!B44</x:f>
        <x:v>Runner to ROSA Delivery</x:v>
      </x:c>
      <x:c r="C18" s="13" t="str">
        <x:f>WBS!G44</x:f>
        <x:v>To Do</x:v>
      </x:c>
      <x:c r="D18" s="86" t="n">
        <x:f>IF(WBS!H44="","",WBS!H44)</x:f>
        <x:v>46311</x:v>
      </x:c>
      <x:c r="E18" s="86" t="n">
        <x:f>IF(WBS!I44="","",WBS!I44)</x:f>
        <x:v>46311</x:v>
      </x:c>
      <x:c r="F18" s="13" t="str">
        <x:f>WBS!L44</x:f>
        <x:v>이권욱</x:v>
      </x:c>
      <x:c r="G18" s="100" t="str">
        <x:f>IF(AND(ISNUMBER($D18),ISNUMBER($E18),G$4&gt;=$D18,G$4&lt;=$E18,WEEKDAY(G$4,2)&lt;=5,COUNTIF('Sources &amp; Change Log'!$J$2:$J$5,G$4)=0,COUNTIFS('Team Calendar'!$A$5:$A$12,$F18,'Team Calendar'!$C$5:$C$12,G$4)=0),1,"")</x:f>
      </x:c>
      <x:c r="H18" s="100" t="str">
        <x:f>IF(AND(ISNUMBER($D18),ISNUMBER($E18),H$4&gt;=$D18,H$4&lt;=$E18,WEEKDAY(H$4,2)&lt;=5,COUNTIF('Sources &amp; Change Log'!$J$2:$J$5,H$4)=0,COUNTIFS('Team Calendar'!$A$5:$A$12,$F18,'Team Calendar'!$C$5:$C$12,H$4)=0),1,"")</x:f>
      </x:c>
      <x:c r="I18" s="100" t="str">
        <x:f>IF(AND(ISNUMBER($D18),ISNUMBER($E18),I$4&gt;=$D18,I$4&lt;=$E18,WEEKDAY(I$4,2)&lt;=5,COUNTIF('Sources &amp; Change Log'!$J$2:$J$5,I$4)=0,COUNTIFS('Team Calendar'!$A$5:$A$12,$F18,'Team Calendar'!$C$5:$C$12,I$4)=0),1,"")</x:f>
      </x:c>
      <x:c r="J18" s="100" t="str">
        <x:f>IF(AND(ISNUMBER($D18),ISNUMBER($E18),J$4&gt;=$D18,J$4&lt;=$E18,WEEKDAY(J$4,2)&lt;=5,COUNTIF('Sources &amp; Change Log'!$J$2:$J$5,J$4)=0,COUNTIFS('Team Calendar'!$A$5:$A$12,$F18,'Team Calendar'!$C$5:$C$12,J$4)=0),1,"")</x:f>
      </x:c>
      <x:c r="K18" s="100" t="str">
        <x:f>IF(AND(ISNUMBER($D18),ISNUMBER($E18),K$4&gt;=$D18,K$4&lt;=$E18,WEEKDAY(K$4,2)&lt;=5,COUNTIF('Sources &amp; Change Log'!$J$2:$J$5,K$4)=0,COUNTIFS('Team Calendar'!$A$5:$A$12,$F18,'Team Calendar'!$C$5:$C$12,K$4)=0),1,"")</x:f>
      </x:c>
      <x:c r="L18" s="107" t="str">
        <x:f>IF(AND(ISNUMBER($D18),ISNUMBER($E18),L$4&gt;=$D18,L$4&lt;=$E18,WEEKDAY(L$4,2)&lt;=5,COUNTIF('Sources &amp; Change Log'!$J$2:$J$5,L$4)=0,COUNTIFS('Team Calendar'!$A$5:$A$12,$F18,'Team Calendar'!$C$5:$C$12,L$4)=0),1,"")</x:f>
      </x:c>
      <x:c r="M18" s="107" t="str">
        <x:f>IF(AND(ISNUMBER($D18),ISNUMBER($E18),M$4&gt;=$D18,M$4&lt;=$E18,WEEKDAY(M$4,2)&lt;=5,COUNTIF('Sources &amp; Change Log'!$J$2:$J$5,M$4)=0,COUNTIFS('Team Calendar'!$A$5:$A$12,$F18,'Team Calendar'!$C$5:$C$12,M$4)=0),1,"")</x:f>
      </x:c>
      <x:c r="N18" s="100" t="str">
        <x:f>IF(AND(ISNUMBER($D18),ISNUMBER($E18),N$4&gt;=$D18,N$4&lt;=$E18,WEEKDAY(N$4,2)&lt;=5,COUNTIF('Sources &amp; Change Log'!$J$2:$J$5,N$4)=0,COUNTIFS('Team Calendar'!$A$5:$A$12,$F18,'Team Calendar'!$C$5:$C$12,N$4)=0),1,"")</x:f>
      </x:c>
      <x:c r="O18" s="100" t="str">
        <x:f>IF(AND(ISNUMBER($D18),ISNUMBER($E18),O$4&gt;=$D18,O$4&lt;=$E18,WEEKDAY(O$4,2)&lt;=5,COUNTIF('Sources &amp; Change Log'!$J$2:$J$5,O$4)=0,COUNTIFS('Team Calendar'!$A$5:$A$12,$F18,'Team Calendar'!$C$5:$C$12,O$4)=0),1,"")</x:f>
      </x:c>
      <x:c r="P18" s="100" t="str">
        <x:f>IF(AND(ISNUMBER($D18),ISNUMBER($E18),P$4&gt;=$D18,P$4&lt;=$E18,WEEKDAY(P$4,2)&lt;=5,COUNTIF('Sources &amp; Change Log'!$J$2:$J$5,P$4)=0,COUNTIFS('Team Calendar'!$A$5:$A$12,$F18,'Team Calendar'!$C$5:$C$12,P$4)=0),1,"")</x:f>
      </x:c>
      <x:c r="Q18" s="100" t="str">
        <x:f>IF(AND(ISNUMBER($D18),ISNUMBER($E18),Q$4&gt;=$D18,Q$4&lt;=$E18,WEEKDAY(Q$4,2)&lt;=5,COUNTIF('Sources &amp; Change Log'!$J$2:$J$5,Q$4)=0,COUNTIFS('Team Calendar'!$A$5:$A$12,$F18,'Team Calendar'!$C$5:$C$12,Q$4)=0),1,"")</x:f>
      </x:c>
      <x:c r="R18" s="100" t="str">
        <x:f>IF(AND(ISNUMBER($D18),ISNUMBER($E18),R$4&gt;=$D18,R$4&lt;=$E18,WEEKDAY(R$4,2)&lt;=5,COUNTIF('Sources &amp; Change Log'!$J$2:$J$5,R$4)=0,COUNTIFS('Team Calendar'!$A$5:$A$12,$F18,'Team Calendar'!$C$5:$C$12,R$4)=0),1,"")</x:f>
      </x:c>
      <x:c r="S18" s="107" t="str">
        <x:f>IF(AND(ISNUMBER($D18),ISNUMBER($E18),S$4&gt;=$D18,S$4&lt;=$E18,WEEKDAY(S$4,2)&lt;=5,COUNTIF('Sources &amp; Change Log'!$J$2:$J$5,S$4)=0,COUNTIFS('Team Calendar'!$A$5:$A$12,$F18,'Team Calendar'!$C$5:$C$12,S$4)=0),1,"")</x:f>
      </x:c>
      <x:c r="T18" s="107" t="str">
        <x:f>IF(AND(ISNUMBER($D18),ISNUMBER($E18),T$4&gt;=$D18,T$4&lt;=$E18,WEEKDAY(T$4,2)&lt;=5,COUNTIF('Sources &amp; Change Log'!$J$2:$J$5,T$4)=0,COUNTIFS('Team Calendar'!$A$5:$A$12,$F18,'Team Calendar'!$C$5:$C$12,T$4)=0),1,"")</x:f>
      </x:c>
      <x:c r="U18" s="100" t="str">
        <x:f>IF(AND(ISNUMBER($D18),ISNUMBER($E18),U$4&gt;=$D18,U$4&lt;=$E18,WEEKDAY(U$4,2)&lt;=5,COUNTIF('Sources &amp; Change Log'!$J$2:$J$5,U$4)=0,COUNTIFS('Team Calendar'!$A$5:$A$12,$F18,'Team Calendar'!$C$5:$C$12,U$4)=0),1,"")</x:f>
      </x:c>
      <x:c r="V18" s="100" t="str">
        <x:f>IF(AND(ISNUMBER($D18),ISNUMBER($E18),V$4&gt;=$D18,V$4&lt;=$E18,WEEKDAY(V$4,2)&lt;=5,COUNTIF('Sources &amp; Change Log'!$J$2:$J$5,V$4)=0,COUNTIFS('Team Calendar'!$A$5:$A$12,$F18,'Team Calendar'!$C$5:$C$12,V$4)=0),1,"")</x:f>
      </x:c>
      <x:c r="W18" s="100" t="str">
        <x:f>IF(AND(ISNUMBER($D18),ISNUMBER($E18),W$4&gt;=$D18,W$4&lt;=$E18,WEEKDAY(W$4,2)&lt;=5,COUNTIF('Sources &amp; Change Log'!$J$2:$J$5,W$4)=0,COUNTIFS('Team Calendar'!$A$5:$A$12,$F18,'Team Calendar'!$C$5:$C$12,W$4)=0),1,"")</x:f>
      </x:c>
      <x:c r="X18" s="100" t="str">
        <x:f>IF(AND(ISNUMBER($D18),ISNUMBER($E18),X$4&gt;=$D18,X$4&lt;=$E18,WEEKDAY(X$4,2)&lt;=5,COUNTIF('Sources &amp; Change Log'!$J$2:$J$5,X$4)=0,COUNTIFS('Team Calendar'!$A$5:$A$12,$F18,'Team Calendar'!$C$5:$C$12,X$4)=0),1,"")</x:f>
      </x:c>
      <x:c r="Y18" s="100" t="n">
        <x:f>IF(AND(ISNUMBER($D18),ISNUMBER($E18),Y$4&gt;=$D18,Y$4&lt;=$E18,WEEKDAY(Y$4,2)&lt;=5,COUNTIF('Sources &amp; Change Log'!$J$2:$J$5,Y$4)=0,COUNTIFS('Team Calendar'!$A$5:$A$12,$F18,'Team Calendar'!$C$5:$C$12,Y$4)=0),1,"")</x:f>
        <x:v>1</x:v>
      </x:c>
      <x:c r="Z18" s="107" t="str">
        <x:f>IF(AND(ISNUMBER($D18),ISNUMBER($E18),Z$4&gt;=$D18,Z$4&lt;=$E18,WEEKDAY(Z$4,2)&lt;=5,COUNTIF('Sources &amp; Change Log'!$J$2:$J$5,Z$4)=0,COUNTIFS('Team Calendar'!$A$5:$A$12,$F18,'Team Calendar'!$C$5:$C$12,Z$4)=0),1,"")</x:f>
      </x:c>
      <x:c r="AA18" s="107" t="str">
        <x:f>IF(AND(ISNUMBER($D18),ISNUMBER($E18),AA$4&gt;=$D18,AA$4&lt;=$E18,WEEKDAY(AA$4,2)&lt;=5,COUNTIF('Sources &amp; Change Log'!$J$2:$J$5,AA$4)=0,COUNTIFS('Team Calendar'!$A$5:$A$12,$F18,'Team Calendar'!$C$5:$C$12,AA$4)=0),1,"")</x:f>
      </x:c>
      <x:c r="AB18" s="100" t="str">
        <x:f>IF(AND(ISNUMBER($D18),ISNUMBER($E18),AB$4&gt;=$D18,AB$4&lt;=$E18,WEEKDAY(AB$4,2)&lt;=5,COUNTIF('Sources &amp; Change Log'!$J$2:$J$5,AB$4)=0,COUNTIFS('Team Calendar'!$A$5:$A$12,$F18,'Team Calendar'!$C$5:$C$12,AB$4)=0),1,"")</x:f>
      </x:c>
      <x:c r="AC18" s="100" t="str">
        <x:f>IF(AND(ISNUMBER($D18),ISNUMBER($E18),AC$4&gt;=$D18,AC$4&lt;=$E18,WEEKDAY(AC$4,2)&lt;=5,COUNTIF('Sources &amp; Change Log'!$J$2:$J$5,AC$4)=0,COUNTIFS('Team Calendar'!$A$5:$A$12,$F18,'Team Calendar'!$C$5:$C$12,AC$4)=0),1,"")</x:f>
      </x:c>
      <x:c r="AD18" s="100" t="str">
        <x:f>IF(AND(ISNUMBER($D18),ISNUMBER($E18),AD$4&gt;=$D18,AD$4&lt;=$E18,WEEKDAY(AD$4,2)&lt;=5,COUNTIF('Sources &amp; Change Log'!$J$2:$J$5,AD$4)=0,COUNTIFS('Team Calendar'!$A$5:$A$12,$F18,'Team Calendar'!$C$5:$C$12,AD$4)=0),1,"")</x:f>
      </x:c>
      <x:c r="AE18" s="100" t="str">
        <x:f>IF(AND(ISNUMBER($D18),ISNUMBER($E18),AE$4&gt;=$D18,AE$4&lt;=$E18,WEEKDAY(AE$4,2)&lt;=5,COUNTIF('Sources &amp; Change Log'!$J$2:$J$5,AE$4)=0,COUNTIFS('Team Calendar'!$A$5:$A$12,$F18,'Team Calendar'!$C$5:$C$12,AE$4)=0),1,"")</x:f>
      </x:c>
      <x:c r="AF18" s="100" t="str">
        <x:f>IF(AND(ISNUMBER($D18),ISNUMBER($E18),AF$4&gt;=$D18,AF$4&lt;=$E18,WEEKDAY(AF$4,2)&lt;=5,COUNTIF('Sources &amp; Change Log'!$J$2:$J$5,AF$4)=0,COUNTIFS('Team Calendar'!$A$5:$A$12,$F18,'Team Calendar'!$C$5:$C$12,AF$4)=0),1,"")</x:f>
      </x:c>
      <x:c r="AG18" s="107" t="str">
        <x:f>IF(AND(ISNUMBER($D18),ISNUMBER($E18),AG$4&gt;=$D18,AG$4&lt;=$E18,WEEKDAY(AG$4,2)&lt;=5,COUNTIF('Sources &amp; Change Log'!$J$2:$J$5,AG$4)=0,COUNTIFS('Team Calendar'!$A$5:$A$12,$F18,'Team Calendar'!$C$5:$C$12,AG$4)=0),1,"")</x:f>
      </x:c>
      <x:c r="AH18" s="107" t="str">
        <x:f>IF(AND(ISNUMBER($D18),ISNUMBER($E18),AH$4&gt;=$D18,AH$4&lt;=$E18,WEEKDAY(AH$4,2)&lt;=5,COUNTIF('Sources &amp; Change Log'!$J$2:$J$5,AH$4)=0,COUNTIFS('Team Calendar'!$A$5:$A$12,$F18,'Team Calendar'!$C$5:$C$12,AH$4)=0),1,"")</x:f>
      </x:c>
      <x:c r="AI18" s="100" t="str">
        <x:f>IF(AND(ISNUMBER($D18),ISNUMBER($E18),AI$4&gt;=$D18,AI$4&lt;=$E18,WEEKDAY(AI$4,2)&lt;=5,COUNTIF('Sources &amp; Change Log'!$J$2:$J$5,AI$4)=0,COUNTIFS('Team Calendar'!$A$5:$A$12,$F18,'Team Calendar'!$C$5:$C$12,AI$4)=0),1,"")</x:f>
      </x:c>
    </x:row>
    <x:row r="19" ht="24" customHeight="1">
      <x:c r="A19" s="13" t="str">
        <x:f>WBS!A45</x:f>
        <x:v>P2-HYB-01</x:v>
      </x:c>
      <x:c r="B19" s="13" t="str">
        <x:f>WBS!B45</x:f>
        <x:v>Hybrid DB / Registry Integration</x:v>
      </x:c>
      <x:c r="C19" s="13" t="str">
        <x:f>WBS!G45</x:f>
        <x:v>To Do</x:v>
      </x:c>
      <x:c r="D19" s="86" t="n">
        <x:f>IF(WBS!H45="","",WBS!H45)</x:f>
        <x:v>46311</x:v>
      </x:c>
      <x:c r="E19" s="86" t="n">
        <x:f>IF(WBS!I45="","",WBS!I45)</x:f>
        <x:v>46317</x:v>
      </x:c>
      <x:c r="F19" s="13" t="str">
        <x:f>WBS!L45</x:f>
        <x:v>이재환</x:v>
      </x:c>
      <x:c r="G19" s="100" t="str">
        <x:f>IF(AND(ISNUMBER($D19),ISNUMBER($E19),G$4&gt;=$D19,G$4&lt;=$E19,WEEKDAY(G$4,2)&lt;=5,COUNTIF('Sources &amp; Change Log'!$J$2:$J$5,G$4)=0,COUNTIFS('Team Calendar'!$A$5:$A$12,$F19,'Team Calendar'!$C$5:$C$12,G$4)=0),1,"")</x:f>
      </x:c>
      <x:c r="H19" s="100" t="str">
        <x:f>IF(AND(ISNUMBER($D19),ISNUMBER($E19),H$4&gt;=$D19,H$4&lt;=$E19,WEEKDAY(H$4,2)&lt;=5,COUNTIF('Sources &amp; Change Log'!$J$2:$J$5,H$4)=0,COUNTIFS('Team Calendar'!$A$5:$A$12,$F19,'Team Calendar'!$C$5:$C$12,H$4)=0),1,"")</x:f>
      </x:c>
      <x:c r="I19" s="100" t="str">
        <x:f>IF(AND(ISNUMBER($D19),ISNUMBER($E19),I$4&gt;=$D19,I$4&lt;=$E19,WEEKDAY(I$4,2)&lt;=5,COUNTIF('Sources &amp; Change Log'!$J$2:$J$5,I$4)=0,COUNTIFS('Team Calendar'!$A$5:$A$12,$F19,'Team Calendar'!$C$5:$C$12,I$4)=0),1,"")</x:f>
      </x:c>
      <x:c r="J19" s="100" t="str">
        <x:f>IF(AND(ISNUMBER($D19),ISNUMBER($E19),J$4&gt;=$D19,J$4&lt;=$E19,WEEKDAY(J$4,2)&lt;=5,COUNTIF('Sources &amp; Change Log'!$J$2:$J$5,J$4)=0,COUNTIFS('Team Calendar'!$A$5:$A$12,$F19,'Team Calendar'!$C$5:$C$12,J$4)=0),1,"")</x:f>
      </x:c>
      <x:c r="K19" s="100" t="str">
        <x:f>IF(AND(ISNUMBER($D19),ISNUMBER($E19),K$4&gt;=$D19,K$4&lt;=$E19,WEEKDAY(K$4,2)&lt;=5,COUNTIF('Sources &amp; Change Log'!$J$2:$J$5,K$4)=0,COUNTIFS('Team Calendar'!$A$5:$A$12,$F19,'Team Calendar'!$C$5:$C$12,K$4)=0),1,"")</x:f>
      </x:c>
      <x:c r="L19" s="107" t="str">
        <x:f>IF(AND(ISNUMBER($D19),ISNUMBER($E19),L$4&gt;=$D19,L$4&lt;=$E19,WEEKDAY(L$4,2)&lt;=5,COUNTIF('Sources &amp; Change Log'!$J$2:$J$5,L$4)=0,COUNTIFS('Team Calendar'!$A$5:$A$12,$F19,'Team Calendar'!$C$5:$C$12,L$4)=0),1,"")</x:f>
      </x:c>
      <x:c r="M19" s="107" t="str">
        <x:f>IF(AND(ISNUMBER($D19),ISNUMBER($E19),M$4&gt;=$D19,M$4&lt;=$E19,WEEKDAY(M$4,2)&lt;=5,COUNTIF('Sources &amp; Change Log'!$J$2:$J$5,M$4)=0,COUNTIFS('Team Calendar'!$A$5:$A$12,$F19,'Team Calendar'!$C$5:$C$12,M$4)=0),1,"")</x:f>
      </x:c>
      <x:c r="N19" s="100" t="str">
        <x:f>IF(AND(ISNUMBER($D19),ISNUMBER($E19),N$4&gt;=$D19,N$4&lt;=$E19,WEEKDAY(N$4,2)&lt;=5,COUNTIF('Sources &amp; Change Log'!$J$2:$J$5,N$4)=0,COUNTIFS('Team Calendar'!$A$5:$A$12,$F19,'Team Calendar'!$C$5:$C$12,N$4)=0),1,"")</x:f>
      </x:c>
      <x:c r="O19" s="100" t="str">
        <x:f>IF(AND(ISNUMBER($D19),ISNUMBER($E19),O$4&gt;=$D19,O$4&lt;=$E19,WEEKDAY(O$4,2)&lt;=5,COUNTIF('Sources &amp; Change Log'!$J$2:$J$5,O$4)=0,COUNTIFS('Team Calendar'!$A$5:$A$12,$F19,'Team Calendar'!$C$5:$C$12,O$4)=0),1,"")</x:f>
      </x:c>
      <x:c r="P19" s="100" t="str">
        <x:f>IF(AND(ISNUMBER($D19),ISNUMBER($E19),P$4&gt;=$D19,P$4&lt;=$E19,WEEKDAY(P$4,2)&lt;=5,COUNTIF('Sources &amp; Change Log'!$J$2:$J$5,P$4)=0,COUNTIFS('Team Calendar'!$A$5:$A$12,$F19,'Team Calendar'!$C$5:$C$12,P$4)=0),1,"")</x:f>
      </x:c>
      <x:c r="Q19" s="100" t="str">
        <x:f>IF(AND(ISNUMBER($D19),ISNUMBER($E19),Q$4&gt;=$D19,Q$4&lt;=$E19,WEEKDAY(Q$4,2)&lt;=5,COUNTIF('Sources &amp; Change Log'!$J$2:$J$5,Q$4)=0,COUNTIFS('Team Calendar'!$A$5:$A$12,$F19,'Team Calendar'!$C$5:$C$12,Q$4)=0),1,"")</x:f>
      </x:c>
      <x:c r="R19" s="100" t="str">
        <x:f>IF(AND(ISNUMBER($D19),ISNUMBER($E19),R$4&gt;=$D19,R$4&lt;=$E19,WEEKDAY(R$4,2)&lt;=5,COUNTIF('Sources &amp; Change Log'!$J$2:$J$5,R$4)=0,COUNTIFS('Team Calendar'!$A$5:$A$12,$F19,'Team Calendar'!$C$5:$C$12,R$4)=0),1,"")</x:f>
      </x:c>
      <x:c r="S19" s="107" t="str">
        <x:f>IF(AND(ISNUMBER($D19),ISNUMBER($E19),S$4&gt;=$D19,S$4&lt;=$E19,WEEKDAY(S$4,2)&lt;=5,COUNTIF('Sources &amp; Change Log'!$J$2:$J$5,S$4)=0,COUNTIFS('Team Calendar'!$A$5:$A$12,$F19,'Team Calendar'!$C$5:$C$12,S$4)=0),1,"")</x:f>
      </x:c>
      <x:c r="T19" s="107" t="str">
        <x:f>IF(AND(ISNUMBER($D19),ISNUMBER($E19),T$4&gt;=$D19,T$4&lt;=$E19,WEEKDAY(T$4,2)&lt;=5,COUNTIF('Sources &amp; Change Log'!$J$2:$J$5,T$4)=0,COUNTIFS('Team Calendar'!$A$5:$A$12,$F19,'Team Calendar'!$C$5:$C$12,T$4)=0),1,"")</x:f>
      </x:c>
      <x:c r="U19" s="100" t="str">
        <x:f>IF(AND(ISNUMBER($D19),ISNUMBER($E19),U$4&gt;=$D19,U$4&lt;=$E19,WEEKDAY(U$4,2)&lt;=5,COUNTIF('Sources &amp; Change Log'!$J$2:$J$5,U$4)=0,COUNTIFS('Team Calendar'!$A$5:$A$12,$F19,'Team Calendar'!$C$5:$C$12,U$4)=0),1,"")</x:f>
      </x:c>
      <x:c r="V19" s="100" t="str">
        <x:f>IF(AND(ISNUMBER($D19),ISNUMBER($E19),V$4&gt;=$D19,V$4&lt;=$E19,WEEKDAY(V$4,2)&lt;=5,COUNTIF('Sources &amp; Change Log'!$J$2:$J$5,V$4)=0,COUNTIFS('Team Calendar'!$A$5:$A$12,$F19,'Team Calendar'!$C$5:$C$12,V$4)=0),1,"")</x:f>
      </x:c>
      <x:c r="W19" s="100" t="str">
        <x:f>IF(AND(ISNUMBER($D19),ISNUMBER($E19),W$4&gt;=$D19,W$4&lt;=$E19,WEEKDAY(W$4,2)&lt;=5,COUNTIF('Sources &amp; Change Log'!$J$2:$J$5,W$4)=0,COUNTIFS('Team Calendar'!$A$5:$A$12,$F19,'Team Calendar'!$C$5:$C$12,W$4)=0),1,"")</x:f>
      </x:c>
      <x:c r="X19" s="100" t="str">
        <x:f>IF(AND(ISNUMBER($D19),ISNUMBER($E19),X$4&gt;=$D19,X$4&lt;=$E19,WEEKDAY(X$4,2)&lt;=5,COUNTIF('Sources &amp; Change Log'!$J$2:$J$5,X$4)=0,COUNTIFS('Team Calendar'!$A$5:$A$12,$F19,'Team Calendar'!$C$5:$C$12,X$4)=0),1,"")</x:f>
      </x:c>
      <x:c r="Y19" s="100" t="n">
        <x:f>IF(AND(ISNUMBER($D19),ISNUMBER($E19),Y$4&gt;=$D19,Y$4&lt;=$E19,WEEKDAY(Y$4,2)&lt;=5,COUNTIF('Sources &amp; Change Log'!$J$2:$J$5,Y$4)=0,COUNTIFS('Team Calendar'!$A$5:$A$12,$F19,'Team Calendar'!$C$5:$C$12,Y$4)=0),1,"")</x:f>
        <x:v>1</x:v>
      </x:c>
      <x:c r="Z19" s="107" t="str">
        <x:f>IF(AND(ISNUMBER($D19),ISNUMBER($E19),Z$4&gt;=$D19,Z$4&lt;=$E19,WEEKDAY(Z$4,2)&lt;=5,COUNTIF('Sources &amp; Change Log'!$J$2:$J$5,Z$4)=0,COUNTIFS('Team Calendar'!$A$5:$A$12,$F19,'Team Calendar'!$C$5:$C$12,Z$4)=0),1,"")</x:f>
      </x:c>
      <x:c r="AA19" s="107" t="str">
        <x:f>IF(AND(ISNUMBER($D19),ISNUMBER($E19),AA$4&gt;=$D19,AA$4&lt;=$E19,WEEKDAY(AA$4,2)&lt;=5,COUNTIF('Sources &amp; Change Log'!$J$2:$J$5,AA$4)=0,COUNTIFS('Team Calendar'!$A$5:$A$12,$F19,'Team Calendar'!$C$5:$C$12,AA$4)=0),1,"")</x:f>
      </x:c>
      <x:c r="AB19" s="100" t="n">
        <x:f>IF(AND(ISNUMBER($D19),ISNUMBER($E19),AB$4&gt;=$D19,AB$4&lt;=$E19,WEEKDAY(AB$4,2)&lt;=5,COUNTIF('Sources &amp; Change Log'!$J$2:$J$5,AB$4)=0,COUNTIFS('Team Calendar'!$A$5:$A$12,$F19,'Team Calendar'!$C$5:$C$12,AB$4)=0),1,"")</x:f>
        <x:v>1</x:v>
      </x:c>
      <x:c r="AC19" s="100" t="n">
        <x:f>IF(AND(ISNUMBER($D19),ISNUMBER($E19),AC$4&gt;=$D19,AC$4&lt;=$E19,WEEKDAY(AC$4,2)&lt;=5,COUNTIF('Sources &amp; Change Log'!$J$2:$J$5,AC$4)=0,COUNTIFS('Team Calendar'!$A$5:$A$12,$F19,'Team Calendar'!$C$5:$C$12,AC$4)=0),1,"")</x:f>
        <x:v>1</x:v>
      </x:c>
      <x:c r="AD19" s="100" t="n">
        <x:f>IF(AND(ISNUMBER($D19),ISNUMBER($E19),AD$4&gt;=$D19,AD$4&lt;=$E19,WEEKDAY(AD$4,2)&lt;=5,COUNTIF('Sources &amp; Change Log'!$J$2:$J$5,AD$4)=0,COUNTIFS('Team Calendar'!$A$5:$A$12,$F19,'Team Calendar'!$C$5:$C$12,AD$4)=0),1,"")</x:f>
        <x:v>1</x:v>
      </x:c>
      <x:c r="AE19" s="100" t="n">
        <x:f>IF(AND(ISNUMBER($D19),ISNUMBER($E19),AE$4&gt;=$D19,AE$4&lt;=$E19,WEEKDAY(AE$4,2)&lt;=5,COUNTIF('Sources &amp; Change Log'!$J$2:$J$5,AE$4)=0,COUNTIFS('Team Calendar'!$A$5:$A$12,$F19,'Team Calendar'!$C$5:$C$12,AE$4)=0),1,"")</x:f>
        <x:v>1</x:v>
      </x:c>
      <x:c r="AF19" s="100" t="str">
        <x:f>IF(AND(ISNUMBER($D19),ISNUMBER($E19),AF$4&gt;=$D19,AF$4&lt;=$E19,WEEKDAY(AF$4,2)&lt;=5,COUNTIF('Sources &amp; Change Log'!$J$2:$J$5,AF$4)=0,COUNTIFS('Team Calendar'!$A$5:$A$12,$F19,'Team Calendar'!$C$5:$C$12,AF$4)=0),1,"")</x:f>
      </x:c>
      <x:c r="AG19" s="107" t="str">
        <x:f>IF(AND(ISNUMBER($D19),ISNUMBER($E19),AG$4&gt;=$D19,AG$4&lt;=$E19,WEEKDAY(AG$4,2)&lt;=5,COUNTIF('Sources &amp; Change Log'!$J$2:$J$5,AG$4)=0,COUNTIFS('Team Calendar'!$A$5:$A$12,$F19,'Team Calendar'!$C$5:$C$12,AG$4)=0),1,"")</x:f>
      </x:c>
      <x:c r="AH19" s="107" t="str">
        <x:f>IF(AND(ISNUMBER($D19),ISNUMBER($E19),AH$4&gt;=$D19,AH$4&lt;=$E19,WEEKDAY(AH$4,2)&lt;=5,COUNTIF('Sources &amp; Change Log'!$J$2:$J$5,AH$4)=0,COUNTIFS('Team Calendar'!$A$5:$A$12,$F19,'Team Calendar'!$C$5:$C$12,AH$4)=0),1,"")</x:f>
      </x:c>
      <x:c r="AI19" s="100" t="str">
        <x:f>IF(AND(ISNUMBER($D19),ISNUMBER($E19),AI$4&gt;=$D19,AI$4&lt;=$E19,WEEKDAY(AI$4,2)&lt;=5,COUNTIF('Sources &amp; Change Log'!$J$2:$J$5,AI$4)=0,COUNTIFS('Team Calendar'!$A$5:$A$12,$F19,'Team Calendar'!$C$5:$C$12,AI$4)=0),1,"")</x:f>
      </x:c>
    </x:row>
    <x:row r="20" ht="24" customHeight="1">
      <x:c r="A20" s="13" t="str">
        <x:f>WBS!A46</x:f>
        <x:v>P2-DNS-01</x:v>
      </x:c>
      <x:c r="B20" s="13" t="str">
        <x:f>WBS!B46</x:f>
        <x:v>Hybrid DNS Implementation Conditional</x:v>
      </x:c>
      <x:c r="C20" s="13" t="str">
        <x:f>WBS!G46</x:f>
        <x:v>To Do</x:v>
      </x:c>
      <x:c r="D20" s="86" t="n">
        <x:f>IF(WBS!H46="","",WBS!H46)</x:f>
        <x:v>46314</x:v>
      </x:c>
      <x:c r="E20" s="86" t="n">
        <x:f>IF(WBS!I46="","",WBS!I46)</x:f>
        <x:v>46315</x:v>
      </x:c>
      <x:c r="F20" s="13" t="str">
        <x:f>WBS!L46</x:f>
        <x:v>이권욱</x:v>
      </x:c>
      <x:c r="G20" s="100" t="str">
        <x:f>IF(AND(ISNUMBER($D20),ISNUMBER($E20),G$4&gt;=$D20,G$4&lt;=$E20,WEEKDAY(G$4,2)&lt;=5,COUNTIF('Sources &amp; Change Log'!$J$2:$J$5,G$4)=0,COUNTIFS('Team Calendar'!$A$5:$A$12,$F20,'Team Calendar'!$C$5:$C$12,G$4)=0),1,"")</x:f>
      </x:c>
      <x:c r="H20" s="100" t="str">
        <x:f>IF(AND(ISNUMBER($D20),ISNUMBER($E20),H$4&gt;=$D20,H$4&lt;=$E20,WEEKDAY(H$4,2)&lt;=5,COUNTIF('Sources &amp; Change Log'!$J$2:$J$5,H$4)=0,COUNTIFS('Team Calendar'!$A$5:$A$12,$F20,'Team Calendar'!$C$5:$C$12,H$4)=0),1,"")</x:f>
      </x:c>
      <x:c r="I20" s="100" t="str">
        <x:f>IF(AND(ISNUMBER($D20),ISNUMBER($E20),I$4&gt;=$D20,I$4&lt;=$E20,WEEKDAY(I$4,2)&lt;=5,COUNTIF('Sources &amp; Change Log'!$J$2:$J$5,I$4)=0,COUNTIFS('Team Calendar'!$A$5:$A$12,$F20,'Team Calendar'!$C$5:$C$12,I$4)=0),1,"")</x:f>
      </x:c>
      <x:c r="J20" s="100" t="str">
        <x:f>IF(AND(ISNUMBER($D20),ISNUMBER($E20),J$4&gt;=$D20,J$4&lt;=$E20,WEEKDAY(J$4,2)&lt;=5,COUNTIF('Sources &amp; Change Log'!$J$2:$J$5,J$4)=0,COUNTIFS('Team Calendar'!$A$5:$A$12,$F20,'Team Calendar'!$C$5:$C$12,J$4)=0),1,"")</x:f>
      </x:c>
      <x:c r="K20" s="100" t="str">
        <x:f>IF(AND(ISNUMBER($D20),ISNUMBER($E20),K$4&gt;=$D20,K$4&lt;=$E20,WEEKDAY(K$4,2)&lt;=5,COUNTIF('Sources &amp; Change Log'!$J$2:$J$5,K$4)=0,COUNTIFS('Team Calendar'!$A$5:$A$12,$F20,'Team Calendar'!$C$5:$C$12,K$4)=0),1,"")</x:f>
      </x:c>
      <x:c r="L20" s="107" t="str">
        <x:f>IF(AND(ISNUMBER($D20),ISNUMBER($E20),L$4&gt;=$D20,L$4&lt;=$E20,WEEKDAY(L$4,2)&lt;=5,COUNTIF('Sources &amp; Change Log'!$J$2:$J$5,L$4)=0,COUNTIFS('Team Calendar'!$A$5:$A$12,$F20,'Team Calendar'!$C$5:$C$12,L$4)=0),1,"")</x:f>
      </x:c>
      <x:c r="M20" s="107" t="str">
        <x:f>IF(AND(ISNUMBER($D20),ISNUMBER($E20),M$4&gt;=$D20,M$4&lt;=$E20,WEEKDAY(M$4,2)&lt;=5,COUNTIF('Sources &amp; Change Log'!$J$2:$J$5,M$4)=0,COUNTIFS('Team Calendar'!$A$5:$A$12,$F20,'Team Calendar'!$C$5:$C$12,M$4)=0),1,"")</x:f>
      </x:c>
      <x:c r="N20" s="100" t="str">
        <x:f>IF(AND(ISNUMBER($D20),ISNUMBER($E20),N$4&gt;=$D20,N$4&lt;=$E20,WEEKDAY(N$4,2)&lt;=5,COUNTIF('Sources &amp; Change Log'!$J$2:$J$5,N$4)=0,COUNTIFS('Team Calendar'!$A$5:$A$12,$F20,'Team Calendar'!$C$5:$C$12,N$4)=0),1,"")</x:f>
      </x:c>
      <x:c r="O20" s="100" t="str">
        <x:f>IF(AND(ISNUMBER($D20),ISNUMBER($E20),O$4&gt;=$D20,O$4&lt;=$E20,WEEKDAY(O$4,2)&lt;=5,COUNTIF('Sources &amp; Change Log'!$J$2:$J$5,O$4)=0,COUNTIFS('Team Calendar'!$A$5:$A$12,$F20,'Team Calendar'!$C$5:$C$12,O$4)=0),1,"")</x:f>
      </x:c>
      <x:c r="P20" s="100" t="str">
        <x:f>IF(AND(ISNUMBER($D20),ISNUMBER($E20),P$4&gt;=$D20,P$4&lt;=$E20,WEEKDAY(P$4,2)&lt;=5,COUNTIF('Sources &amp; Change Log'!$J$2:$J$5,P$4)=0,COUNTIFS('Team Calendar'!$A$5:$A$12,$F20,'Team Calendar'!$C$5:$C$12,P$4)=0),1,"")</x:f>
      </x:c>
      <x:c r="Q20" s="100" t="str">
        <x:f>IF(AND(ISNUMBER($D20),ISNUMBER($E20),Q$4&gt;=$D20,Q$4&lt;=$E20,WEEKDAY(Q$4,2)&lt;=5,COUNTIF('Sources &amp; Change Log'!$J$2:$J$5,Q$4)=0,COUNTIFS('Team Calendar'!$A$5:$A$12,$F20,'Team Calendar'!$C$5:$C$12,Q$4)=0),1,"")</x:f>
      </x:c>
      <x:c r="R20" s="100" t="str">
        <x:f>IF(AND(ISNUMBER($D20),ISNUMBER($E20),R$4&gt;=$D20,R$4&lt;=$E20,WEEKDAY(R$4,2)&lt;=5,COUNTIF('Sources &amp; Change Log'!$J$2:$J$5,R$4)=0,COUNTIFS('Team Calendar'!$A$5:$A$12,$F20,'Team Calendar'!$C$5:$C$12,R$4)=0),1,"")</x:f>
      </x:c>
      <x:c r="S20" s="107" t="str">
        <x:f>IF(AND(ISNUMBER($D20),ISNUMBER($E20),S$4&gt;=$D20,S$4&lt;=$E20,WEEKDAY(S$4,2)&lt;=5,COUNTIF('Sources &amp; Change Log'!$J$2:$J$5,S$4)=0,COUNTIFS('Team Calendar'!$A$5:$A$12,$F20,'Team Calendar'!$C$5:$C$12,S$4)=0),1,"")</x:f>
      </x:c>
      <x:c r="T20" s="107" t="str">
        <x:f>IF(AND(ISNUMBER($D20),ISNUMBER($E20),T$4&gt;=$D20,T$4&lt;=$E20,WEEKDAY(T$4,2)&lt;=5,COUNTIF('Sources &amp; Change Log'!$J$2:$J$5,T$4)=0,COUNTIFS('Team Calendar'!$A$5:$A$12,$F20,'Team Calendar'!$C$5:$C$12,T$4)=0),1,"")</x:f>
      </x:c>
      <x:c r="U20" s="100" t="str">
        <x:f>IF(AND(ISNUMBER($D20),ISNUMBER($E20),U$4&gt;=$D20,U$4&lt;=$E20,WEEKDAY(U$4,2)&lt;=5,COUNTIF('Sources &amp; Change Log'!$J$2:$J$5,U$4)=0,COUNTIFS('Team Calendar'!$A$5:$A$12,$F20,'Team Calendar'!$C$5:$C$12,U$4)=0),1,"")</x:f>
      </x:c>
      <x:c r="V20" s="100" t="str">
        <x:f>IF(AND(ISNUMBER($D20),ISNUMBER($E20),V$4&gt;=$D20,V$4&lt;=$E20,WEEKDAY(V$4,2)&lt;=5,COUNTIF('Sources &amp; Change Log'!$J$2:$J$5,V$4)=0,COUNTIFS('Team Calendar'!$A$5:$A$12,$F20,'Team Calendar'!$C$5:$C$12,V$4)=0),1,"")</x:f>
      </x:c>
      <x:c r="W20" s="100" t="str">
        <x:f>IF(AND(ISNUMBER($D20),ISNUMBER($E20),W$4&gt;=$D20,W$4&lt;=$E20,WEEKDAY(W$4,2)&lt;=5,COUNTIF('Sources &amp; Change Log'!$J$2:$J$5,W$4)=0,COUNTIFS('Team Calendar'!$A$5:$A$12,$F20,'Team Calendar'!$C$5:$C$12,W$4)=0),1,"")</x:f>
      </x:c>
      <x:c r="X20" s="100" t="str">
        <x:f>IF(AND(ISNUMBER($D20),ISNUMBER($E20),X$4&gt;=$D20,X$4&lt;=$E20,WEEKDAY(X$4,2)&lt;=5,COUNTIF('Sources &amp; Change Log'!$J$2:$J$5,X$4)=0,COUNTIFS('Team Calendar'!$A$5:$A$12,$F20,'Team Calendar'!$C$5:$C$12,X$4)=0),1,"")</x:f>
      </x:c>
      <x:c r="Y20" s="100" t="str">
        <x:f>IF(AND(ISNUMBER($D20),ISNUMBER($E20),Y$4&gt;=$D20,Y$4&lt;=$E20,WEEKDAY(Y$4,2)&lt;=5,COUNTIF('Sources &amp; Change Log'!$J$2:$J$5,Y$4)=0,COUNTIFS('Team Calendar'!$A$5:$A$12,$F20,'Team Calendar'!$C$5:$C$12,Y$4)=0),1,"")</x:f>
      </x:c>
      <x:c r="Z20" s="107" t="str">
        <x:f>IF(AND(ISNUMBER($D20),ISNUMBER($E20),Z$4&gt;=$D20,Z$4&lt;=$E20,WEEKDAY(Z$4,2)&lt;=5,COUNTIF('Sources &amp; Change Log'!$J$2:$J$5,Z$4)=0,COUNTIFS('Team Calendar'!$A$5:$A$12,$F20,'Team Calendar'!$C$5:$C$12,Z$4)=0),1,"")</x:f>
      </x:c>
      <x:c r="AA20" s="107" t="str">
        <x:f>IF(AND(ISNUMBER($D20),ISNUMBER($E20),AA$4&gt;=$D20,AA$4&lt;=$E20,WEEKDAY(AA$4,2)&lt;=5,COUNTIF('Sources &amp; Change Log'!$J$2:$J$5,AA$4)=0,COUNTIFS('Team Calendar'!$A$5:$A$12,$F20,'Team Calendar'!$C$5:$C$12,AA$4)=0),1,"")</x:f>
      </x:c>
      <x:c r="AB20" s="100" t="n">
        <x:f>IF(AND(ISNUMBER($D20),ISNUMBER($E20),AB$4&gt;=$D20,AB$4&lt;=$E20,WEEKDAY(AB$4,2)&lt;=5,COUNTIF('Sources &amp; Change Log'!$J$2:$J$5,AB$4)=0,COUNTIFS('Team Calendar'!$A$5:$A$12,$F20,'Team Calendar'!$C$5:$C$12,AB$4)=0),1,"")</x:f>
        <x:v>1</x:v>
      </x:c>
      <x:c r="AC20" s="100" t="n">
        <x:f>IF(AND(ISNUMBER($D20),ISNUMBER($E20),AC$4&gt;=$D20,AC$4&lt;=$E20,WEEKDAY(AC$4,2)&lt;=5,COUNTIF('Sources &amp; Change Log'!$J$2:$J$5,AC$4)=0,COUNTIFS('Team Calendar'!$A$5:$A$12,$F20,'Team Calendar'!$C$5:$C$12,AC$4)=0),1,"")</x:f>
        <x:v>1</x:v>
      </x:c>
      <x:c r="AD20" s="100" t="str">
        <x:f>IF(AND(ISNUMBER($D20),ISNUMBER($E20),AD$4&gt;=$D20,AD$4&lt;=$E20,WEEKDAY(AD$4,2)&lt;=5,COUNTIF('Sources &amp; Change Log'!$J$2:$J$5,AD$4)=0,COUNTIFS('Team Calendar'!$A$5:$A$12,$F20,'Team Calendar'!$C$5:$C$12,AD$4)=0),1,"")</x:f>
      </x:c>
      <x:c r="AE20" s="100" t="str">
        <x:f>IF(AND(ISNUMBER($D20),ISNUMBER($E20),AE$4&gt;=$D20,AE$4&lt;=$E20,WEEKDAY(AE$4,2)&lt;=5,COUNTIF('Sources &amp; Change Log'!$J$2:$J$5,AE$4)=0,COUNTIFS('Team Calendar'!$A$5:$A$12,$F20,'Team Calendar'!$C$5:$C$12,AE$4)=0),1,"")</x:f>
      </x:c>
      <x:c r="AF20" s="100" t="str">
        <x:f>IF(AND(ISNUMBER($D20),ISNUMBER($E20),AF$4&gt;=$D20,AF$4&lt;=$E20,WEEKDAY(AF$4,2)&lt;=5,COUNTIF('Sources &amp; Change Log'!$J$2:$J$5,AF$4)=0,COUNTIFS('Team Calendar'!$A$5:$A$12,$F20,'Team Calendar'!$C$5:$C$12,AF$4)=0),1,"")</x:f>
      </x:c>
      <x:c r="AG20" s="107" t="str">
        <x:f>IF(AND(ISNUMBER($D20),ISNUMBER($E20),AG$4&gt;=$D20,AG$4&lt;=$E20,WEEKDAY(AG$4,2)&lt;=5,COUNTIF('Sources &amp; Change Log'!$J$2:$J$5,AG$4)=0,COUNTIFS('Team Calendar'!$A$5:$A$12,$F20,'Team Calendar'!$C$5:$C$12,AG$4)=0),1,"")</x:f>
      </x:c>
      <x:c r="AH20" s="107" t="str">
        <x:f>IF(AND(ISNUMBER($D20),ISNUMBER($E20),AH$4&gt;=$D20,AH$4&lt;=$E20,WEEKDAY(AH$4,2)&lt;=5,COUNTIF('Sources &amp; Change Log'!$J$2:$J$5,AH$4)=0,COUNTIFS('Team Calendar'!$A$5:$A$12,$F20,'Team Calendar'!$C$5:$C$12,AH$4)=0),1,"")</x:f>
      </x:c>
      <x:c r="AI20" s="100" t="str">
        <x:f>IF(AND(ISNUMBER($D20),ISNUMBER($E20),AI$4&gt;=$D20,AI$4&lt;=$E20,WEEKDAY(AI$4,2)&lt;=5,COUNTIF('Sources &amp; Change Log'!$J$2:$J$5,AI$4)=0,COUNTIFS('Team Calendar'!$A$5:$A$12,$F20,'Team Calendar'!$C$5:$C$12,AI$4)=0),1,"")</x:f>
      </x:c>
    </x:row>
    <x:row r="21" ht="24" customHeight="1">
      <x:c r="A21" s="13" t="str">
        <x:f>WBS!A47</x:f>
        <x:v>P2-DOC-01</x:v>
      </x:c>
      <x:c r="B21" s="13" t="str">
        <x:f>WBS!B47</x:f>
        <x:v>Cloud / Hybrid Deliverable Freeze</x:v>
      </x:c>
      <x:c r="C21" s="13" t="str">
        <x:f>WBS!G47</x:f>
        <x:v>To Do</x:v>
      </x:c>
      <x:c r="D21" s="86" t="n">
        <x:f>IF(WBS!H47="","",WBS!H47)</x:f>
        <x:v>46314</x:v>
      </x:c>
      <x:c r="E21" s="86" t="n">
        <x:f>IF(WBS!I47="","",WBS!I47)</x:f>
        <x:v>46318</x:v>
      </x:c>
      <x:c r="F21" s="13" t="str">
        <x:f>WBS!L47</x:f>
        <x:v>이권욱</x:v>
      </x:c>
      <x:c r="G21" s="100" t="str">
        <x:f>IF(AND(ISNUMBER($D21),ISNUMBER($E21),G$4&gt;=$D21,G$4&lt;=$E21,WEEKDAY(G$4,2)&lt;=5,COUNTIF('Sources &amp; Change Log'!$J$2:$J$5,G$4)=0,COUNTIFS('Team Calendar'!$A$5:$A$12,$F21,'Team Calendar'!$C$5:$C$12,G$4)=0),1,"")</x:f>
      </x:c>
      <x:c r="H21" s="100" t="str">
        <x:f>IF(AND(ISNUMBER($D21),ISNUMBER($E21),H$4&gt;=$D21,H$4&lt;=$E21,WEEKDAY(H$4,2)&lt;=5,COUNTIF('Sources &amp; Change Log'!$J$2:$J$5,H$4)=0,COUNTIFS('Team Calendar'!$A$5:$A$12,$F21,'Team Calendar'!$C$5:$C$12,H$4)=0),1,"")</x:f>
      </x:c>
      <x:c r="I21" s="100" t="str">
        <x:f>IF(AND(ISNUMBER($D21),ISNUMBER($E21),I$4&gt;=$D21,I$4&lt;=$E21,WEEKDAY(I$4,2)&lt;=5,COUNTIF('Sources &amp; Change Log'!$J$2:$J$5,I$4)=0,COUNTIFS('Team Calendar'!$A$5:$A$12,$F21,'Team Calendar'!$C$5:$C$12,I$4)=0),1,"")</x:f>
      </x:c>
      <x:c r="J21" s="100" t="str">
        <x:f>IF(AND(ISNUMBER($D21),ISNUMBER($E21),J$4&gt;=$D21,J$4&lt;=$E21,WEEKDAY(J$4,2)&lt;=5,COUNTIF('Sources &amp; Change Log'!$J$2:$J$5,J$4)=0,COUNTIFS('Team Calendar'!$A$5:$A$12,$F21,'Team Calendar'!$C$5:$C$12,J$4)=0),1,"")</x:f>
      </x:c>
      <x:c r="K21" s="100" t="str">
        <x:f>IF(AND(ISNUMBER($D21),ISNUMBER($E21),K$4&gt;=$D21,K$4&lt;=$E21,WEEKDAY(K$4,2)&lt;=5,COUNTIF('Sources &amp; Change Log'!$J$2:$J$5,K$4)=0,COUNTIFS('Team Calendar'!$A$5:$A$12,$F21,'Team Calendar'!$C$5:$C$12,K$4)=0),1,"")</x:f>
      </x:c>
      <x:c r="L21" s="107" t="str">
        <x:f>IF(AND(ISNUMBER($D21),ISNUMBER($E21),L$4&gt;=$D21,L$4&lt;=$E21,WEEKDAY(L$4,2)&lt;=5,COUNTIF('Sources &amp; Change Log'!$J$2:$J$5,L$4)=0,COUNTIFS('Team Calendar'!$A$5:$A$12,$F21,'Team Calendar'!$C$5:$C$12,L$4)=0),1,"")</x:f>
      </x:c>
      <x:c r="M21" s="107" t="str">
        <x:f>IF(AND(ISNUMBER($D21),ISNUMBER($E21),M$4&gt;=$D21,M$4&lt;=$E21,WEEKDAY(M$4,2)&lt;=5,COUNTIF('Sources &amp; Change Log'!$J$2:$J$5,M$4)=0,COUNTIFS('Team Calendar'!$A$5:$A$12,$F21,'Team Calendar'!$C$5:$C$12,M$4)=0),1,"")</x:f>
      </x:c>
      <x:c r="N21" s="100" t="str">
        <x:f>IF(AND(ISNUMBER($D21),ISNUMBER($E21),N$4&gt;=$D21,N$4&lt;=$E21,WEEKDAY(N$4,2)&lt;=5,COUNTIF('Sources &amp; Change Log'!$J$2:$J$5,N$4)=0,COUNTIFS('Team Calendar'!$A$5:$A$12,$F21,'Team Calendar'!$C$5:$C$12,N$4)=0),1,"")</x:f>
      </x:c>
      <x:c r="O21" s="100" t="str">
        <x:f>IF(AND(ISNUMBER($D21),ISNUMBER($E21),O$4&gt;=$D21,O$4&lt;=$E21,WEEKDAY(O$4,2)&lt;=5,COUNTIF('Sources &amp; Change Log'!$J$2:$J$5,O$4)=0,COUNTIFS('Team Calendar'!$A$5:$A$12,$F21,'Team Calendar'!$C$5:$C$12,O$4)=0),1,"")</x:f>
      </x:c>
      <x:c r="P21" s="100" t="str">
        <x:f>IF(AND(ISNUMBER($D21),ISNUMBER($E21),P$4&gt;=$D21,P$4&lt;=$E21,WEEKDAY(P$4,2)&lt;=5,COUNTIF('Sources &amp; Change Log'!$J$2:$J$5,P$4)=0,COUNTIFS('Team Calendar'!$A$5:$A$12,$F21,'Team Calendar'!$C$5:$C$12,P$4)=0),1,"")</x:f>
      </x:c>
      <x:c r="Q21" s="100" t="str">
        <x:f>IF(AND(ISNUMBER($D21),ISNUMBER($E21),Q$4&gt;=$D21,Q$4&lt;=$E21,WEEKDAY(Q$4,2)&lt;=5,COUNTIF('Sources &amp; Change Log'!$J$2:$J$5,Q$4)=0,COUNTIFS('Team Calendar'!$A$5:$A$12,$F21,'Team Calendar'!$C$5:$C$12,Q$4)=0),1,"")</x:f>
      </x:c>
      <x:c r="R21" s="100" t="str">
        <x:f>IF(AND(ISNUMBER($D21),ISNUMBER($E21),R$4&gt;=$D21,R$4&lt;=$E21,WEEKDAY(R$4,2)&lt;=5,COUNTIF('Sources &amp; Change Log'!$J$2:$J$5,R$4)=0,COUNTIFS('Team Calendar'!$A$5:$A$12,$F21,'Team Calendar'!$C$5:$C$12,R$4)=0),1,"")</x:f>
      </x:c>
      <x:c r="S21" s="107" t="str">
        <x:f>IF(AND(ISNUMBER($D21),ISNUMBER($E21),S$4&gt;=$D21,S$4&lt;=$E21,WEEKDAY(S$4,2)&lt;=5,COUNTIF('Sources &amp; Change Log'!$J$2:$J$5,S$4)=0,COUNTIFS('Team Calendar'!$A$5:$A$12,$F21,'Team Calendar'!$C$5:$C$12,S$4)=0),1,"")</x:f>
      </x:c>
      <x:c r="T21" s="107" t="str">
        <x:f>IF(AND(ISNUMBER($D21),ISNUMBER($E21),T$4&gt;=$D21,T$4&lt;=$E21,WEEKDAY(T$4,2)&lt;=5,COUNTIF('Sources &amp; Change Log'!$J$2:$J$5,T$4)=0,COUNTIFS('Team Calendar'!$A$5:$A$12,$F21,'Team Calendar'!$C$5:$C$12,T$4)=0),1,"")</x:f>
      </x:c>
      <x:c r="U21" s="100" t="str">
        <x:f>IF(AND(ISNUMBER($D21),ISNUMBER($E21),U$4&gt;=$D21,U$4&lt;=$E21,WEEKDAY(U$4,2)&lt;=5,COUNTIF('Sources &amp; Change Log'!$J$2:$J$5,U$4)=0,COUNTIFS('Team Calendar'!$A$5:$A$12,$F21,'Team Calendar'!$C$5:$C$12,U$4)=0),1,"")</x:f>
      </x:c>
      <x:c r="V21" s="100" t="str">
        <x:f>IF(AND(ISNUMBER($D21),ISNUMBER($E21),V$4&gt;=$D21,V$4&lt;=$E21,WEEKDAY(V$4,2)&lt;=5,COUNTIF('Sources &amp; Change Log'!$J$2:$J$5,V$4)=0,COUNTIFS('Team Calendar'!$A$5:$A$12,$F21,'Team Calendar'!$C$5:$C$12,V$4)=0),1,"")</x:f>
      </x:c>
      <x:c r="W21" s="100" t="str">
        <x:f>IF(AND(ISNUMBER($D21),ISNUMBER($E21),W$4&gt;=$D21,W$4&lt;=$E21,WEEKDAY(W$4,2)&lt;=5,COUNTIF('Sources &amp; Change Log'!$J$2:$J$5,W$4)=0,COUNTIFS('Team Calendar'!$A$5:$A$12,$F21,'Team Calendar'!$C$5:$C$12,W$4)=0),1,"")</x:f>
      </x:c>
      <x:c r="X21" s="100" t="str">
        <x:f>IF(AND(ISNUMBER($D21),ISNUMBER($E21),X$4&gt;=$D21,X$4&lt;=$E21,WEEKDAY(X$4,2)&lt;=5,COUNTIF('Sources &amp; Change Log'!$J$2:$J$5,X$4)=0,COUNTIFS('Team Calendar'!$A$5:$A$12,$F21,'Team Calendar'!$C$5:$C$12,X$4)=0),1,"")</x:f>
      </x:c>
      <x:c r="Y21" s="100" t="str">
        <x:f>IF(AND(ISNUMBER($D21),ISNUMBER($E21),Y$4&gt;=$D21,Y$4&lt;=$E21,WEEKDAY(Y$4,2)&lt;=5,COUNTIF('Sources &amp; Change Log'!$J$2:$J$5,Y$4)=0,COUNTIFS('Team Calendar'!$A$5:$A$12,$F21,'Team Calendar'!$C$5:$C$12,Y$4)=0),1,"")</x:f>
      </x:c>
      <x:c r="Z21" s="107" t="str">
        <x:f>IF(AND(ISNUMBER($D21),ISNUMBER($E21),Z$4&gt;=$D21,Z$4&lt;=$E21,WEEKDAY(Z$4,2)&lt;=5,COUNTIF('Sources &amp; Change Log'!$J$2:$J$5,Z$4)=0,COUNTIFS('Team Calendar'!$A$5:$A$12,$F21,'Team Calendar'!$C$5:$C$12,Z$4)=0),1,"")</x:f>
      </x:c>
      <x:c r="AA21" s="107" t="str">
        <x:f>IF(AND(ISNUMBER($D21),ISNUMBER($E21),AA$4&gt;=$D21,AA$4&lt;=$E21,WEEKDAY(AA$4,2)&lt;=5,COUNTIF('Sources &amp; Change Log'!$J$2:$J$5,AA$4)=0,COUNTIFS('Team Calendar'!$A$5:$A$12,$F21,'Team Calendar'!$C$5:$C$12,AA$4)=0),1,"")</x:f>
      </x:c>
      <x:c r="AB21" s="100" t="n">
        <x:f>IF(AND(ISNUMBER($D21),ISNUMBER($E21),AB$4&gt;=$D21,AB$4&lt;=$E21,WEEKDAY(AB$4,2)&lt;=5,COUNTIF('Sources &amp; Change Log'!$J$2:$J$5,AB$4)=0,COUNTIFS('Team Calendar'!$A$5:$A$12,$F21,'Team Calendar'!$C$5:$C$12,AB$4)=0),1,"")</x:f>
        <x:v>1</x:v>
      </x:c>
      <x:c r="AC21" s="100" t="n">
        <x:f>IF(AND(ISNUMBER($D21),ISNUMBER($E21),AC$4&gt;=$D21,AC$4&lt;=$E21,WEEKDAY(AC$4,2)&lt;=5,COUNTIF('Sources &amp; Change Log'!$J$2:$J$5,AC$4)=0,COUNTIFS('Team Calendar'!$A$5:$A$12,$F21,'Team Calendar'!$C$5:$C$12,AC$4)=0),1,"")</x:f>
        <x:v>1</x:v>
      </x:c>
      <x:c r="AD21" s="100" t="n">
        <x:f>IF(AND(ISNUMBER($D21),ISNUMBER($E21),AD$4&gt;=$D21,AD$4&lt;=$E21,WEEKDAY(AD$4,2)&lt;=5,COUNTIF('Sources &amp; Change Log'!$J$2:$J$5,AD$4)=0,COUNTIFS('Team Calendar'!$A$5:$A$12,$F21,'Team Calendar'!$C$5:$C$12,AD$4)=0),1,"")</x:f>
        <x:v>1</x:v>
      </x:c>
      <x:c r="AE21" s="100" t="n">
        <x:f>IF(AND(ISNUMBER($D21),ISNUMBER($E21),AE$4&gt;=$D21,AE$4&lt;=$E21,WEEKDAY(AE$4,2)&lt;=5,COUNTIF('Sources &amp; Change Log'!$J$2:$J$5,AE$4)=0,COUNTIFS('Team Calendar'!$A$5:$A$12,$F21,'Team Calendar'!$C$5:$C$12,AE$4)=0),1,"")</x:f>
        <x:v>1</x:v>
      </x:c>
      <x:c r="AF21" s="100" t="n">
        <x:f>IF(AND(ISNUMBER($D21),ISNUMBER($E21),AF$4&gt;=$D21,AF$4&lt;=$E21,WEEKDAY(AF$4,2)&lt;=5,COUNTIF('Sources &amp; Change Log'!$J$2:$J$5,AF$4)=0,COUNTIFS('Team Calendar'!$A$5:$A$12,$F21,'Team Calendar'!$C$5:$C$12,AF$4)=0),1,"")</x:f>
        <x:v>1</x:v>
      </x:c>
      <x:c r="AG21" s="107" t="str">
        <x:f>IF(AND(ISNUMBER($D21),ISNUMBER($E21),AG$4&gt;=$D21,AG$4&lt;=$E21,WEEKDAY(AG$4,2)&lt;=5,COUNTIF('Sources &amp; Change Log'!$J$2:$J$5,AG$4)=0,COUNTIFS('Team Calendar'!$A$5:$A$12,$F21,'Team Calendar'!$C$5:$C$12,AG$4)=0),1,"")</x:f>
      </x:c>
      <x:c r="AH21" s="107" t="str">
        <x:f>IF(AND(ISNUMBER($D21),ISNUMBER($E21),AH$4&gt;=$D21,AH$4&lt;=$E21,WEEKDAY(AH$4,2)&lt;=5,COUNTIF('Sources &amp; Change Log'!$J$2:$J$5,AH$4)=0,COUNTIFS('Team Calendar'!$A$5:$A$12,$F21,'Team Calendar'!$C$5:$C$12,AH$4)=0),1,"")</x:f>
      </x:c>
      <x:c r="AI21" s="100" t="str">
        <x:f>IF(AND(ISNUMBER($D21),ISNUMBER($E21),AI$4&gt;=$D21,AI$4&lt;=$E21,WEEKDAY(AI$4,2)&lt;=5,COUNTIF('Sources &amp; Change Log'!$J$2:$J$5,AI$4)=0,COUNTIFS('Team Calendar'!$A$5:$A$12,$F21,'Team Calendar'!$C$5:$C$12,AI$4)=0),1,"")</x:f>
      </x:c>
    </x:row>
    <x:row r="22" ht="24" customHeight="1">
      <x:c r="A22" s="13" t="str">
        <x:f>WBS!A48</x:f>
        <x:v>P2-E2E-01</x:v>
      </x:c>
      <x:c r="B22" s="13" t="str">
        <x:f>WBS!B48</x:f>
        <x:v>Hybrid E2E / Regression</x:v>
      </x:c>
      <x:c r="C22" s="13" t="str">
        <x:f>WBS!G48</x:f>
        <x:v>To Do</x:v>
      </x:c>
      <x:c r="D22" s="86" t="n">
        <x:f>IF(WBS!H48="","",WBS!H48)</x:f>
        <x:v>46314</x:v>
      </x:c>
      <x:c r="E22" s="86" t="n">
        <x:f>IF(WBS!I48="","",WBS!I48)</x:f>
        <x:v>46317</x:v>
      </x:c>
      <x:c r="F22" s="13" t="str">
        <x:f>WBS!L48</x:f>
        <x:v>이재환</x:v>
      </x:c>
      <x:c r="G22" s="100" t="str">
        <x:f>IF(AND(ISNUMBER($D22),ISNUMBER($E22),G$4&gt;=$D22,G$4&lt;=$E22,WEEKDAY(G$4,2)&lt;=5,COUNTIF('Sources &amp; Change Log'!$J$2:$J$5,G$4)=0,COUNTIFS('Team Calendar'!$A$5:$A$12,$F22,'Team Calendar'!$C$5:$C$12,G$4)=0),1,"")</x:f>
      </x:c>
      <x:c r="H22" s="100" t="str">
        <x:f>IF(AND(ISNUMBER($D22),ISNUMBER($E22),H$4&gt;=$D22,H$4&lt;=$E22,WEEKDAY(H$4,2)&lt;=5,COUNTIF('Sources &amp; Change Log'!$J$2:$J$5,H$4)=0,COUNTIFS('Team Calendar'!$A$5:$A$12,$F22,'Team Calendar'!$C$5:$C$12,H$4)=0),1,"")</x:f>
      </x:c>
      <x:c r="I22" s="100" t="str">
        <x:f>IF(AND(ISNUMBER($D22),ISNUMBER($E22),I$4&gt;=$D22,I$4&lt;=$E22,WEEKDAY(I$4,2)&lt;=5,COUNTIF('Sources &amp; Change Log'!$J$2:$J$5,I$4)=0,COUNTIFS('Team Calendar'!$A$5:$A$12,$F22,'Team Calendar'!$C$5:$C$12,I$4)=0),1,"")</x:f>
      </x:c>
      <x:c r="J22" s="100" t="str">
        <x:f>IF(AND(ISNUMBER($D22),ISNUMBER($E22),J$4&gt;=$D22,J$4&lt;=$E22,WEEKDAY(J$4,2)&lt;=5,COUNTIF('Sources &amp; Change Log'!$J$2:$J$5,J$4)=0,COUNTIFS('Team Calendar'!$A$5:$A$12,$F22,'Team Calendar'!$C$5:$C$12,J$4)=0),1,"")</x:f>
      </x:c>
      <x:c r="K22" s="100" t="str">
        <x:f>IF(AND(ISNUMBER($D22),ISNUMBER($E22),K$4&gt;=$D22,K$4&lt;=$E22,WEEKDAY(K$4,2)&lt;=5,COUNTIF('Sources &amp; Change Log'!$J$2:$J$5,K$4)=0,COUNTIFS('Team Calendar'!$A$5:$A$12,$F22,'Team Calendar'!$C$5:$C$12,K$4)=0),1,"")</x:f>
      </x:c>
      <x:c r="L22" s="107" t="str">
        <x:f>IF(AND(ISNUMBER($D22),ISNUMBER($E22),L$4&gt;=$D22,L$4&lt;=$E22,WEEKDAY(L$4,2)&lt;=5,COUNTIF('Sources &amp; Change Log'!$J$2:$J$5,L$4)=0,COUNTIFS('Team Calendar'!$A$5:$A$12,$F22,'Team Calendar'!$C$5:$C$12,L$4)=0),1,"")</x:f>
      </x:c>
      <x:c r="M22" s="107" t="str">
        <x:f>IF(AND(ISNUMBER($D22),ISNUMBER($E22),M$4&gt;=$D22,M$4&lt;=$E22,WEEKDAY(M$4,2)&lt;=5,COUNTIF('Sources &amp; Change Log'!$J$2:$J$5,M$4)=0,COUNTIFS('Team Calendar'!$A$5:$A$12,$F22,'Team Calendar'!$C$5:$C$12,M$4)=0),1,"")</x:f>
      </x:c>
      <x:c r="N22" s="100" t="str">
        <x:f>IF(AND(ISNUMBER($D22),ISNUMBER($E22),N$4&gt;=$D22,N$4&lt;=$E22,WEEKDAY(N$4,2)&lt;=5,COUNTIF('Sources &amp; Change Log'!$J$2:$J$5,N$4)=0,COUNTIFS('Team Calendar'!$A$5:$A$12,$F22,'Team Calendar'!$C$5:$C$12,N$4)=0),1,"")</x:f>
      </x:c>
      <x:c r="O22" s="100" t="str">
        <x:f>IF(AND(ISNUMBER($D22),ISNUMBER($E22),O$4&gt;=$D22,O$4&lt;=$E22,WEEKDAY(O$4,2)&lt;=5,COUNTIF('Sources &amp; Change Log'!$J$2:$J$5,O$4)=0,COUNTIFS('Team Calendar'!$A$5:$A$12,$F22,'Team Calendar'!$C$5:$C$12,O$4)=0),1,"")</x:f>
      </x:c>
      <x:c r="P22" s="100" t="str">
        <x:f>IF(AND(ISNUMBER($D22),ISNUMBER($E22),P$4&gt;=$D22,P$4&lt;=$E22,WEEKDAY(P$4,2)&lt;=5,COUNTIF('Sources &amp; Change Log'!$J$2:$J$5,P$4)=0,COUNTIFS('Team Calendar'!$A$5:$A$12,$F22,'Team Calendar'!$C$5:$C$12,P$4)=0),1,"")</x:f>
      </x:c>
      <x:c r="Q22" s="100" t="str">
        <x:f>IF(AND(ISNUMBER($D22),ISNUMBER($E22),Q$4&gt;=$D22,Q$4&lt;=$E22,WEEKDAY(Q$4,2)&lt;=5,COUNTIF('Sources &amp; Change Log'!$J$2:$J$5,Q$4)=0,COUNTIFS('Team Calendar'!$A$5:$A$12,$F22,'Team Calendar'!$C$5:$C$12,Q$4)=0),1,"")</x:f>
      </x:c>
      <x:c r="R22" s="100" t="str">
        <x:f>IF(AND(ISNUMBER($D22),ISNUMBER($E22),R$4&gt;=$D22,R$4&lt;=$E22,WEEKDAY(R$4,2)&lt;=5,COUNTIF('Sources &amp; Change Log'!$J$2:$J$5,R$4)=0,COUNTIFS('Team Calendar'!$A$5:$A$12,$F22,'Team Calendar'!$C$5:$C$12,R$4)=0),1,"")</x:f>
      </x:c>
      <x:c r="S22" s="107" t="str">
        <x:f>IF(AND(ISNUMBER($D22),ISNUMBER($E22),S$4&gt;=$D22,S$4&lt;=$E22,WEEKDAY(S$4,2)&lt;=5,COUNTIF('Sources &amp; Change Log'!$J$2:$J$5,S$4)=0,COUNTIFS('Team Calendar'!$A$5:$A$12,$F22,'Team Calendar'!$C$5:$C$12,S$4)=0),1,"")</x:f>
      </x:c>
      <x:c r="T22" s="107" t="str">
        <x:f>IF(AND(ISNUMBER($D22),ISNUMBER($E22),T$4&gt;=$D22,T$4&lt;=$E22,WEEKDAY(T$4,2)&lt;=5,COUNTIF('Sources &amp; Change Log'!$J$2:$J$5,T$4)=0,COUNTIFS('Team Calendar'!$A$5:$A$12,$F22,'Team Calendar'!$C$5:$C$12,T$4)=0),1,"")</x:f>
      </x:c>
      <x:c r="U22" s="100" t="str">
        <x:f>IF(AND(ISNUMBER($D22),ISNUMBER($E22),U$4&gt;=$D22,U$4&lt;=$E22,WEEKDAY(U$4,2)&lt;=5,COUNTIF('Sources &amp; Change Log'!$J$2:$J$5,U$4)=0,COUNTIFS('Team Calendar'!$A$5:$A$12,$F22,'Team Calendar'!$C$5:$C$12,U$4)=0),1,"")</x:f>
      </x:c>
      <x:c r="V22" s="100" t="str">
        <x:f>IF(AND(ISNUMBER($D22),ISNUMBER($E22),V$4&gt;=$D22,V$4&lt;=$E22,WEEKDAY(V$4,2)&lt;=5,COUNTIF('Sources &amp; Change Log'!$J$2:$J$5,V$4)=0,COUNTIFS('Team Calendar'!$A$5:$A$12,$F22,'Team Calendar'!$C$5:$C$12,V$4)=0),1,"")</x:f>
      </x:c>
      <x:c r="W22" s="100" t="str">
        <x:f>IF(AND(ISNUMBER($D22),ISNUMBER($E22),W$4&gt;=$D22,W$4&lt;=$E22,WEEKDAY(W$4,2)&lt;=5,COUNTIF('Sources &amp; Change Log'!$J$2:$J$5,W$4)=0,COUNTIFS('Team Calendar'!$A$5:$A$12,$F22,'Team Calendar'!$C$5:$C$12,W$4)=0),1,"")</x:f>
      </x:c>
      <x:c r="X22" s="100" t="str">
        <x:f>IF(AND(ISNUMBER($D22),ISNUMBER($E22),X$4&gt;=$D22,X$4&lt;=$E22,WEEKDAY(X$4,2)&lt;=5,COUNTIF('Sources &amp; Change Log'!$J$2:$J$5,X$4)=0,COUNTIFS('Team Calendar'!$A$5:$A$12,$F22,'Team Calendar'!$C$5:$C$12,X$4)=0),1,"")</x:f>
      </x:c>
      <x:c r="Y22" s="100" t="str">
        <x:f>IF(AND(ISNUMBER($D22),ISNUMBER($E22),Y$4&gt;=$D22,Y$4&lt;=$E22,WEEKDAY(Y$4,2)&lt;=5,COUNTIF('Sources &amp; Change Log'!$J$2:$J$5,Y$4)=0,COUNTIFS('Team Calendar'!$A$5:$A$12,$F22,'Team Calendar'!$C$5:$C$12,Y$4)=0),1,"")</x:f>
      </x:c>
      <x:c r="Z22" s="107" t="str">
        <x:f>IF(AND(ISNUMBER($D22),ISNUMBER($E22),Z$4&gt;=$D22,Z$4&lt;=$E22,WEEKDAY(Z$4,2)&lt;=5,COUNTIF('Sources &amp; Change Log'!$J$2:$J$5,Z$4)=0,COUNTIFS('Team Calendar'!$A$5:$A$12,$F22,'Team Calendar'!$C$5:$C$12,Z$4)=0),1,"")</x:f>
      </x:c>
      <x:c r="AA22" s="107" t="str">
        <x:f>IF(AND(ISNUMBER($D22),ISNUMBER($E22),AA$4&gt;=$D22,AA$4&lt;=$E22,WEEKDAY(AA$4,2)&lt;=5,COUNTIF('Sources &amp; Change Log'!$J$2:$J$5,AA$4)=0,COUNTIFS('Team Calendar'!$A$5:$A$12,$F22,'Team Calendar'!$C$5:$C$12,AA$4)=0),1,"")</x:f>
      </x:c>
      <x:c r="AB22" s="100" t="n">
        <x:f>IF(AND(ISNUMBER($D22),ISNUMBER($E22),AB$4&gt;=$D22,AB$4&lt;=$E22,WEEKDAY(AB$4,2)&lt;=5,COUNTIF('Sources &amp; Change Log'!$J$2:$J$5,AB$4)=0,COUNTIFS('Team Calendar'!$A$5:$A$12,$F22,'Team Calendar'!$C$5:$C$12,AB$4)=0),1,"")</x:f>
        <x:v>1</x:v>
      </x:c>
      <x:c r="AC22" s="100" t="n">
        <x:f>IF(AND(ISNUMBER($D22),ISNUMBER($E22),AC$4&gt;=$D22,AC$4&lt;=$E22,WEEKDAY(AC$4,2)&lt;=5,COUNTIF('Sources &amp; Change Log'!$J$2:$J$5,AC$4)=0,COUNTIFS('Team Calendar'!$A$5:$A$12,$F22,'Team Calendar'!$C$5:$C$12,AC$4)=0),1,"")</x:f>
        <x:v>1</x:v>
      </x:c>
      <x:c r="AD22" s="100" t="n">
        <x:f>IF(AND(ISNUMBER($D22),ISNUMBER($E22),AD$4&gt;=$D22,AD$4&lt;=$E22,WEEKDAY(AD$4,2)&lt;=5,COUNTIF('Sources &amp; Change Log'!$J$2:$J$5,AD$4)=0,COUNTIFS('Team Calendar'!$A$5:$A$12,$F22,'Team Calendar'!$C$5:$C$12,AD$4)=0),1,"")</x:f>
        <x:v>1</x:v>
      </x:c>
      <x:c r="AE22" s="100" t="n">
        <x:f>IF(AND(ISNUMBER($D22),ISNUMBER($E22),AE$4&gt;=$D22,AE$4&lt;=$E22,WEEKDAY(AE$4,2)&lt;=5,COUNTIF('Sources &amp; Change Log'!$J$2:$J$5,AE$4)=0,COUNTIFS('Team Calendar'!$A$5:$A$12,$F22,'Team Calendar'!$C$5:$C$12,AE$4)=0),1,"")</x:f>
        <x:v>1</x:v>
      </x:c>
      <x:c r="AF22" s="100" t="str">
        <x:f>IF(AND(ISNUMBER($D22),ISNUMBER($E22),AF$4&gt;=$D22,AF$4&lt;=$E22,WEEKDAY(AF$4,2)&lt;=5,COUNTIF('Sources &amp; Change Log'!$J$2:$J$5,AF$4)=0,COUNTIFS('Team Calendar'!$A$5:$A$12,$F22,'Team Calendar'!$C$5:$C$12,AF$4)=0),1,"")</x:f>
      </x:c>
      <x:c r="AG22" s="107" t="str">
        <x:f>IF(AND(ISNUMBER($D22),ISNUMBER($E22),AG$4&gt;=$D22,AG$4&lt;=$E22,WEEKDAY(AG$4,2)&lt;=5,COUNTIF('Sources &amp; Change Log'!$J$2:$J$5,AG$4)=0,COUNTIFS('Team Calendar'!$A$5:$A$12,$F22,'Team Calendar'!$C$5:$C$12,AG$4)=0),1,"")</x:f>
      </x:c>
      <x:c r="AH22" s="107" t="str">
        <x:f>IF(AND(ISNUMBER($D22),ISNUMBER($E22),AH$4&gt;=$D22,AH$4&lt;=$E22,WEEKDAY(AH$4,2)&lt;=5,COUNTIF('Sources &amp; Change Log'!$J$2:$J$5,AH$4)=0,COUNTIFS('Team Calendar'!$A$5:$A$12,$F22,'Team Calendar'!$C$5:$C$12,AH$4)=0),1,"")</x:f>
      </x:c>
      <x:c r="AI22" s="100" t="str">
        <x:f>IF(AND(ISNUMBER($D22),ISNUMBER($E22),AI$4&gt;=$D22,AI$4&lt;=$E22,WEEKDAY(AI$4,2)&lt;=5,COUNTIF('Sources &amp; Change Log'!$J$2:$J$5,AI$4)=0,COUNTIFS('Team Calendar'!$A$5:$A$12,$F22,'Team Calendar'!$C$5:$C$12,AI$4)=0),1,"")</x:f>
      </x:c>
    </x:row>
    <x:row r="23" ht="24" customHeight="1">
      <x:c r="A23" s="13" t="str">
        <x:f>WBS!A49</x:f>
        <x:v>P2-OP-01</x:v>
      </x:c>
      <x:c r="B23" s="13" t="str">
        <x:f>WBS!B49</x:f>
        <x:v>Operator Supply Chain Implementation Conditional</x:v>
      </x:c>
      <x:c r="C23" s="13" t="str">
        <x:f>WBS!G49</x:f>
        <x:v>To Do</x:v>
      </x:c>
      <x:c r="D23" s="86" t="n">
        <x:f>IF(WBS!H49="","",WBS!H49)</x:f>
        <x:v>46314</x:v>
      </x:c>
      <x:c r="E23" s="86" t="n">
        <x:f>IF(WBS!I49="","",WBS!I49)</x:f>
        <x:v>46315</x:v>
      </x:c>
      <x:c r="F23" s="13" t="str">
        <x:f>WBS!L49</x:f>
        <x:v>이하영</x:v>
      </x:c>
      <x:c r="G23" s="100" t="str">
        <x:f>IF(AND(ISNUMBER($D23),ISNUMBER($E23),G$4&gt;=$D23,G$4&lt;=$E23,WEEKDAY(G$4,2)&lt;=5,COUNTIF('Sources &amp; Change Log'!$J$2:$J$5,G$4)=0,COUNTIFS('Team Calendar'!$A$5:$A$12,$F23,'Team Calendar'!$C$5:$C$12,G$4)=0),1,"")</x:f>
      </x:c>
      <x:c r="H23" s="100" t="str">
        <x:f>IF(AND(ISNUMBER($D23),ISNUMBER($E23),H$4&gt;=$D23,H$4&lt;=$E23,WEEKDAY(H$4,2)&lt;=5,COUNTIF('Sources &amp; Change Log'!$J$2:$J$5,H$4)=0,COUNTIFS('Team Calendar'!$A$5:$A$12,$F23,'Team Calendar'!$C$5:$C$12,H$4)=0),1,"")</x:f>
      </x:c>
      <x:c r="I23" s="100" t="str">
        <x:f>IF(AND(ISNUMBER($D23),ISNUMBER($E23),I$4&gt;=$D23,I$4&lt;=$E23,WEEKDAY(I$4,2)&lt;=5,COUNTIF('Sources &amp; Change Log'!$J$2:$J$5,I$4)=0,COUNTIFS('Team Calendar'!$A$5:$A$12,$F23,'Team Calendar'!$C$5:$C$12,I$4)=0),1,"")</x:f>
      </x:c>
      <x:c r="J23" s="100" t="str">
        <x:f>IF(AND(ISNUMBER($D23),ISNUMBER($E23),J$4&gt;=$D23,J$4&lt;=$E23,WEEKDAY(J$4,2)&lt;=5,COUNTIF('Sources &amp; Change Log'!$J$2:$J$5,J$4)=0,COUNTIFS('Team Calendar'!$A$5:$A$12,$F23,'Team Calendar'!$C$5:$C$12,J$4)=0),1,"")</x:f>
      </x:c>
      <x:c r="K23" s="100" t="str">
        <x:f>IF(AND(ISNUMBER($D23),ISNUMBER($E23),K$4&gt;=$D23,K$4&lt;=$E23,WEEKDAY(K$4,2)&lt;=5,COUNTIF('Sources &amp; Change Log'!$J$2:$J$5,K$4)=0,COUNTIFS('Team Calendar'!$A$5:$A$12,$F23,'Team Calendar'!$C$5:$C$12,K$4)=0),1,"")</x:f>
      </x:c>
      <x:c r="L23" s="107" t="str">
        <x:f>IF(AND(ISNUMBER($D23),ISNUMBER($E23),L$4&gt;=$D23,L$4&lt;=$E23,WEEKDAY(L$4,2)&lt;=5,COUNTIF('Sources &amp; Change Log'!$J$2:$J$5,L$4)=0,COUNTIFS('Team Calendar'!$A$5:$A$12,$F23,'Team Calendar'!$C$5:$C$12,L$4)=0),1,"")</x:f>
      </x:c>
      <x:c r="M23" s="107" t="str">
        <x:f>IF(AND(ISNUMBER($D23),ISNUMBER($E23),M$4&gt;=$D23,M$4&lt;=$E23,WEEKDAY(M$4,2)&lt;=5,COUNTIF('Sources &amp; Change Log'!$J$2:$J$5,M$4)=0,COUNTIFS('Team Calendar'!$A$5:$A$12,$F23,'Team Calendar'!$C$5:$C$12,M$4)=0),1,"")</x:f>
      </x:c>
      <x:c r="N23" s="100" t="str">
        <x:f>IF(AND(ISNUMBER($D23),ISNUMBER($E23),N$4&gt;=$D23,N$4&lt;=$E23,WEEKDAY(N$4,2)&lt;=5,COUNTIF('Sources &amp; Change Log'!$J$2:$J$5,N$4)=0,COUNTIFS('Team Calendar'!$A$5:$A$12,$F23,'Team Calendar'!$C$5:$C$12,N$4)=0),1,"")</x:f>
      </x:c>
      <x:c r="O23" s="100" t="str">
        <x:f>IF(AND(ISNUMBER($D23),ISNUMBER($E23),O$4&gt;=$D23,O$4&lt;=$E23,WEEKDAY(O$4,2)&lt;=5,COUNTIF('Sources &amp; Change Log'!$J$2:$J$5,O$4)=0,COUNTIFS('Team Calendar'!$A$5:$A$12,$F23,'Team Calendar'!$C$5:$C$12,O$4)=0),1,"")</x:f>
      </x:c>
      <x:c r="P23" s="100" t="str">
        <x:f>IF(AND(ISNUMBER($D23),ISNUMBER($E23),P$4&gt;=$D23,P$4&lt;=$E23,WEEKDAY(P$4,2)&lt;=5,COUNTIF('Sources &amp; Change Log'!$J$2:$J$5,P$4)=0,COUNTIFS('Team Calendar'!$A$5:$A$12,$F23,'Team Calendar'!$C$5:$C$12,P$4)=0),1,"")</x:f>
      </x:c>
      <x:c r="Q23" s="100" t="str">
        <x:f>IF(AND(ISNUMBER($D23),ISNUMBER($E23),Q$4&gt;=$D23,Q$4&lt;=$E23,WEEKDAY(Q$4,2)&lt;=5,COUNTIF('Sources &amp; Change Log'!$J$2:$J$5,Q$4)=0,COUNTIFS('Team Calendar'!$A$5:$A$12,$F23,'Team Calendar'!$C$5:$C$12,Q$4)=0),1,"")</x:f>
      </x:c>
      <x:c r="R23" s="100" t="str">
        <x:f>IF(AND(ISNUMBER($D23),ISNUMBER($E23),R$4&gt;=$D23,R$4&lt;=$E23,WEEKDAY(R$4,2)&lt;=5,COUNTIF('Sources &amp; Change Log'!$J$2:$J$5,R$4)=0,COUNTIFS('Team Calendar'!$A$5:$A$12,$F23,'Team Calendar'!$C$5:$C$12,R$4)=0),1,"")</x:f>
      </x:c>
      <x:c r="S23" s="107" t="str">
        <x:f>IF(AND(ISNUMBER($D23),ISNUMBER($E23),S$4&gt;=$D23,S$4&lt;=$E23,WEEKDAY(S$4,2)&lt;=5,COUNTIF('Sources &amp; Change Log'!$J$2:$J$5,S$4)=0,COUNTIFS('Team Calendar'!$A$5:$A$12,$F23,'Team Calendar'!$C$5:$C$12,S$4)=0),1,"")</x:f>
      </x:c>
      <x:c r="T23" s="107" t="str">
        <x:f>IF(AND(ISNUMBER($D23),ISNUMBER($E23),T$4&gt;=$D23,T$4&lt;=$E23,WEEKDAY(T$4,2)&lt;=5,COUNTIF('Sources &amp; Change Log'!$J$2:$J$5,T$4)=0,COUNTIFS('Team Calendar'!$A$5:$A$12,$F23,'Team Calendar'!$C$5:$C$12,T$4)=0),1,"")</x:f>
      </x:c>
      <x:c r="U23" s="100" t="str">
        <x:f>IF(AND(ISNUMBER($D23),ISNUMBER($E23),U$4&gt;=$D23,U$4&lt;=$E23,WEEKDAY(U$4,2)&lt;=5,COUNTIF('Sources &amp; Change Log'!$J$2:$J$5,U$4)=0,COUNTIFS('Team Calendar'!$A$5:$A$12,$F23,'Team Calendar'!$C$5:$C$12,U$4)=0),1,"")</x:f>
      </x:c>
      <x:c r="V23" s="100" t="str">
        <x:f>IF(AND(ISNUMBER($D23),ISNUMBER($E23),V$4&gt;=$D23,V$4&lt;=$E23,WEEKDAY(V$4,2)&lt;=5,COUNTIF('Sources &amp; Change Log'!$J$2:$J$5,V$4)=0,COUNTIFS('Team Calendar'!$A$5:$A$12,$F23,'Team Calendar'!$C$5:$C$12,V$4)=0),1,"")</x:f>
      </x:c>
      <x:c r="W23" s="100" t="str">
        <x:f>IF(AND(ISNUMBER($D23),ISNUMBER($E23),W$4&gt;=$D23,W$4&lt;=$E23,WEEKDAY(W$4,2)&lt;=5,COUNTIF('Sources &amp; Change Log'!$J$2:$J$5,W$4)=0,COUNTIFS('Team Calendar'!$A$5:$A$12,$F23,'Team Calendar'!$C$5:$C$12,W$4)=0),1,"")</x:f>
      </x:c>
      <x:c r="X23" s="100" t="str">
        <x:f>IF(AND(ISNUMBER($D23),ISNUMBER($E23),X$4&gt;=$D23,X$4&lt;=$E23,WEEKDAY(X$4,2)&lt;=5,COUNTIF('Sources &amp; Change Log'!$J$2:$J$5,X$4)=0,COUNTIFS('Team Calendar'!$A$5:$A$12,$F23,'Team Calendar'!$C$5:$C$12,X$4)=0),1,"")</x:f>
      </x:c>
      <x:c r="Y23" s="100" t="str">
        <x:f>IF(AND(ISNUMBER($D23),ISNUMBER($E23),Y$4&gt;=$D23,Y$4&lt;=$E23,WEEKDAY(Y$4,2)&lt;=5,COUNTIF('Sources &amp; Change Log'!$J$2:$J$5,Y$4)=0,COUNTIFS('Team Calendar'!$A$5:$A$12,$F23,'Team Calendar'!$C$5:$C$12,Y$4)=0),1,"")</x:f>
      </x:c>
      <x:c r="Z23" s="107" t="str">
        <x:f>IF(AND(ISNUMBER($D23),ISNUMBER($E23),Z$4&gt;=$D23,Z$4&lt;=$E23,WEEKDAY(Z$4,2)&lt;=5,COUNTIF('Sources &amp; Change Log'!$J$2:$J$5,Z$4)=0,COUNTIFS('Team Calendar'!$A$5:$A$12,$F23,'Team Calendar'!$C$5:$C$12,Z$4)=0),1,"")</x:f>
      </x:c>
      <x:c r="AA23" s="107" t="str">
        <x:f>IF(AND(ISNUMBER($D23),ISNUMBER($E23),AA$4&gt;=$D23,AA$4&lt;=$E23,WEEKDAY(AA$4,2)&lt;=5,COUNTIF('Sources &amp; Change Log'!$J$2:$J$5,AA$4)=0,COUNTIFS('Team Calendar'!$A$5:$A$12,$F23,'Team Calendar'!$C$5:$C$12,AA$4)=0),1,"")</x:f>
      </x:c>
      <x:c r="AB23" s="100" t="n">
        <x:f>IF(AND(ISNUMBER($D23),ISNUMBER($E23),AB$4&gt;=$D23,AB$4&lt;=$E23,WEEKDAY(AB$4,2)&lt;=5,COUNTIF('Sources &amp; Change Log'!$J$2:$J$5,AB$4)=0,COUNTIFS('Team Calendar'!$A$5:$A$12,$F23,'Team Calendar'!$C$5:$C$12,AB$4)=0),1,"")</x:f>
        <x:v>1</x:v>
      </x:c>
      <x:c r="AC23" s="100" t="n">
        <x:f>IF(AND(ISNUMBER($D23),ISNUMBER($E23),AC$4&gt;=$D23,AC$4&lt;=$E23,WEEKDAY(AC$4,2)&lt;=5,COUNTIF('Sources &amp; Change Log'!$J$2:$J$5,AC$4)=0,COUNTIFS('Team Calendar'!$A$5:$A$12,$F23,'Team Calendar'!$C$5:$C$12,AC$4)=0),1,"")</x:f>
        <x:v>1</x:v>
      </x:c>
      <x:c r="AD23" s="100" t="str">
        <x:f>IF(AND(ISNUMBER($D23),ISNUMBER($E23),AD$4&gt;=$D23,AD$4&lt;=$E23,WEEKDAY(AD$4,2)&lt;=5,COUNTIF('Sources &amp; Change Log'!$J$2:$J$5,AD$4)=0,COUNTIFS('Team Calendar'!$A$5:$A$12,$F23,'Team Calendar'!$C$5:$C$12,AD$4)=0),1,"")</x:f>
      </x:c>
      <x:c r="AE23" s="100" t="str">
        <x:f>IF(AND(ISNUMBER($D23),ISNUMBER($E23),AE$4&gt;=$D23,AE$4&lt;=$E23,WEEKDAY(AE$4,2)&lt;=5,COUNTIF('Sources &amp; Change Log'!$J$2:$J$5,AE$4)=0,COUNTIFS('Team Calendar'!$A$5:$A$12,$F23,'Team Calendar'!$C$5:$C$12,AE$4)=0),1,"")</x:f>
      </x:c>
      <x:c r="AF23" s="100" t="str">
        <x:f>IF(AND(ISNUMBER($D23),ISNUMBER($E23),AF$4&gt;=$D23,AF$4&lt;=$E23,WEEKDAY(AF$4,2)&lt;=5,COUNTIF('Sources &amp; Change Log'!$J$2:$J$5,AF$4)=0,COUNTIFS('Team Calendar'!$A$5:$A$12,$F23,'Team Calendar'!$C$5:$C$12,AF$4)=0),1,"")</x:f>
      </x:c>
      <x:c r="AG23" s="107" t="str">
        <x:f>IF(AND(ISNUMBER($D23),ISNUMBER($E23),AG$4&gt;=$D23,AG$4&lt;=$E23,WEEKDAY(AG$4,2)&lt;=5,COUNTIF('Sources &amp; Change Log'!$J$2:$J$5,AG$4)=0,COUNTIFS('Team Calendar'!$A$5:$A$12,$F23,'Team Calendar'!$C$5:$C$12,AG$4)=0),1,"")</x:f>
      </x:c>
      <x:c r="AH23" s="107" t="str">
        <x:f>IF(AND(ISNUMBER($D23),ISNUMBER($E23),AH$4&gt;=$D23,AH$4&lt;=$E23,WEEKDAY(AH$4,2)&lt;=5,COUNTIF('Sources &amp; Change Log'!$J$2:$J$5,AH$4)=0,COUNTIFS('Team Calendar'!$A$5:$A$12,$F23,'Team Calendar'!$C$5:$C$12,AH$4)=0),1,"")</x:f>
      </x:c>
      <x:c r="AI23" s="100" t="str">
        <x:f>IF(AND(ISNUMBER($D23),ISNUMBER($E23),AI$4&gt;=$D23,AI$4&lt;=$E23,WEEKDAY(AI$4,2)&lt;=5,COUNTIF('Sources &amp; Change Log'!$J$2:$J$5,AI$4)=0,COUNTIFS('Team Calendar'!$A$5:$A$12,$F23,'Team Calendar'!$C$5:$C$12,AI$4)=0),1,"")</x:f>
      </x:c>
    </x:row>
    <x:row r="24" ht="24" customHeight="1">
      <x:c r="A24" s="13" t="str">
        <x:f>WBS!A50</x:f>
        <x:v>DEC-CAL-P2-01</x:v>
      </x:c>
      <x:c r="B24" s="13" t="str">
        <x:f>WBS!B50</x:f>
        <x:v>Phase 2 Weekend Review Decision</x:v>
      </x:c>
      <x:c r="C24" s="13" t="str">
        <x:f>WBS!G50</x:f>
        <x:v>To Do</x:v>
      </x:c>
      <x:c r="D24" s="86" t="n">
        <x:f>IF(WBS!H50="","",WBS!H50)</x:f>
        <x:v>46317</x:v>
      </x:c>
      <x:c r="E24" s="86" t="n">
        <x:f>IF(WBS!I50="","",WBS!I50)</x:f>
        <x:v>46317</x:v>
      </x:c>
      <x:c r="F24" s="13" t="str">
        <x:f>WBS!L50</x:f>
        <x:v>이권욱</x:v>
      </x:c>
      <x:c r="G24" s="100" t="str">
        <x:f>IF(AND(ISNUMBER($D24),ISNUMBER($E24),G$4&gt;=$D24,G$4&lt;=$E24,WEEKDAY(G$4,2)&lt;=5,COUNTIF('Sources &amp; Change Log'!$J$2:$J$5,G$4)=0,COUNTIFS('Team Calendar'!$A$5:$A$12,$F24,'Team Calendar'!$C$5:$C$12,G$4)=0),1,"")</x:f>
      </x:c>
      <x:c r="H24" s="100" t="str">
        <x:f>IF(AND(ISNUMBER($D24),ISNUMBER($E24),H$4&gt;=$D24,H$4&lt;=$E24,WEEKDAY(H$4,2)&lt;=5,COUNTIF('Sources &amp; Change Log'!$J$2:$J$5,H$4)=0,COUNTIFS('Team Calendar'!$A$5:$A$12,$F24,'Team Calendar'!$C$5:$C$12,H$4)=0),1,"")</x:f>
      </x:c>
      <x:c r="I24" s="100" t="str">
        <x:f>IF(AND(ISNUMBER($D24),ISNUMBER($E24),I$4&gt;=$D24,I$4&lt;=$E24,WEEKDAY(I$4,2)&lt;=5,COUNTIF('Sources &amp; Change Log'!$J$2:$J$5,I$4)=0,COUNTIFS('Team Calendar'!$A$5:$A$12,$F24,'Team Calendar'!$C$5:$C$12,I$4)=0),1,"")</x:f>
      </x:c>
      <x:c r="J24" s="100" t="str">
        <x:f>IF(AND(ISNUMBER($D24),ISNUMBER($E24),J$4&gt;=$D24,J$4&lt;=$E24,WEEKDAY(J$4,2)&lt;=5,COUNTIF('Sources &amp; Change Log'!$J$2:$J$5,J$4)=0,COUNTIFS('Team Calendar'!$A$5:$A$12,$F24,'Team Calendar'!$C$5:$C$12,J$4)=0),1,"")</x:f>
      </x:c>
      <x:c r="K24" s="100" t="str">
        <x:f>IF(AND(ISNUMBER($D24),ISNUMBER($E24),K$4&gt;=$D24,K$4&lt;=$E24,WEEKDAY(K$4,2)&lt;=5,COUNTIF('Sources &amp; Change Log'!$J$2:$J$5,K$4)=0,COUNTIFS('Team Calendar'!$A$5:$A$12,$F24,'Team Calendar'!$C$5:$C$12,K$4)=0),1,"")</x:f>
      </x:c>
      <x:c r="L24" s="107" t="str">
        <x:f>IF(AND(ISNUMBER($D24),ISNUMBER($E24),L$4&gt;=$D24,L$4&lt;=$E24,WEEKDAY(L$4,2)&lt;=5,COUNTIF('Sources &amp; Change Log'!$J$2:$J$5,L$4)=0,COUNTIFS('Team Calendar'!$A$5:$A$12,$F24,'Team Calendar'!$C$5:$C$12,L$4)=0),1,"")</x:f>
      </x:c>
      <x:c r="M24" s="107" t="str">
        <x:f>IF(AND(ISNUMBER($D24),ISNUMBER($E24),M$4&gt;=$D24,M$4&lt;=$E24,WEEKDAY(M$4,2)&lt;=5,COUNTIF('Sources &amp; Change Log'!$J$2:$J$5,M$4)=0,COUNTIFS('Team Calendar'!$A$5:$A$12,$F24,'Team Calendar'!$C$5:$C$12,M$4)=0),1,"")</x:f>
      </x:c>
      <x:c r="N24" s="100" t="str">
        <x:f>IF(AND(ISNUMBER($D24),ISNUMBER($E24),N$4&gt;=$D24,N$4&lt;=$E24,WEEKDAY(N$4,2)&lt;=5,COUNTIF('Sources &amp; Change Log'!$J$2:$J$5,N$4)=0,COUNTIFS('Team Calendar'!$A$5:$A$12,$F24,'Team Calendar'!$C$5:$C$12,N$4)=0),1,"")</x:f>
      </x:c>
      <x:c r="O24" s="100" t="str">
        <x:f>IF(AND(ISNUMBER($D24),ISNUMBER($E24),O$4&gt;=$D24,O$4&lt;=$E24,WEEKDAY(O$4,2)&lt;=5,COUNTIF('Sources &amp; Change Log'!$J$2:$J$5,O$4)=0,COUNTIFS('Team Calendar'!$A$5:$A$12,$F24,'Team Calendar'!$C$5:$C$12,O$4)=0),1,"")</x:f>
      </x:c>
      <x:c r="P24" s="100" t="str">
        <x:f>IF(AND(ISNUMBER($D24),ISNUMBER($E24),P$4&gt;=$D24,P$4&lt;=$E24,WEEKDAY(P$4,2)&lt;=5,COUNTIF('Sources &amp; Change Log'!$J$2:$J$5,P$4)=0,COUNTIFS('Team Calendar'!$A$5:$A$12,$F24,'Team Calendar'!$C$5:$C$12,P$4)=0),1,"")</x:f>
      </x:c>
      <x:c r="Q24" s="100" t="str">
        <x:f>IF(AND(ISNUMBER($D24),ISNUMBER($E24),Q$4&gt;=$D24,Q$4&lt;=$E24,WEEKDAY(Q$4,2)&lt;=5,COUNTIF('Sources &amp; Change Log'!$J$2:$J$5,Q$4)=0,COUNTIFS('Team Calendar'!$A$5:$A$12,$F24,'Team Calendar'!$C$5:$C$12,Q$4)=0),1,"")</x:f>
      </x:c>
      <x:c r="R24" s="100" t="str">
        <x:f>IF(AND(ISNUMBER($D24),ISNUMBER($E24),R$4&gt;=$D24,R$4&lt;=$E24,WEEKDAY(R$4,2)&lt;=5,COUNTIF('Sources &amp; Change Log'!$J$2:$J$5,R$4)=0,COUNTIFS('Team Calendar'!$A$5:$A$12,$F24,'Team Calendar'!$C$5:$C$12,R$4)=0),1,"")</x:f>
      </x:c>
      <x:c r="S24" s="107" t="str">
        <x:f>IF(AND(ISNUMBER($D24),ISNUMBER($E24),S$4&gt;=$D24,S$4&lt;=$E24,WEEKDAY(S$4,2)&lt;=5,COUNTIF('Sources &amp; Change Log'!$J$2:$J$5,S$4)=0,COUNTIFS('Team Calendar'!$A$5:$A$12,$F24,'Team Calendar'!$C$5:$C$12,S$4)=0),1,"")</x:f>
      </x:c>
      <x:c r="T24" s="107" t="str">
        <x:f>IF(AND(ISNUMBER($D24),ISNUMBER($E24),T$4&gt;=$D24,T$4&lt;=$E24,WEEKDAY(T$4,2)&lt;=5,COUNTIF('Sources &amp; Change Log'!$J$2:$J$5,T$4)=0,COUNTIFS('Team Calendar'!$A$5:$A$12,$F24,'Team Calendar'!$C$5:$C$12,T$4)=0),1,"")</x:f>
      </x:c>
      <x:c r="U24" s="100" t="str">
        <x:f>IF(AND(ISNUMBER($D24),ISNUMBER($E24),U$4&gt;=$D24,U$4&lt;=$E24,WEEKDAY(U$4,2)&lt;=5,COUNTIF('Sources &amp; Change Log'!$J$2:$J$5,U$4)=0,COUNTIFS('Team Calendar'!$A$5:$A$12,$F24,'Team Calendar'!$C$5:$C$12,U$4)=0),1,"")</x:f>
      </x:c>
      <x:c r="V24" s="100" t="str">
        <x:f>IF(AND(ISNUMBER($D24),ISNUMBER($E24),V$4&gt;=$D24,V$4&lt;=$E24,WEEKDAY(V$4,2)&lt;=5,COUNTIF('Sources &amp; Change Log'!$J$2:$J$5,V$4)=0,COUNTIFS('Team Calendar'!$A$5:$A$12,$F24,'Team Calendar'!$C$5:$C$12,V$4)=0),1,"")</x:f>
      </x:c>
      <x:c r="W24" s="100" t="str">
        <x:f>IF(AND(ISNUMBER($D24),ISNUMBER($E24),W$4&gt;=$D24,W$4&lt;=$E24,WEEKDAY(W$4,2)&lt;=5,COUNTIF('Sources &amp; Change Log'!$J$2:$J$5,W$4)=0,COUNTIFS('Team Calendar'!$A$5:$A$12,$F24,'Team Calendar'!$C$5:$C$12,W$4)=0),1,"")</x:f>
      </x:c>
      <x:c r="X24" s="100" t="str">
        <x:f>IF(AND(ISNUMBER($D24),ISNUMBER($E24),X$4&gt;=$D24,X$4&lt;=$E24,WEEKDAY(X$4,2)&lt;=5,COUNTIF('Sources &amp; Change Log'!$J$2:$J$5,X$4)=0,COUNTIFS('Team Calendar'!$A$5:$A$12,$F24,'Team Calendar'!$C$5:$C$12,X$4)=0),1,"")</x:f>
      </x:c>
      <x:c r="Y24" s="100" t="str">
        <x:f>IF(AND(ISNUMBER($D24),ISNUMBER($E24),Y$4&gt;=$D24,Y$4&lt;=$E24,WEEKDAY(Y$4,2)&lt;=5,COUNTIF('Sources &amp; Change Log'!$J$2:$J$5,Y$4)=0,COUNTIFS('Team Calendar'!$A$5:$A$12,$F24,'Team Calendar'!$C$5:$C$12,Y$4)=0),1,"")</x:f>
      </x:c>
      <x:c r="Z24" s="107" t="str">
        <x:f>IF(AND(ISNUMBER($D24),ISNUMBER($E24),Z$4&gt;=$D24,Z$4&lt;=$E24,WEEKDAY(Z$4,2)&lt;=5,COUNTIF('Sources &amp; Change Log'!$J$2:$J$5,Z$4)=0,COUNTIFS('Team Calendar'!$A$5:$A$12,$F24,'Team Calendar'!$C$5:$C$12,Z$4)=0),1,"")</x:f>
      </x:c>
      <x:c r="AA24" s="107" t="str">
        <x:f>IF(AND(ISNUMBER($D24),ISNUMBER($E24),AA$4&gt;=$D24,AA$4&lt;=$E24,WEEKDAY(AA$4,2)&lt;=5,COUNTIF('Sources &amp; Change Log'!$J$2:$J$5,AA$4)=0,COUNTIFS('Team Calendar'!$A$5:$A$12,$F24,'Team Calendar'!$C$5:$C$12,AA$4)=0),1,"")</x:f>
      </x:c>
      <x:c r="AB24" s="100" t="str">
        <x:f>IF(AND(ISNUMBER($D24),ISNUMBER($E24),AB$4&gt;=$D24,AB$4&lt;=$E24,WEEKDAY(AB$4,2)&lt;=5,COUNTIF('Sources &amp; Change Log'!$J$2:$J$5,AB$4)=0,COUNTIFS('Team Calendar'!$A$5:$A$12,$F24,'Team Calendar'!$C$5:$C$12,AB$4)=0),1,"")</x:f>
      </x:c>
      <x:c r="AC24" s="100" t="str">
        <x:f>IF(AND(ISNUMBER($D24),ISNUMBER($E24),AC$4&gt;=$D24,AC$4&lt;=$E24,WEEKDAY(AC$4,2)&lt;=5,COUNTIF('Sources &amp; Change Log'!$J$2:$J$5,AC$4)=0,COUNTIFS('Team Calendar'!$A$5:$A$12,$F24,'Team Calendar'!$C$5:$C$12,AC$4)=0),1,"")</x:f>
      </x:c>
      <x:c r="AD24" s="100" t="str">
        <x:f>IF(AND(ISNUMBER($D24),ISNUMBER($E24),AD$4&gt;=$D24,AD$4&lt;=$E24,WEEKDAY(AD$4,2)&lt;=5,COUNTIF('Sources &amp; Change Log'!$J$2:$J$5,AD$4)=0,COUNTIFS('Team Calendar'!$A$5:$A$12,$F24,'Team Calendar'!$C$5:$C$12,AD$4)=0),1,"")</x:f>
      </x:c>
      <x:c r="AE24" s="100" t="n">
        <x:f>IF(AND(ISNUMBER($D24),ISNUMBER($E24),AE$4&gt;=$D24,AE$4&lt;=$E24,WEEKDAY(AE$4,2)&lt;=5,COUNTIF('Sources &amp; Change Log'!$J$2:$J$5,AE$4)=0,COUNTIFS('Team Calendar'!$A$5:$A$12,$F24,'Team Calendar'!$C$5:$C$12,AE$4)=0),1,"")</x:f>
        <x:v>1</x:v>
      </x:c>
      <x:c r="AF24" s="100" t="str">
        <x:f>IF(AND(ISNUMBER($D24),ISNUMBER($E24),AF$4&gt;=$D24,AF$4&lt;=$E24,WEEKDAY(AF$4,2)&lt;=5,COUNTIF('Sources &amp; Change Log'!$J$2:$J$5,AF$4)=0,COUNTIFS('Team Calendar'!$A$5:$A$12,$F24,'Team Calendar'!$C$5:$C$12,AF$4)=0),1,"")</x:f>
      </x:c>
      <x:c r="AG24" s="107" t="str">
        <x:f>IF(AND(ISNUMBER($D24),ISNUMBER($E24),AG$4&gt;=$D24,AG$4&lt;=$E24,WEEKDAY(AG$4,2)&lt;=5,COUNTIF('Sources &amp; Change Log'!$J$2:$J$5,AG$4)=0,COUNTIFS('Team Calendar'!$A$5:$A$12,$F24,'Team Calendar'!$C$5:$C$12,AG$4)=0),1,"")</x:f>
      </x:c>
      <x:c r="AH24" s="107" t="str">
        <x:f>IF(AND(ISNUMBER($D24),ISNUMBER($E24),AH$4&gt;=$D24,AH$4&lt;=$E24,WEEKDAY(AH$4,2)&lt;=5,COUNTIF('Sources &amp; Change Log'!$J$2:$J$5,AH$4)=0,COUNTIFS('Team Calendar'!$A$5:$A$12,$F24,'Team Calendar'!$C$5:$C$12,AH$4)=0),1,"")</x:f>
      </x:c>
      <x:c r="AI24" s="100" t="str">
        <x:f>IF(AND(ISNUMBER($D24),ISNUMBER($E24),AI$4&gt;=$D24,AI$4&lt;=$E24,WEEKDAY(AI$4,2)&lt;=5,COUNTIF('Sources &amp; Change Log'!$J$2:$J$5,AI$4)=0,COUNTIFS('Team Calendar'!$A$5:$A$12,$F24,'Team Calendar'!$C$5:$C$12,AI$4)=0),1,"")</x:f>
      </x:c>
    </x:row>
    <x:row r="25" ht="24" customHeight="1">
      <x:c r="A25" s="13" t="str">
        <x:f>WBS!A51</x:f>
        <x:v>MS-G6-01</x:v>
      </x:c>
      <x:c r="B25" s="13" t="str">
        <x:f>WBS!B51</x:f>
        <x:v>G6 Hybrid Integration Ready</x:v>
      </x:c>
      <x:c r="C25" s="13" t="str">
        <x:f>WBS!G51</x:f>
        <x:v>To Do</x:v>
      </x:c>
      <x:c r="D25" s="86" t="n">
        <x:f>IF(WBS!H51="","",WBS!H51)</x:f>
        <x:v>46317</x:v>
      </x:c>
      <x:c r="E25" s="86" t="n">
        <x:f>IF(WBS!I51="","",WBS!I51)</x:f>
        <x:v>46317</x:v>
      </x:c>
      <x:c r="F25" s="13" t="str">
        <x:f>WBS!L51</x:f>
        <x:v>이권욱</x:v>
      </x:c>
      <x:c r="G25" s="100" t="str">
        <x:f>IF(AND(ISNUMBER($D25),ISNUMBER($E25),G$4&gt;=$D25,G$4&lt;=$E25,WEEKDAY(G$4,2)&lt;=5,COUNTIF('Sources &amp; Change Log'!$J$2:$J$5,G$4)=0,COUNTIFS('Team Calendar'!$A$5:$A$12,$F25,'Team Calendar'!$C$5:$C$12,G$4)=0),1,"")</x:f>
      </x:c>
      <x:c r="H25" s="100" t="str">
        <x:f>IF(AND(ISNUMBER($D25),ISNUMBER($E25),H$4&gt;=$D25,H$4&lt;=$E25,WEEKDAY(H$4,2)&lt;=5,COUNTIF('Sources &amp; Change Log'!$J$2:$J$5,H$4)=0,COUNTIFS('Team Calendar'!$A$5:$A$12,$F25,'Team Calendar'!$C$5:$C$12,H$4)=0),1,"")</x:f>
      </x:c>
      <x:c r="I25" s="100" t="str">
        <x:f>IF(AND(ISNUMBER($D25),ISNUMBER($E25),I$4&gt;=$D25,I$4&lt;=$E25,WEEKDAY(I$4,2)&lt;=5,COUNTIF('Sources &amp; Change Log'!$J$2:$J$5,I$4)=0,COUNTIFS('Team Calendar'!$A$5:$A$12,$F25,'Team Calendar'!$C$5:$C$12,I$4)=0),1,"")</x:f>
      </x:c>
      <x:c r="J25" s="100" t="str">
        <x:f>IF(AND(ISNUMBER($D25),ISNUMBER($E25),J$4&gt;=$D25,J$4&lt;=$E25,WEEKDAY(J$4,2)&lt;=5,COUNTIF('Sources &amp; Change Log'!$J$2:$J$5,J$4)=0,COUNTIFS('Team Calendar'!$A$5:$A$12,$F25,'Team Calendar'!$C$5:$C$12,J$4)=0),1,"")</x:f>
      </x:c>
      <x:c r="K25" s="100" t="str">
        <x:f>IF(AND(ISNUMBER($D25),ISNUMBER($E25),K$4&gt;=$D25,K$4&lt;=$E25,WEEKDAY(K$4,2)&lt;=5,COUNTIF('Sources &amp; Change Log'!$J$2:$J$5,K$4)=0,COUNTIFS('Team Calendar'!$A$5:$A$12,$F25,'Team Calendar'!$C$5:$C$12,K$4)=0),1,"")</x:f>
      </x:c>
      <x:c r="L25" s="107" t="str">
        <x:f>IF(AND(ISNUMBER($D25),ISNUMBER($E25),L$4&gt;=$D25,L$4&lt;=$E25,WEEKDAY(L$4,2)&lt;=5,COUNTIF('Sources &amp; Change Log'!$J$2:$J$5,L$4)=0,COUNTIFS('Team Calendar'!$A$5:$A$12,$F25,'Team Calendar'!$C$5:$C$12,L$4)=0),1,"")</x:f>
      </x:c>
      <x:c r="M25" s="107" t="str">
        <x:f>IF(AND(ISNUMBER($D25),ISNUMBER($E25),M$4&gt;=$D25,M$4&lt;=$E25,WEEKDAY(M$4,2)&lt;=5,COUNTIF('Sources &amp; Change Log'!$J$2:$J$5,M$4)=0,COUNTIFS('Team Calendar'!$A$5:$A$12,$F25,'Team Calendar'!$C$5:$C$12,M$4)=0),1,"")</x:f>
      </x:c>
      <x:c r="N25" s="100" t="str">
        <x:f>IF(AND(ISNUMBER($D25),ISNUMBER($E25),N$4&gt;=$D25,N$4&lt;=$E25,WEEKDAY(N$4,2)&lt;=5,COUNTIF('Sources &amp; Change Log'!$J$2:$J$5,N$4)=0,COUNTIFS('Team Calendar'!$A$5:$A$12,$F25,'Team Calendar'!$C$5:$C$12,N$4)=0),1,"")</x:f>
      </x:c>
      <x:c r="O25" s="100" t="str">
        <x:f>IF(AND(ISNUMBER($D25),ISNUMBER($E25),O$4&gt;=$D25,O$4&lt;=$E25,WEEKDAY(O$4,2)&lt;=5,COUNTIF('Sources &amp; Change Log'!$J$2:$J$5,O$4)=0,COUNTIFS('Team Calendar'!$A$5:$A$12,$F25,'Team Calendar'!$C$5:$C$12,O$4)=0),1,"")</x:f>
      </x:c>
      <x:c r="P25" s="100" t="str">
        <x:f>IF(AND(ISNUMBER($D25),ISNUMBER($E25),P$4&gt;=$D25,P$4&lt;=$E25,WEEKDAY(P$4,2)&lt;=5,COUNTIF('Sources &amp; Change Log'!$J$2:$J$5,P$4)=0,COUNTIFS('Team Calendar'!$A$5:$A$12,$F25,'Team Calendar'!$C$5:$C$12,P$4)=0),1,"")</x:f>
      </x:c>
      <x:c r="Q25" s="100" t="str">
        <x:f>IF(AND(ISNUMBER($D25),ISNUMBER($E25),Q$4&gt;=$D25,Q$4&lt;=$E25,WEEKDAY(Q$4,2)&lt;=5,COUNTIF('Sources &amp; Change Log'!$J$2:$J$5,Q$4)=0,COUNTIFS('Team Calendar'!$A$5:$A$12,$F25,'Team Calendar'!$C$5:$C$12,Q$4)=0),1,"")</x:f>
      </x:c>
      <x:c r="R25" s="100" t="str">
        <x:f>IF(AND(ISNUMBER($D25),ISNUMBER($E25),R$4&gt;=$D25,R$4&lt;=$E25,WEEKDAY(R$4,2)&lt;=5,COUNTIF('Sources &amp; Change Log'!$J$2:$J$5,R$4)=0,COUNTIFS('Team Calendar'!$A$5:$A$12,$F25,'Team Calendar'!$C$5:$C$12,R$4)=0),1,"")</x:f>
      </x:c>
      <x:c r="S25" s="107" t="str">
        <x:f>IF(AND(ISNUMBER($D25),ISNUMBER($E25),S$4&gt;=$D25,S$4&lt;=$E25,WEEKDAY(S$4,2)&lt;=5,COUNTIF('Sources &amp; Change Log'!$J$2:$J$5,S$4)=0,COUNTIFS('Team Calendar'!$A$5:$A$12,$F25,'Team Calendar'!$C$5:$C$12,S$4)=0),1,"")</x:f>
      </x:c>
      <x:c r="T25" s="107" t="str">
        <x:f>IF(AND(ISNUMBER($D25),ISNUMBER($E25),T$4&gt;=$D25,T$4&lt;=$E25,WEEKDAY(T$4,2)&lt;=5,COUNTIF('Sources &amp; Change Log'!$J$2:$J$5,T$4)=0,COUNTIFS('Team Calendar'!$A$5:$A$12,$F25,'Team Calendar'!$C$5:$C$12,T$4)=0),1,"")</x:f>
      </x:c>
      <x:c r="U25" s="100" t="str">
        <x:f>IF(AND(ISNUMBER($D25),ISNUMBER($E25),U$4&gt;=$D25,U$4&lt;=$E25,WEEKDAY(U$4,2)&lt;=5,COUNTIF('Sources &amp; Change Log'!$J$2:$J$5,U$4)=0,COUNTIFS('Team Calendar'!$A$5:$A$12,$F25,'Team Calendar'!$C$5:$C$12,U$4)=0),1,"")</x:f>
      </x:c>
      <x:c r="V25" s="100" t="str">
        <x:f>IF(AND(ISNUMBER($D25),ISNUMBER($E25),V$4&gt;=$D25,V$4&lt;=$E25,WEEKDAY(V$4,2)&lt;=5,COUNTIF('Sources &amp; Change Log'!$J$2:$J$5,V$4)=0,COUNTIFS('Team Calendar'!$A$5:$A$12,$F25,'Team Calendar'!$C$5:$C$12,V$4)=0),1,"")</x:f>
      </x:c>
      <x:c r="W25" s="100" t="str">
        <x:f>IF(AND(ISNUMBER($D25),ISNUMBER($E25),W$4&gt;=$D25,W$4&lt;=$E25,WEEKDAY(W$4,2)&lt;=5,COUNTIF('Sources &amp; Change Log'!$J$2:$J$5,W$4)=0,COUNTIFS('Team Calendar'!$A$5:$A$12,$F25,'Team Calendar'!$C$5:$C$12,W$4)=0),1,"")</x:f>
      </x:c>
      <x:c r="X25" s="100" t="str">
        <x:f>IF(AND(ISNUMBER($D25),ISNUMBER($E25),X$4&gt;=$D25,X$4&lt;=$E25,WEEKDAY(X$4,2)&lt;=5,COUNTIF('Sources &amp; Change Log'!$J$2:$J$5,X$4)=0,COUNTIFS('Team Calendar'!$A$5:$A$12,$F25,'Team Calendar'!$C$5:$C$12,X$4)=0),1,"")</x:f>
      </x:c>
      <x:c r="Y25" s="100" t="str">
        <x:f>IF(AND(ISNUMBER($D25),ISNUMBER($E25),Y$4&gt;=$D25,Y$4&lt;=$E25,WEEKDAY(Y$4,2)&lt;=5,COUNTIF('Sources &amp; Change Log'!$J$2:$J$5,Y$4)=0,COUNTIFS('Team Calendar'!$A$5:$A$12,$F25,'Team Calendar'!$C$5:$C$12,Y$4)=0),1,"")</x:f>
      </x:c>
      <x:c r="Z25" s="107" t="str">
        <x:f>IF(AND(ISNUMBER($D25),ISNUMBER($E25),Z$4&gt;=$D25,Z$4&lt;=$E25,WEEKDAY(Z$4,2)&lt;=5,COUNTIF('Sources &amp; Change Log'!$J$2:$J$5,Z$4)=0,COUNTIFS('Team Calendar'!$A$5:$A$12,$F25,'Team Calendar'!$C$5:$C$12,Z$4)=0),1,"")</x:f>
      </x:c>
      <x:c r="AA25" s="107" t="str">
        <x:f>IF(AND(ISNUMBER($D25),ISNUMBER($E25),AA$4&gt;=$D25,AA$4&lt;=$E25,WEEKDAY(AA$4,2)&lt;=5,COUNTIF('Sources &amp; Change Log'!$J$2:$J$5,AA$4)=0,COUNTIFS('Team Calendar'!$A$5:$A$12,$F25,'Team Calendar'!$C$5:$C$12,AA$4)=0),1,"")</x:f>
      </x:c>
      <x:c r="AB25" s="100" t="str">
        <x:f>IF(AND(ISNUMBER($D25),ISNUMBER($E25),AB$4&gt;=$D25,AB$4&lt;=$E25,WEEKDAY(AB$4,2)&lt;=5,COUNTIF('Sources &amp; Change Log'!$J$2:$J$5,AB$4)=0,COUNTIFS('Team Calendar'!$A$5:$A$12,$F25,'Team Calendar'!$C$5:$C$12,AB$4)=0),1,"")</x:f>
      </x:c>
      <x:c r="AC25" s="100" t="str">
        <x:f>IF(AND(ISNUMBER($D25),ISNUMBER($E25),AC$4&gt;=$D25,AC$4&lt;=$E25,WEEKDAY(AC$4,2)&lt;=5,COUNTIF('Sources &amp; Change Log'!$J$2:$J$5,AC$4)=0,COUNTIFS('Team Calendar'!$A$5:$A$12,$F25,'Team Calendar'!$C$5:$C$12,AC$4)=0),1,"")</x:f>
      </x:c>
      <x:c r="AD25" s="100" t="str">
        <x:f>IF(AND(ISNUMBER($D25),ISNUMBER($E25),AD$4&gt;=$D25,AD$4&lt;=$E25,WEEKDAY(AD$4,2)&lt;=5,COUNTIF('Sources &amp; Change Log'!$J$2:$J$5,AD$4)=0,COUNTIFS('Team Calendar'!$A$5:$A$12,$F25,'Team Calendar'!$C$5:$C$12,AD$4)=0),1,"")</x:f>
      </x:c>
      <x:c r="AE25" s="100" t="n">
        <x:f>IF(AND(ISNUMBER($D25),ISNUMBER($E25),AE$4&gt;=$D25,AE$4&lt;=$E25,WEEKDAY(AE$4,2)&lt;=5,COUNTIF('Sources &amp; Change Log'!$J$2:$J$5,AE$4)=0,COUNTIFS('Team Calendar'!$A$5:$A$12,$F25,'Team Calendar'!$C$5:$C$12,AE$4)=0),1,"")</x:f>
        <x:v>1</x:v>
      </x:c>
      <x:c r="AF25" s="100" t="str">
        <x:f>IF(AND(ISNUMBER($D25),ISNUMBER($E25),AF$4&gt;=$D25,AF$4&lt;=$E25,WEEKDAY(AF$4,2)&lt;=5,COUNTIF('Sources &amp; Change Log'!$J$2:$J$5,AF$4)=0,COUNTIFS('Team Calendar'!$A$5:$A$12,$F25,'Team Calendar'!$C$5:$C$12,AF$4)=0),1,"")</x:f>
      </x:c>
      <x:c r="AG25" s="107" t="str">
        <x:f>IF(AND(ISNUMBER($D25),ISNUMBER($E25),AG$4&gt;=$D25,AG$4&lt;=$E25,WEEKDAY(AG$4,2)&lt;=5,COUNTIF('Sources &amp; Change Log'!$J$2:$J$5,AG$4)=0,COUNTIFS('Team Calendar'!$A$5:$A$12,$F25,'Team Calendar'!$C$5:$C$12,AG$4)=0),1,"")</x:f>
      </x:c>
      <x:c r="AH25" s="107" t="str">
        <x:f>IF(AND(ISNUMBER($D25),ISNUMBER($E25),AH$4&gt;=$D25,AH$4&lt;=$E25,WEEKDAY(AH$4,2)&lt;=5,COUNTIF('Sources &amp; Change Log'!$J$2:$J$5,AH$4)=0,COUNTIFS('Team Calendar'!$A$5:$A$12,$F25,'Team Calendar'!$C$5:$C$12,AH$4)=0),1,"")</x:f>
      </x:c>
      <x:c r="AI25" s="100" t="str">
        <x:f>IF(AND(ISNUMBER($D25),ISNUMBER($E25),AI$4&gt;=$D25,AI$4&lt;=$E25,WEEKDAY(AI$4,2)&lt;=5,COUNTIF('Sources &amp; Change Log'!$J$2:$J$5,AI$4)=0,COUNTIFS('Team Calendar'!$A$5:$A$12,$F25,'Team Calendar'!$C$5:$C$12,AI$4)=0),1,"")</x:f>
      </x:c>
    </x:row>
    <x:row r="26" ht="24" customHeight="1">
      <x:c r="A26" s="13" t="str">
        <x:f>WBS!A52</x:f>
        <x:v>MS-DELIVERABLE-FREEZE-01</x:v>
      </x:c>
      <x:c r="B26" s="13" t="str">
        <x:f>WBS!B52</x:f>
        <x:v>Deliverable Freeze</x:v>
      </x:c>
      <x:c r="C26" s="13" t="str">
        <x:f>WBS!G52</x:f>
        <x:v>To Do</x:v>
      </x:c>
      <x:c r="D26" s="86" t="n">
        <x:f>IF(WBS!H52="","",WBS!H52)</x:f>
        <x:v>46318</x:v>
      </x:c>
      <x:c r="E26" s="86" t="n">
        <x:f>IF(WBS!I52="","",WBS!I52)</x:f>
        <x:v>46318</x:v>
      </x:c>
      <x:c r="F26" s="13" t="str">
        <x:f>WBS!L52</x:f>
        <x:v>이권욱</x:v>
      </x:c>
      <x:c r="G26" s="100" t="str">
        <x:f>IF(AND(ISNUMBER($D26),ISNUMBER($E26),G$4&gt;=$D26,G$4&lt;=$E26,WEEKDAY(G$4,2)&lt;=5,COUNTIF('Sources &amp; Change Log'!$J$2:$J$5,G$4)=0,COUNTIFS('Team Calendar'!$A$5:$A$12,$F26,'Team Calendar'!$C$5:$C$12,G$4)=0),1,"")</x:f>
      </x:c>
      <x:c r="H26" s="100" t="str">
        <x:f>IF(AND(ISNUMBER($D26),ISNUMBER($E26),H$4&gt;=$D26,H$4&lt;=$E26,WEEKDAY(H$4,2)&lt;=5,COUNTIF('Sources &amp; Change Log'!$J$2:$J$5,H$4)=0,COUNTIFS('Team Calendar'!$A$5:$A$12,$F26,'Team Calendar'!$C$5:$C$12,H$4)=0),1,"")</x:f>
      </x:c>
      <x:c r="I26" s="100" t="str">
        <x:f>IF(AND(ISNUMBER($D26),ISNUMBER($E26),I$4&gt;=$D26,I$4&lt;=$E26,WEEKDAY(I$4,2)&lt;=5,COUNTIF('Sources &amp; Change Log'!$J$2:$J$5,I$4)=0,COUNTIFS('Team Calendar'!$A$5:$A$12,$F26,'Team Calendar'!$C$5:$C$12,I$4)=0),1,"")</x:f>
      </x:c>
      <x:c r="J26" s="100" t="str">
        <x:f>IF(AND(ISNUMBER($D26),ISNUMBER($E26),J$4&gt;=$D26,J$4&lt;=$E26,WEEKDAY(J$4,2)&lt;=5,COUNTIF('Sources &amp; Change Log'!$J$2:$J$5,J$4)=0,COUNTIFS('Team Calendar'!$A$5:$A$12,$F26,'Team Calendar'!$C$5:$C$12,J$4)=0),1,"")</x:f>
      </x:c>
      <x:c r="K26" s="100" t="str">
        <x:f>IF(AND(ISNUMBER($D26),ISNUMBER($E26),K$4&gt;=$D26,K$4&lt;=$E26,WEEKDAY(K$4,2)&lt;=5,COUNTIF('Sources &amp; Change Log'!$J$2:$J$5,K$4)=0,COUNTIFS('Team Calendar'!$A$5:$A$12,$F26,'Team Calendar'!$C$5:$C$12,K$4)=0),1,"")</x:f>
      </x:c>
      <x:c r="L26" s="107" t="str">
        <x:f>IF(AND(ISNUMBER($D26),ISNUMBER($E26),L$4&gt;=$D26,L$4&lt;=$E26,WEEKDAY(L$4,2)&lt;=5,COUNTIF('Sources &amp; Change Log'!$J$2:$J$5,L$4)=0,COUNTIFS('Team Calendar'!$A$5:$A$12,$F26,'Team Calendar'!$C$5:$C$12,L$4)=0),1,"")</x:f>
      </x:c>
      <x:c r="M26" s="107" t="str">
        <x:f>IF(AND(ISNUMBER($D26),ISNUMBER($E26),M$4&gt;=$D26,M$4&lt;=$E26,WEEKDAY(M$4,2)&lt;=5,COUNTIF('Sources &amp; Change Log'!$J$2:$J$5,M$4)=0,COUNTIFS('Team Calendar'!$A$5:$A$12,$F26,'Team Calendar'!$C$5:$C$12,M$4)=0),1,"")</x:f>
      </x:c>
      <x:c r="N26" s="100" t="str">
        <x:f>IF(AND(ISNUMBER($D26),ISNUMBER($E26),N$4&gt;=$D26,N$4&lt;=$E26,WEEKDAY(N$4,2)&lt;=5,COUNTIF('Sources &amp; Change Log'!$J$2:$J$5,N$4)=0,COUNTIFS('Team Calendar'!$A$5:$A$12,$F26,'Team Calendar'!$C$5:$C$12,N$4)=0),1,"")</x:f>
      </x:c>
      <x:c r="O26" s="100" t="str">
        <x:f>IF(AND(ISNUMBER($D26),ISNUMBER($E26),O$4&gt;=$D26,O$4&lt;=$E26,WEEKDAY(O$4,2)&lt;=5,COUNTIF('Sources &amp; Change Log'!$J$2:$J$5,O$4)=0,COUNTIFS('Team Calendar'!$A$5:$A$12,$F26,'Team Calendar'!$C$5:$C$12,O$4)=0),1,"")</x:f>
      </x:c>
      <x:c r="P26" s="100" t="str">
        <x:f>IF(AND(ISNUMBER($D26),ISNUMBER($E26),P$4&gt;=$D26,P$4&lt;=$E26,WEEKDAY(P$4,2)&lt;=5,COUNTIF('Sources &amp; Change Log'!$J$2:$J$5,P$4)=0,COUNTIFS('Team Calendar'!$A$5:$A$12,$F26,'Team Calendar'!$C$5:$C$12,P$4)=0),1,"")</x:f>
      </x:c>
      <x:c r="Q26" s="100" t="str">
        <x:f>IF(AND(ISNUMBER($D26),ISNUMBER($E26),Q$4&gt;=$D26,Q$4&lt;=$E26,WEEKDAY(Q$4,2)&lt;=5,COUNTIF('Sources &amp; Change Log'!$J$2:$J$5,Q$4)=0,COUNTIFS('Team Calendar'!$A$5:$A$12,$F26,'Team Calendar'!$C$5:$C$12,Q$4)=0),1,"")</x:f>
      </x:c>
      <x:c r="R26" s="100" t="str">
        <x:f>IF(AND(ISNUMBER($D26),ISNUMBER($E26),R$4&gt;=$D26,R$4&lt;=$E26,WEEKDAY(R$4,2)&lt;=5,COUNTIF('Sources &amp; Change Log'!$J$2:$J$5,R$4)=0,COUNTIFS('Team Calendar'!$A$5:$A$12,$F26,'Team Calendar'!$C$5:$C$12,R$4)=0),1,"")</x:f>
      </x:c>
      <x:c r="S26" s="107" t="str">
        <x:f>IF(AND(ISNUMBER($D26),ISNUMBER($E26),S$4&gt;=$D26,S$4&lt;=$E26,WEEKDAY(S$4,2)&lt;=5,COUNTIF('Sources &amp; Change Log'!$J$2:$J$5,S$4)=0,COUNTIFS('Team Calendar'!$A$5:$A$12,$F26,'Team Calendar'!$C$5:$C$12,S$4)=0),1,"")</x:f>
      </x:c>
      <x:c r="T26" s="107" t="str">
        <x:f>IF(AND(ISNUMBER($D26),ISNUMBER($E26),T$4&gt;=$D26,T$4&lt;=$E26,WEEKDAY(T$4,2)&lt;=5,COUNTIF('Sources &amp; Change Log'!$J$2:$J$5,T$4)=0,COUNTIFS('Team Calendar'!$A$5:$A$12,$F26,'Team Calendar'!$C$5:$C$12,T$4)=0),1,"")</x:f>
      </x:c>
      <x:c r="U26" s="100" t="str">
        <x:f>IF(AND(ISNUMBER($D26),ISNUMBER($E26),U$4&gt;=$D26,U$4&lt;=$E26,WEEKDAY(U$4,2)&lt;=5,COUNTIF('Sources &amp; Change Log'!$J$2:$J$5,U$4)=0,COUNTIFS('Team Calendar'!$A$5:$A$12,$F26,'Team Calendar'!$C$5:$C$12,U$4)=0),1,"")</x:f>
      </x:c>
      <x:c r="V26" s="100" t="str">
        <x:f>IF(AND(ISNUMBER($D26),ISNUMBER($E26),V$4&gt;=$D26,V$4&lt;=$E26,WEEKDAY(V$4,2)&lt;=5,COUNTIF('Sources &amp; Change Log'!$J$2:$J$5,V$4)=0,COUNTIFS('Team Calendar'!$A$5:$A$12,$F26,'Team Calendar'!$C$5:$C$12,V$4)=0),1,"")</x:f>
      </x:c>
      <x:c r="W26" s="100" t="str">
        <x:f>IF(AND(ISNUMBER($D26),ISNUMBER($E26),W$4&gt;=$D26,W$4&lt;=$E26,WEEKDAY(W$4,2)&lt;=5,COUNTIF('Sources &amp; Change Log'!$J$2:$J$5,W$4)=0,COUNTIFS('Team Calendar'!$A$5:$A$12,$F26,'Team Calendar'!$C$5:$C$12,W$4)=0),1,"")</x:f>
      </x:c>
      <x:c r="X26" s="100" t="str">
        <x:f>IF(AND(ISNUMBER($D26),ISNUMBER($E26),X$4&gt;=$D26,X$4&lt;=$E26,WEEKDAY(X$4,2)&lt;=5,COUNTIF('Sources &amp; Change Log'!$J$2:$J$5,X$4)=0,COUNTIFS('Team Calendar'!$A$5:$A$12,$F26,'Team Calendar'!$C$5:$C$12,X$4)=0),1,"")</x:f>
      </x:c>
      <x:c r="Y26" s="100" t="str">
        <x:f>IF(AND(ISNUMBER($D26),ISNUMBER($E26),Y$4&gt;=$D26,Y$4&lt;=$E26,WEEKDAY(Y$4,2)&lt;=5,COUNTIF('Sources &amp; Change Log'!$J$2:$J$5,Y$4)=0,COUNTIFS('Team Calendar'!$A$5:$A$12,$F26,'Team Calendar'!$C$5:$C$12,Y$4)=0),1,"")</x:f>
      </x:c>
      <x:c r="Z26" s="107" t="str">
        <x:f>IF(AND(ISNUMBER($D26),ISNUMBER($E26),Z$4&gt;=$D26,Z$4&lt;=$E26,WEEKDAY(Z$4,2)&lt;=5,COUNTIF('Sources &amp; Change Log'!$J$2:$J$5,Z$4)=0,COUNTIFS('Team Calendar'!$A$5:$A$12,$F26,'Team Calendar'!$C$5:$C$12,Z$4)=0),1,"")</x:f>
      </x:c>
      <x:c r="AA26" s="107" t="str">
        <x:f>IF(AND(ISNUMBER($D26),ISNUMBER($E26),AA$4&gt;=$D26,AA$4&lt;=$E26,WEEKDAY(AA$4,2)&lt;=5,COUNTIF('Sources &amp; Change Log'!$J$2:$J$5,AA$4)=0,COUNTIFS('Team Calendar'!$A$5:$A$12,$F26,'Team Calendar'!$C$5:$C$12,AA$4)=0),1,"")</x:f>
      </x:c>
      <x:c r="AB26" s="100" t="str">
        <x:f>IF(AND(ISNUMBER($D26),ISNUMBER($E26),AB$4&gt;=$D26,AB$4&lt;=$E26,WEEKDAY(AB$4,2)&lt;=5,COUNTIF('Sources &amp; Change Log'!$J$2:$J$5,AB$4)=0,COUNTIFS('Team Calendar'!$A$5:$A$12,$F26,'Team Calendar'!$C$5:$C$12,AB$4)=0),1,"")</x:f>
      </x:c>
      <x:c r="AC26" s="100" t="str">
        <x:f>IF(AND(ISNUMBER($D26),ISNUMBER($E26),AC$4&gt;=$D26,AC$4&lt;=$E26,WEEKDAY(AC$4,2)&lt;=5,COUNTIF('Sources &amp; Change Log'!$J$2:$J$5,AC$4)=0,COUNTIFS('Team Calendar'!$A$5:$A$12,$F26,'Team Calendar'!$C$5:$C$12,AC$4)=0),1,"")</x:f>
      </x:c>
      <x:c r="AD26" s="100" t="str">
        <x:f>IF(AND(ISNUMBER($D26),ISNUMBER($E26),AD$4&gt;=$D26,AD$4&lt;=$E26,WEEKDAY(AD$4,2)&lt;=5,COUNTIF('Sources &amp; Change Log'!$J$2:$J$5,AD$4)=0,COUNTIFS('Team Calendar'!$A$5:$A$12,$F26,'Team Calendar'!$C$5:$C$12,AD$4)=0),1,"")</x:f>
      </x:c>
      <x:c r="AE26" s="100" t="str">
        <x:f>IF(AND(ISNUMBER($D26),ISNUMBER($E26),AE$4&gt;=$D26,AE$4&lt;=$E26,WEEKDAY(AE$4,2)&lt;=5,COUNTIF('Sources &amp; Change Log'!$J$2:$J$5,AE$4)=0,COUNTIFS('Team Calendar'!$A$5:$A$12,$F26,'Team Calendar'!$C$5:$C$12,AE$4)=0),1,"")</x:f>
      </x:c>
      <x:c r="AF26" s="100" t="n">
        <x:f>IF(AND(ISNUMBER($D26),ISNUMBER($E26),AF$4&gt;=$D26,AF$4&lt;=$E26,WEEKDAY(AF$4,2)&lt;=5,COUNTIF('Sources &amp; Change Log'!$J$2:$J$5,AF$4)=0,COUNTIFS('Team Calendar'!$A$5:$A$12,$F26,'Team Calendar'!$C$5:$C$12,AF$4)=0),1,"")</x:f>
        <x:v>1</x:v>
      </x:c>
      <x:c r="AG26" s="107" t="str">
        <x:f>IF(AND(ISNUMBER($D26),ISNUMBER($E26),AG$4&gt;=$D26,AG$4&lt;=$E26,WEEKDAY(AG$4,2)&lt;=5,COUNTIF('Sources &amp; Change Log'!$J$2:$J$5,AG$4)=0,COUNTIFS('Team Calendar'!$A$5:$A$12,$F26,'Team Calendar'!$C$5:$C$12,AG$4)=0),1,"")</x:f>
      </x:c>
      <x:c r="AH26" s="107" t="str">
        <x:f>IF(AND(ISNUMBER($D26),ISNUMBER($E26),AH$4&gt;=$D26,AH$4&lt;=$E26,WEEKDAY(AH$4,2)&lt;=5,COUNTIF('Sources &amp; Change Log'!$J$2:$J$5,AH$4)=0,COUNTIFS('Team Calendar'!$A$5:$A$12,$F26,'Team Calendar'!$C$5:$C$12,AH$4)=0),1,"")</x:f>
      </x:c>
      <x:c r="AI26" s="100" t="str">
        <x:f>IF(AND(ISNUMBER($D26),ISNUMBER($E26),AI$4&gt;=$D26,AI$4&lt;=$E26,WEEKDAY(AI$4,2)&lt;=5,COUNTIF('Sources &amp; Change Log'!$J$2:$J$5,AI$4)=0,COUNTIFS('Team Calendar'!$A$5:$A$12,$F26,'Team Calendar'!$C$5:$C$12,AI$4)=0),1,"")</x:f>
      </x:c>
    </x:row>
    <x:row r="27" ht="24" customHeight="1">
      <x:c r="A27" s="13" t="str">
        <x:f>WBS!A53</x:f>
        <x:v>P2-REV-01</x:v>
      </x:c>
      <x:c r="B27" s="13" t="str">
        <x:f>WBS!B53</x:f>
        <x:v>Phase 2 Review / Project Close Execution</x:v>
      </x:c>
      <x:c r="C27" s="13" t="str">
        <x:f>WBS!G53</x:f>
        <x:v>To Do</x:v>
      </x:c>
      <x:c r="D27" s="86" t="n">
        <x:f>IF(WBS!H53="","",WBS!H53)</x:f>
        <x:v>46318</x:v>
      </x:c>
      <x:c r="E27" s="86" t="n">
        <x:f>IF(WBS!I53="","",WBS!I53)</x:f>
        <x:v>46321</x:v>
      </x:c>
      <x:c r="F27" s="13" t="str">
        <x:f>WBS!L53</x:f>
        <x:v>이권욱</x:v>
      </x:c>
      <x:c r="G27" s="100" t="str">
        <x:f>IF(AND(ISNUMBER($D27),ISNUMBER($E27),G$4&gt;=$D27,G$4&lt;=$E27,WEEKDAY(G$4,2)&lt;=5,COUNTIF('Sources &amp; Change Log'!$J$2:$J$5,G$4)=0,COUNTIFS('Team Calendar'!$A$5:$A$12,$F27,'Team Calendar'!$C$5:$C$12,G$4)=0),1,"")</x:f>
      </x:c>
      <x:c r="H27" s="100" t="str">
        <x:f>IF(AND(ISNUMBER($D27),ISNUMBER($E27),H$4&gt;=$D27,H$4&lt;=$E27,WEEKDAY(H$4,2)&lt;=5,COUNTIF('Sources &amp; Change Log'!$J$2:$J$5,H$4)=0,COUNTIFS('Team Calendar'!$A$5:$A$12,$F27,'Team Calendar'!$C$5:$C$12,H$4)=0),1,"")</x:f>
      </x:c>
      <x:c r="I27" s="100" t="str">
        <x:f>IF(AND(ISNUMBER($D27),ISNUMBER($E27),I$4&gt;=$D27,I$4&lt;=$E27,WEEKDAY(I$4,2)&lt;=5,COUNTIF('Sources &amp; Change Log'!$J$2:$J$5,I$4)=0,COUNTIFS('Team Calendar'!$A$5:$A$12,$F27,'Team Calendar'!$C$5:$C$12,I$4)=0),1,"")</x:f>
      </x:c>
      <x:c r="J27" s="100" t="str">
        <x:f>IF(AND(ISNUMBER($D27),ISNUMBER($E27),J$4&gt;=$D27,J$4&lt;=$E27,WEEKDAY(J$4,2)&lt;=5,COUNTIF('Sources &amp; Change Log'!$J$2:$J$5,J$4)=0,COUNTIFS('Team Calendar'!$A$5:$A$12,$F27,'Team Calendar'!$C$5:$C$12,J$4)=0),1,"")</x:f>
      </x:c>
      <x:c r="K27" s="100" t="str">
        <x:f>IF(AND(ISNUMBER($D27),ISNUMBER($E27),K$4&gt;=$D27,K$4&lt;=$E27,WEEKDAY(K$4,2)&lt;=5,COUNTIF('Sources &amp; Change Log'!$J$2:$J$5,K$4)=0,COUNTIFS('Team Calendar'!$A$5:$A$12,$F27,'Team Calendar'!$C$5:$C$12,K$4)=0),1,"")</x:f>
      </x:c>
      <x:c r="L27" s="107" t="str">
        <x:f>IF(AND(ISNUMBER($D27),ISNUMBER($E27),L$4&gt;=$D27,L$4&lt;=$E27,WEEKDAY(L$4,2)&lt;=5,COUNTIF('Sources &amp; Change Log'!$J$2:$J$5,L$4)=0,COUNTIFS('Team Calendar'!$A$5:$A$12,$F27,'Team Calendar'!$C$5:$C$12,L$4)=0),1,"")</x:f>
      </x:c>
      <x:c r="M27" s="107" t="str">
        <x:f>IF(AND(ISNUMBER($D27),ISNUMBER($E27),M$4&gt;=$D27,M$4&lt;=$E27,WEEKDAY(M$4,2)&lt;=5,COUNTIF('Sources &amp; Change Log'!$J$2:$J$5,M$4)=0,COUNTIFS('Team Calendar'!$A$5:$A$12,$F27,'Team Calendar'!$C$5:$C$12,M$4)=0),1,"")</x:f>
      </x:c>
      <x:c r="N27" s="100" t="str">
        <x:f>IF(AND(ISNUMBER($D27),ISNUMBER($E27),N$4&gt;=$D27,N$4&lt;=$E27,WEEKDAY(N$4,2)&lt;=5,COUNTIF('Sources &amp; Change Log'!$J$2:$J$5,N$4)=0,COUNTIFS('Team Calendar'!$A$5:$A$12,$F27,'Team Calendar'!$C$5:$C$12,N$4)=0),1,"")</x:f>
      </x:c>
      <x:c r="O27" s="100" t="str">
        <x:f>IF(AND(ISNUMBER($D27),ISNUMBER($E27),O$4&gt;=$D27,O$4&lt;=$E27,WEEKDAY(O$4,2)&lt;=5,COUNTIF('Sources &amp; Change Log'!$J$2:$J$5,O$4)=0,COUNTIFS('Team Calendar'!$A$5:$A$12,$F27,'Team Calendar'!$C$5:$C$12,O$4)=0),1,"")</x:f>
      </x:c>
      <x:c r="P27" s="100" t="str">
        <x:f>IF(AND(ISNUMBER($D27),ISNUMBER($E27),P$4&gt;=$D27,P$4&lt;=$E27,WEEKDAY(P$4,2)&lt;=5,COUNTIF('Sources &amp; Change Log'!$J$2:$J$5,P$4)=0,COUNTIFS('Team Calendar'!$A$5:$A$12,$F27,'Team Calendar'!$C$5:$C$12,P$4)=0),1,"")</x:f>
      </x:c>
      <x:c r="Q27" s="100" t="str">
        <x:f>IF(AND(ISNUMBER($D27),ISNUMBER($E27),Q$4&gt;=$D27,Q$4&lt;=$E27,WEEKDAY(Q$4,2)&lt;=5,COUNTIF('Sources &amp; Change Log'!$J$2:$J$5,Q$4)=0,COUNTIFS('Team Calendar'!$A$5:$A$12,$F27,'Team Calendar'!$C$5:$C$12,Q$4)=0),1,"")</x:f>
      </x:c>
      <x:c r="R27" s="100" t="str">
        <x:f>IF(AND(ISNUMBER($D27),ISNUMBER($E27),R$4&gt;=$D27,R$4&lt;=$E27,WEEKDAY(R$4,2)&lt;=5,COUNTIF('Sources &amp; Change Log'!$J$2:$J$5,R$4)=0,COUNTIFS('Team Calendar'!$A$5:$A$12,$F27,'Team Calendar'!$C$5:$C$12,R$4)=0),1,"")</x:f>
      </x:c>
      <x:c r="S27" s="107" t="str">
        <x:f>IF(AND(ISNUMBER($D27),ISNUMBER($E27),S$4&gt;=$D27,S$4&lt;=$E27,WEEKDAY(S$4,2)&lt;=5,COUNTIF('Sources &amp; Change Log'!$J$2:$J$5,S$4)=0,COUNTIFS('Team Calendar'!$A$5:$A$12,$F27,'Team Calendar'!$C$5:$C$12,S$4)=0),1,"")</x:f>
      </x:c>
      <x:c r="T27" s="107" t="str">
        <x:f>IF(AND(ISNUMBER($D27),ISNUMBER($E27),T$4&gt;=$D27,T$4&lt;=$E27,WEEKDAY(T$4,2)&lt;=5,COUNTIF('Sources &amp; Change Log'!$J$2:$J$5,T$4)=0,COUNTIFS('Team Calendar'!$A$5:$A$12,$F27,'Team Calendar'!$C$5:$C$12,T$4)=0),1,"")</x:f>
      </x:c>
      <x:c r="U27" s="100" t="str">
        <x:f>IF(AND(ISNUMBER($D27),ISNUMBER($E27),U$4&gt;=$D27,U$4&lt;=$E27,WEEKDAY(U$4,2)&lt;=5,COUNTIF('Sources &amp; Change Log'!$J$2:$J$5,U$4)=0,COUNTIFS('Team Calendar'!$A$5:$A$12,$F27,'Team Calendar'!$C$5:$C$12,U$4)=0),1,"")</x:f>
      </x:c>
      <x:c r="V27" s="100" t="str">
        <x:f>IF(AND(ISNUMBER($D27),ISNUMBER($E27),V$4&gt;=$D27,V$4&lt;=$E27,WEEKDAY(V$4,2)&lt;=5,COUNTIF('Sources &amp; Change Log'!$J$2:$J$5,V$4)=0,COUNTIFS('Team Calendar'!$A$5:$A$12,$F27,'Team Calendar'!$C$5:$C$12,V$4)=0),1,"")</x:f>
      </x:c>
      <x:c r="W27" s="100" t="str">
        <x:f>IF(AND(ISNUMBER($D27),ISNUMBER($E27),W$4&gt;=$D27,W$4&lt;=$E27,WEEKDAY(W$4,2)&lt;=5,COUNTIF('Sources &amp; Change Log'!$J$2:$J$5,W$4)=0,COUNTIFS('Team Calendar'!$A$5:$A$12,$F27,'Team Calendar'!$C$5:$C$12,W$4)=0),1,"")</x:f>
      </x:c>
      <x:c r="X27" s="100" t="str">
        <x:f>IF(AND(ISNUMBER($D27),ISNUMBER($E27),X$4&gt;=$D27,X$4&lt;=$E27,WEEKDAY(X$4,2)&lt;=5,COUNTIF('Sources &amp; Change Log'!$J$2:$J$5,X$4)=0,COUNTIFS('Team Calendar'!$A$5:$A$12,$F27,'Team Calendar'!$C$5:$C$12,X$4)=0),1,"")</x:f>
      </x:c>
      <x:c r="Y27" s="100" t="str">
        <x:f>IF(AND(ISNUMBER($D27),ISNUMBER($E27),Y$4&gt;=$D27,Y$4&lt;=$E27,WEEKDAY(Y$4,2)&lt;=5,COUNTIF('Sources &amp; Change Log'!$J$2:$J$5,Y$4)=0,COUNTIFS('Team Calendar'!$A$5:$A$12,$F27,'Team Calendar'!$C$5:$C$12,Y$4)=0),1,"")</x:f>
      </x:c>
      <x:c r="Z27" s="107" t="str">
        <x:f>IF(AND(ISNUMBER($D27),ISNUMBER($E27),Z$4&gt;=$D27,Z$4&lt;=$E27,WEEKDAY(Z$4,2)&lt;=5,COUNTIF('Sources &amp; Change Log'!$J$2:$J$5,Z$4)=0,COUNTIFS('Team Calendar'!$A$5:$A$12,$F27,'Team Calendar'!$C$5:$C$12,Z$4)=0),1,"")</x:f>
      </x:c>
      <x:c r="AA27" s="107" t="str">
        <x:f>IF(AND(ISNUMBER($D27),ISNUMBER($E27),AA$4&gt;=$D27,AA$4&lt;=$E27,WEEKDAY(AA$4,2)&lt;=5,COUNTIF('Sources &amp; Change Log'!$J$2:$J$5,AA$4)=0,COUNTIFS('Team Calendar'!$A$5:$A$12,$F27,'Team Calendar'!$C$5:$C$12,AA$4)=0),1,"")</x:f>
      </x:c>
      <x:c r="AB27" s="100" t="str">
        <x:f>IF(AND(ISNUMBER($D27),ISNUMBER($E27),AB$4&gt;=$D27,AB$4&lt;=$E27,WEEKDAY(AB$4,2)&lt;=5,COUNTIF('Sources &amp; Change Log'!$J$2:$J$5,AB$4)=0,COUNTIFS('Team Calendar'!$A$5:$A$12,$F27,'Team Calendar'!$C$5:$C$12,AB$4)=0),1,"")</x:f>
      </x:c>
      <x:c r="AC27" s="100" t="str">
        <x:f>IF(AND(ISNUMBER($D27),ISNUMBER($E27),AC$4&gt;=$D27,AC$4&lt;=$E27,WEEKDAY(AC$4,2)&lt;=5,COUNTIF('Sources &amp; Change Log'!$J$2:$J$5,AC$4)=0,COUNTIFS('Team Calendar'!$A$5:$A$12,$F27,'Team Calendar'!$C$5:$C$12,AC$4)=0),1,"")</x:f>
      </x:c>
      <x:c r="AD27" s="100" t="str">
        <x:f>IF(AND(ISNUMBER($D27),ISNUMBER($E27),AD$4&gt;=$D27,AD$4&lt;=$E27,WEEKDAY(AD$4,2)&lt;=5,COUNTIF('Sources &amp; Change Log'!$J$2:$J$5,AD$4)=0,COUNTIFS('Team Calendar'!$A$5:$A$12,$F27,'Team Calendar'!$C$5:$C$12,AD$4)=0),1,"")</x:f>
      </x:c>
      <x:c r="AE27" s="100" t="str">
        <x:f>IF(AND(ISNUMBER($D27),ISNUMBER($E27),AE$4&gt;=$D27,AE$4&lt;=$E27,WEEKDAY(AE$4,2)&lt;=5,COUNTIF('Sources &amp; Change Log'!$J$2:$J$5,AE$4)=0,COUNTIFS('Team Calendar'!$A$5:$A$12,$F27,'Team Calendar'!$C$5:$C$12,AE$4)=0),1,"")</x:f>
      </x:c>
      <x:c r="AF27" s="100" t="n">
        <x:f>IF(AND(ISNUMBER($D27),ISNUMBER($E27),AF$4&gt;=$D27,AF$4&lt;=$E27,WEEKDAY(AF$4,2)&lt;=5,COUNTIF('Sources &amp; Change Log'!$J$2:$J$5,AF$4)=0,COUNTIFS('Team Calendar'!$A$5:$A$12,$F27,'Team Calendar'!$C$5:$C$12,AF$4)=0),1,"")</x:f>
        <x:v>1</x:v>
      </x:c>
      <x:c r="AG27" s="107" t="str">
        <x:f>IF(AND(ISNUMBER($D27),ISNUMBER($E27),AG$4&gt;=$D27,AG$4&lt;=$E27,WEEKDAY(AG$4,2)&lt;=5,COUNTIF('Sources &amp; Change Log'!$J$2:$J$5,AG$4)=0,COUNTIFS('Team Calendar'!$A$5:$A$12,$F27,'Team Calendar'!$C$5:$C$12,AG$4)=0),1,"")</x:f>
      </x:c>
      <x:c r="AH27" s="107" t="str">
        <x:f>IF(AND(ISNUMBER($D27),ISNUMBER($E27),AH$4&gt;=$D27,AH$4&lt;=$E27,WEEKDAY(AH$4,2)&lt;=5,COUNTIF('Sources &amp; Change Log'!$J$2:$J$5,AH$4)=0,COUNTIFS('Team Calendar'!$A$5:$A$12,$F27,'Team Calendar'!$C$5:$C$12,AH$4)=0),1,"")</x:f>
      </x:c>
      <x:c r="AI27" s="100" t="n">
        <x:f>IF(AND(ISNUMBER($D27),ISNUMBER($E27),AI$4&gt;=$D27,AI$4&lt;=$E27,WEEKDAY(AI$4,2)&lt;=5,COUNTIF('Sources &amp; Change Log'!$J$2:$J$5,AI$4)=0,COUNTIFS('Team Calendar'!$A$5:$A$12,$F27,'Team Calendar'!$C$5:$C$12,AI$4)=0),1,"")</x:f>
        <x:v>1</x:v>
      </x:c>
    </x:row>
    <x:row r="28" ht="24" customHeight="1">
      <x:c r="A28" s="13" t="str">
        <x:f>WBS!A54</x:f>
        <x:v>MS-P2-REVIEW-01</x:v>
      </x:c>
      <x:c r="B28" s="13" t="str">
        <x:f>WBS!B54</x:f>
        <x:v>Phase 2 Review</x:v>
      </x:c>
      <x:c r="C28" s="13" t="str">
        <x:f>WBS!G54</x:f>
        <x:v>To Do</x:v>
      </x:c>
      <x:c r="D28" s="86" t="n">
        <x:f>IF(WBS!H54="","",WBS!H54)</x:f>
        <x:v>46318</x:v>
      </x:c>
      <x:c r="E28" s="86" t="n">
        <x:f>IF(WBS!I54="","",WBS!I54)</x:f>
        <x:v>46318</x:v>
      </x:c>
      <x:c r="F28" s="13" t="str">
        <x:f>WBS!L54</x:f>
        <x:v>이권욱</x:v>
      </x:c>
      <x:c r="G28" s="100" t="str">
        <x:f>IF(AND(ISNUMBER($D28),ISNUMBER($E28),G$4&gt;=$D28,G$4&lt;=$E28,WEEKDAY(G$4,2)&lt;=5,COUNTIF('Sources &amp; Change Log'!$J$2:$J$5,G$4)=0,COUNTIFS('Team Calendar'!$A$5:$A$12,$F28,'Team Calendar'!$C$5:$C$12,G$4)=0),1,"")</x:f>
      </x:c>
      <x:c r="H28" s="100" t="str">
        <x:f>IF(AND(ISNUMBER($D28),ISNUMBER($E28),H$4&gt;=$D28,H$4&lt;=$E28,WEEKDAY(H$4,2)&lt;=5,COUNTIF('Sources &amp; Change Log'!$J$2:$J$5,H$4)=0,COUNTIFS('Team Calendar'!$A$5:$A$12,$F28,'Team Calendar'!$C$5:$C$12,H$4)=0),1,"")</x:f>
      </x:c>
      <x:c r="I28" s="100" t="str">
        <x:f>IF(AND(ISNUMBER($D28),ISNUMBER($E28),I$4&gt;=$D28,I$4&lt;=$E28,WEEKDAY(I$4,2)&lt;=5,COUNTIF('Sources &amp; Change Log'!$J$2:$J$5,I$4)=0,COUNTIFS('Team Calendar'!$A$5:$A$12,$F28,'Team Calendar'!$C$5:$C$12,I$4)=0),1,"")</x:f>
      </x:c>
      <x:c r="J28" s="100" t="str">
        <x:f>IF(AND(ISNUMBER($D28),ISNUMBER($E28),J$4&gt;=$D28,J$4&lt;=$E28,WEEKDAY(J$4,2)&lt;=5,COUNTIF('Sources &amp; Change Log'!$J$2:$J$5,J$4)=0,COUNTIFS('Team Calendar'!$A$5:$A$12,$F28,'Team Calendar'!$C$5:$C$12,J$4)=0),1,"")</x:f>
      </x:c>
      <x:c r="K28" s="100" t="str">
        <x:f>IF(AND(ISNUMBER($D28),ISNUMBER($E28),K$4&gt;=$D28,K$4&lt;=$E28,WEEKDAY(K$4,2)&lt;=5,COUNTIF('Sources &amp; Change Log'!$J$2:$J$5,K$4)=0,COUNTIFS('Team Calendar'!$A$5:$A$12,$F28,'Team Calendar'!$C$5:$C$12,K$4)=0),1,"")</x:f>
      </x:c>
      <x:c r="L28" s="107" t="str">
        <x:f>IF(AND(ISNUMBER($D28),ISNUMBER($E28),L$4&gt;=$D28,L$4&lt;=$E28,WEEKDAY(L$4,2)&lt;=5,COUNTIF('Sources &amp; Change Log'!$J$2:$J$5,L$4)=0,COUNTIFS('Team Calendar'!$A$5:$A$12,$F28,'Team Calendar'!$C$5:$C$12,L$4)=0),1,"")</x:f>
      </x:c>
      <x:c r="M28" s="107" t="str">
        <x:f>IF(AND(ISNUMBER($D28),ISNUMBER($E28),M$4&gt;=$D28,M$4&lt;=$E28,WEEKDAY(M$4,2)&lt;=5,COUNTIF('Sources &amp; Change Log'!$J$2:$J$5,M$4)=0,COUNTIFS('Team Calendar'!$A$5:$A$12,$F28,'Team Calendar'!$C$5:$C$12,M$4)=0),1,"")</x:f>
      </x:c>
      <x:c r="N28" s="100" t="str">
        <x:f>IF(AND(ISNUMBER($D28),ISNUMBER($E28),N$4&gt;=$D28,N$4&lt;=$E28,WEEKDAY(N$4,2)&lt;=5,COUNTIF('Sources &amp; Change Log'!$J$2:$J$5,N$4)=0,COUNTIFS('Team Calendar'!$A$5:$A$12,$F28,'Team Calendar'!$C$5:$C$12,N$4)=0),1,"")</x:f>
      </x:c>
      <x:c r="O28" s="100" t="str">
        <x:f>IF(AND(ISNUMBER($D28),ISNUMBER($E28),O$4&gt;=$D28,O$4&lt;=$E28,WEEKDAY(O$4,2)&lt;=5,COUNTIF('Sources &amp; Change Log'!$J$2:$J$5,O$4)=0,COUNTIFS('Team Calendar'!$A$5:$A$12,$F28,'Team Calendar'!$C$5:$C$12,O$4)=0),1,"")</x:f>
      </x:c>
      <x:c r="P28" s="100" t="str">
        <x:f>IF(AND(ISNUMBER($D28),ISNUMBER($E28),P$4&gt;=$D28,P$4&lt;=$E28,WEEKDAY(P$4,2)&lt;=5,COUNTIF('Sources &amp; Change Log'!$J$2:$J$5,P$4)=0,COUNTIFS('Team Calendar'!$A$5:$A$12,$F28,'Team Calendar'!$C$5:$C$12,P$4)=0),1,"")</x:f>
      </x:c>
      <x:c r="Q28" s="100" t="str">
        <x:f>IF(AND(ISNUMBER($D28),ISNUMBER($E28),Q$4&gt;=$D28,Q$4&lt;=$E28,WEEKDAY(Q$4,2)&lt;=5,COUNTIF('Sources &amp; Change Log'!$J$2:$J$5,Q$4)=0,COUNTIFS('Team Calendar'!$A$5:$A$12,$F28,'Team Calendar'!$C$5:$C$12,Q$4)=0),1,"")</x:f>
      </x:c>
      <x:c r="R28" s="100" t="str">
        <x:f>IF(AND(ISNUMBER($D28),ISNUMBER($E28),R$4&gt;=$D28,R$4&lt;=$E28,WEEKDAY(R$4,2)&lt;=5,COUNTIF('Sources &amp; Change Log'!$J$2:$J$5,R$4)=0,COUNTIFS('Team Calendar'!$A$5:$A$12,$F28,'Team Calendar'!$C$5:$C$12,R$4)=0),1,"")</x:f>
      </x:c>
      <x:c r="S28" s="107" t="str">
        <x:f>IF(AND(ISNUMBER($D28),ISNUMBER($E28),S$4&gt;=$D28,S$4&lt;=$E28,WEEKDAY(S$4,2)&lt;=5,COUNTIF('Sources &amp; Change Log'!$J$2:$J$5,S$4)=0,COUNTIFS('Team Calendar'!$A$5:$A$12,$F28,'Team Calendar'!$C$5:$C$12,S$4)=0),1,"")</x:f>
      </x:c>
      <x:c r="T28" s="107" t="str">
        <x:f>IF(AND(ISNUMBER($D28),ISNUMBER($E28),T$4&gt;=$D28,T$4&lt;=$E28,WEEKDAY(T$4,2)&lt;=5,COUNTIF('Sources &amp; Change Log'!$J$2:$J$5,T$4)=0,COUNTIFS('Team Calendar'!$A$5:$A$12,$F28,'Team Calendar'!$C$5:$C$12,T$4)=0),1,"")</x:f>
      </x:c>
      <x:c r="U28" s="100" t="str">
        <x:f>IF(AND(ISNUMBER($D28),ISNUMBER($E28),U$4&gt;=$D28,U$4&lt;=$E28,WEEKDAY(U$4,2)&lt;=5,COUNTIF('Sources &amp; Change Log'!$J$2:$J$5,U$4)=0,COUNTIFS('Team Calendar'!$A$5:$A$12,$F28,'Team Calendar'!$C$5:$C$12,U$4)=0),1,"")</x:f>
      </x:c>
      <x:c r="V28" s="100" t="str">
        <x:f>IF(AND(ISNUMBER($D28),ISNUMBER($E28),V$4&gt;=$D28,V$4&lt;=$E28,WEEKDAY(V$4,2)&lt;=5,COUNTIF('Sources &amp; Change Log'!$J$2:$J$5,V$4)=0,COUNTIFS('Team Calendar'!$A$5:$A$12,$F28,'Team Calendar'!$C$5:$C$12,V$4)=0),1,"")</x:f>
      </x:c>
      <x:c r="W28" s="100" t="str">
        <x:f>IF(AND(ISNUMBER($D28),ISNUMBER($E28),W$4&gt;=$D28,W$4&lt;=$E28,WEEKDAY(W$4,2)&lt;=5,COUNTIF('Sources &amp; Change Log'!$J$2:$J$5,W$4)=0,COUNTIFS('Team Calendar'!$A$5:$A$12,$F28,'Team Calendar'!$C$5:$C$12,W$4)=0),1,"")</x:f>
      </x:c>
      <x:c r="X28" s="100" t="str">
        <x:f>IF(AND(ISNUMBER($D28),ISNUMBER($E28),X$4&gt;=$D28,X$4&lt;=$E28,WEEKDAY(X$4,2)&lt;=5,COUNTIF('Sources &amp; Change Log'!$J$2:$J$5,X$4)=0,COUNTIFS('Team Calendar'!$A$5:$A$12,$F28,'Team Calendar'!$C$5:$C$12,X$4)=0),1,"")</x:f>
      </x:c>
      <x:c r="Y28" s="100" t="str">
        <x:f>IF(AND(ISNUMBER($D28),ISNUMBER($E28),Y$4&gt;=$D28,Y$4&lt;=$E28,WEEKDAY(Y$4,2)&lt;=5,COUNTIF('Sources &amp; Change Log'!$J$2:$J$5,Y$4)=0,COUNTIFS('Team Calendar'!$A$5:$A$12,$F28,'Team Calendar'!$C$5:$C$12,Y$4)=0),1,"")</x:f>
      </x:c>
      <x:c r="Z28" s="107" t="str">
        <x:f>IF(AND(ISNUMBER($D28),ISNUMBER($E28),Z$4&gt;=$D28,Z$4&lt;=$E28,WEEKDAY(Z$4,2)&lt;=5,COUNTIF('Sources &amp; Change Log'!$J$2:$J$5,Z$4)=0,COUNTIFS('Team Calendar'!$A$5:$A$12,$F28,'Team Calendar'!$C$5:$C$12,Z$4)=0),1,"")</x:f>
      </x:c>
      <x:c r="AA28" s="107" t="str">
        <x:f>IF(AND(ISNUMBER($D28),ISNUMBER($E28),AA$4&gt;=$D28,AA$4&lt;=$E28,WEEKDAY(AA$4,2)&lt;=5,COUNTIF('Sources &amp; Change Log'!$J$2:$J$5,AA$4)=0,COUNTIFS('Team Calendar'!$A$5:$A$12,$F28,'Team Calendar'!$C$5:$C$12,AA$4)=0),1,"")</x:f>
      </x:c>
      <x:c r="AB28" s="100" t="str">
        <x:f>IF(AND(ISNUMBER($D28),ISNUMBER($E28),AB$4&gt;=$D28,AB$4&lt;=$E28,WEEKDAY(AB$4,2)&lt;=5,COUNTIF('Sources &amp; Change Log'!$J$2:$J$5,AB$4)=0,COUNTIFS('Team Calendar'!$A$5:$A$12,$F28,'Team Calendar'!$C$5:$C$12,AB$4)=0),1,"")</x:f>
      </x:c>
      <x:c r="AC28" s="100" t="str">
        <x:f>IF(AND(ISNUMBER($D28),ISNUMBER($E28),AC$4&gt;=$D28,AC$4&lt;=$E28,WEEKDAY(AC$4,2)&lt;=5,COUNTIF('Sources &amp; Change Log'!$J$2:$J$5,AC$4)=0,COUNTIFS('Team Calendar'!$A$5:$A$12,$F28,'Team Calendar'!$C$5:$C$12,AC$4)=0),1,"")</x:f>
      </x:c>
      <x:c r="AD28" s="100" t="str">
        <x:f>IF(AND(ISNUMBER($D28),ISNUMBER($E28),AD$4&gt;=$D28,AD$4&lt;=$E28,WEEKDAY(AD$4,2)&lt;=5,COUNTIF('Sources &amp; Change Log'!$J$2:$J$5,AD$4)=0,COUNTIFS('Team Calendar'!$A$5:$A$12,$F28,'Team Calendar'!$C$5:$C$12,AD$4)=0),1,"")</x:f>
      </x:c>
      <x:c r="AE28" s="100" t="str">
        <x:f>IF(AND(ISNUMBER($D28),ISNUMBER($E28),AE$4&gt;=$D28,AE$4&lt;=$E28,WEEKDAY(AE$4,2)&lt;=5,COUNTIF('Sources &amp; Change Log'!$J$2:$J$5,AE$4)=0,COUNTIFS('Team Calendar'!$A$5:$A$12,$F28,'Team Calendar'!$C$5:$C$12,AE$4)=0),1,"")</x:f>
      </x:c>
      <x:c r="AF28" s="100" t="n">
        <x:f>IF(AND(ISNUMBER($D28),ISNUMBER($E28),AF$4&gt;=$D28,AF$4&lt;=$E28,WEEKDAY(AF$4,2)&lt;=5,COUNTIF('Sources &amp; Change Log'!$J$2:$J$5,AF$4)=0,COUNTIFS('Team Calendar'!$A$5:$A$12,$F28,'Team Calendar'!$C$5:$C$12,AF$4)=0),1,"")</x:f>
        <x:v>1</x:v>
      </x:c>
      <x:c r="AG28" s="107" t="str">
        <x:f>IF(AND(ISNUMBER($D28),ISNUMBER($E28),AG$4&gt;=$D28,AG$4&lt;=$E28,WEEKDAY(AG$4,2)&lt;=5,COUNTIF('Sources &amp; Change Log'!$J$2:$J$5,AG$4)=0,COUNTIFS('Team Calendar'!$A$5:$A$12,$F28,'Team Calendar'!$C$5:$C$12,AG$4)=0),1,"")</x:f>
      </x:c>
      <x:c r="AH28" s="107" t="str">
        <x:f>IF(AND(ISNUMBER($D28),ISNUMBER($E28),AH$4&gt;=$D28,AH$4&lt;=$E28,WEEKDAY(AH$4,2)&lt;=5,COUNTIF('Sources &amp; Change Log'!$J$2:$J$5,AH$4)=0,COUNTIFS('Team Calendar'!$A$5:$A$12,$F28,'Team Calendar'!$C$5:$C$12,AH$4)=0),1,"")</x:f>
      </x:c>
      <x:c r="AI28" s="100" t="str">
        <x:f>IF(AND(ISNUMBER($D28),ISNUMBER($E28),AI$4&gt;=$D28,AI$4&lt;=$E28,WEEKDAY(AI$4,2)&lt;=5,COUNTIF('Sources &amp; Change Log'!$J$2:$J$5,AI$4)=0,COUNTIFS('Team Calendar'!$A$5:$A$12,$F28,'Team Calendar'!$C$5:$C$12,AI$4)=0),1,"")</x:f>
      </x:c>
    </x:row>
    <x:row r="29" ht="24" customHeight="1">
      <x:c r="A29" s="13" t="str">
        <x:f>WBS!A55</x:f>
        <x:v>MS-PROJECT-CLOSE-01</x:v>
      </x:c>
      <x:c r="B29" s="13" t="str">
        <x:f>WBS!B55</x:f>
        <x:v>Project Close</x:v>
      </x:c>
      <x:c r="C29" s="13" t="str">
        <x:f>WBS!G55</x:f>
        <x:v>To Do</x:v>
      </x:c>
      <x:c r="D29" s="86" t="n">
        <x:f>IF(WBS!H55="","",WBS!H55)</x:f>
        <x:v>46321</x:v>
      </x:c>
      <x:c r="E29" s="86" t="n">
        <x:f>IF(WBS!I55="","",WBS!I55)</x:f>
        <x:v>46321</x:v>
      </x:c>
      <x:c r="F29" s="13" t="str">
        <x:f>WBS!L55</x:f>
        <x:v>이권욱</x:v>
      </x:c>
      <x:c r="G29" s="100" t="str">
        <x:f>IF(AND(ISNUMBER($D29),ISNUMBER($E29),G$4&gt;=$D29,G$4&lt;=$E29,WEEKDAY(G$4,2)&lt;=5,COUNTIF('Sources &amp; Change Log'!$J$2:$J$5,G$4)=0,COUNTIFS('Team Calendar'!$A$5:$A$12,$F29,'Team Calendar'!$C$5:$C$12,G$4)=0),1,"")</x:f>
      </x:c>
      <x:c r="H29" s="100" t="str">
        <x:f>IF(AND(ISNUMBER($D29),ISNUMBER($E29),H$4&gt;=$D29,H$4&lt;=$E29,WEEKDAY(H$4,2)&lt;=5,COUNTIF('Sources &amp; Change Log'!$J$2:$J$5,H$4)=0,COUNTIFS('Team Calendar'!$A$5:$A$12,$F29,'Team Calendar'!$C$5:$C$12,H$4)=0),1,"")</x:f>
      </x:c>
      <x:c r="I29" s="100" t="str">
        <x:f>IF(AND(ISNUMBER($D29),ISNUMBER($E29),I$4&gt;=$D29,I$4&lt;=$E29,WEEKDAY(I$4,2)&lt;=5,COUNTIF('Sources &amp; Change Log'!$J$2:$J$5,I$4)=0,COUNTIFS('Team Calendar'!$A$5:$A$12,$F29,'Team Calendar'!$C$5:$C$12,I$4)=0),1,"")</x:f>
      </x:c>
      <x:c r="J29" s="100" t="str">
        <x:f>IF(AND(ISNUMBER($D29),ISNUMBER($E29),J$4&gt;=$D29,J$4&lt;=$E29,WEEKDAY(J$4,2)&lt;=5,COUNTIF('Sources &amp; Change Log'!$J$2:$J$5,J$4)=0,COUNTIFS('Team Calendar'!$A$5:$A$12,$F29,'Team Calendar'!$C$5:$C$12,J$4)=0),1,"")</x:f>
      </x:c>
      <x:c r="K29" s="100" t="str">
        <x:f>IF(AND(ISNUMBER($D29),ISNUMBER($E29),K$4&gt;=$D29,K$4&lt;=$E29,WEEKDAY(K$4,2)&lt;=5,COUNTIF('Sources &amp; Change Log'!$J$2:$J$5,K$4)=0,COUNTIFS('Team Calendar'!$A$5:$A$12,$F29,'Team Calendar'!$C$5:$C$12,K$4)=0),1,"")</x:f>
      </x:c>
      <x:c r="L29" s="107" t="str">
        <x:f>IF(AND(ISNUMBER($D29),ISNUMBER($E29),L$4&gt;=$D29,L$4&lt;=$E29,WEEKDAY(L$4,2)&lt;=5,COUNTIF('Sources &amp; Change Log'!$J$2:$J$5,L$4)=0,COUNTIFS('Team Calendar'!$A$5:$A$12,$F29,'Team Calendar'!$C$5:$C$12,L$4)=0),1,"")</x:f>
      </x:c>
      <x:c r="M29" s="107" t="str">
        <x:f>IF(AND(ISNUMBER($D29),ISNUMBER($E29),M$4&gt;=$D29,M$4&lt;=$E29,WEEKDAY(M$4,2)&lt;=5,COUNTIF('Sources &amp; Change Log'!$J$2:$J$5,M$4)=0,COUNTIFS('Team Calendar'!$A$5:$A$12,$F29,'Team Calendar'!$C$5:$C$12,M$4)=0),1,"")</x:f>
      </x:c>
      <x:c r="N29" s="100" t="str">
        <x:f>IF(AND(ISNUMBER($D29),ISNUMBER($E29),N$4&gt;=$D29,N$4&lt;=$E29,WEEKDAY(N$4,2)&lt;=5,COUNTIF('Sources &amp; Change Log'!$J$2:$J$5,N$4)=0,COUNTIFS('Team Calendar'!$A$5:$A$12,$F29,'Team Calendar'!$C$5:$C$12,N$4)=0),1,"")</x:f>
      </x:c>
      <x:c r="O29" s="100" t="str">
        <x:f>IF(AND(ISNUMBER($D29),ISNUMBER($E29),O$4&gt;=$D29,O$4&lt;=$E29,WEEKDAY(O$4,2)&lt;=5,COUNTIF('Sources &amp; Change Log'!$J$2:$J$5,O$4)=0,COUNTIFS('Team Calendar'!$A$5:$A$12,$F29,'Team Calendar'!$C$5:$C$12,O$4)=0),1,"")</x:f>
      </x:c>
      <x:c r="P29" s="100" t="str">
        <x:f>IF(AND(ISNUMBER($D29),ISNUMBER($E29),P$4&gt;=$D29,P$4&lt;=$E29,WEEKDAY(P$4,2)&lt;=5,COUNTIF('Sources &amp; Change Log'!$J$2:$J$5,P$4)=0,COUNTIFS('Team Calendar'!$A$5:$A$12,$F29,'Team Calendar'!$C$5:$C$12,P$4)=0),1,"")</x:f>
      </x:c>
      <x:c r="Q29" s="100" t="str">
        <x:f>IF(AND(ISNUMBER($D29),ISNUMBER($E29),Q$4&gt;=$D29,Q$4&lt;=$E29,WEEKDAY(Q$4,2)&lt;=5,COUNTIF('Sources &amp; Change Log'!$J$2:$J$5,Q$4)=0,COUNTIFS('Team Calendar'!$A$5:$A$12,$F29,'Team Calendar'!$C$5:$C$12,Q$4)=0),1,"")</x:f>
      </x:c>
      <x:c r="R29" s="100" t="str">
        <x:f>IF(AND(ISNUMBER($D29),ISNUMBER($E29),R$4&gt;=$D29,R$4&lt;=$E29,WEEKDAY(R$4,2)&lt;=5,COUNTIF('Sources &amp; Change Log'!$J$2:$J$5,R$4)=0,COUNTIFS('Team Calendar'!$A$5:$A$12,$F29,'Team Calendar'!$C$5:$C$12,R$4)=0),1,"")</x:f>
      </x:c>
      <x:c r="S29" s="107" t="str">
        <x:f>IF(AND(ISNUMBER($D29),ISNUMBER($E29),S$4&gt;=$D29,S$4&lt;=$E29,WEEKDAY(S$4,2)&lt;=5,COUNTIF('Sources &amp; Change Log'!$J$2:$J$5,S$4)=0,COUNTIFS('Team Calendar'!$A$5:$A$12,$F29,'Team Calendar'!$C$5:$C$12,S$4)=0),1,"")</x:f>
      </x:c>
      <x:c r="T29" s="107" t="str">
        <x:f>IF(AND(ISNUMBER($D29),ISNUMBER($E29),T$4&gt;=$D29,T$4&lt;=$E29,WEEKDAY(T$4,2)&lt;=5,COUNTIF('Sources &amp; Change Log'!$J$2:$J$5,T$4)=0,COUNTIFS('Team Calendar'!$A$5:$A$12,$F29,'Team Calendar'!$C$5:$C$12,T$4)=0),1,"")</x:f>
      </x:c>
      <x:c r="U29" s="100" t="str">
        <x:f>IF(AND(ISNUMBER($D29),ISNUMBER($E29),U$4&gt;=$D29,U$4&lt;=$E29,WEEKDAY(U$4,2)&lt;=5,COUNTIF('Sources &amp; Change Log'!$J$2:$J$5,U$4)=0,COUNTIFS('Team Calendar'!$A$5:$A$12,$F29,'Team Calendar'!$C$5:$C$12,U$4)=0),1,"")</x:f>
      </x:c>
      <x:c r="V29" s="100" t="str">
        <x:f>IF(AND(ISNUMBER($D29),ISNUMBER($E29),V$4&gt;=$D29,V$4&lt;=$E29,WEEKDAY(V$4,2)&lt;=5,COUNTIF('Sources &amp; Change Log'!$J$2:$J$5,V$4)=0,COUNTIFS('Team Calendar'!$A$5:$A$12,$F29,'Team Calendar'!$C$5:$C$12,V$4)=0),1,"")</x:f>
      </x:c>
      <x:c r="W29" s="100" t="str">
        <x:f>IF(AND(ISNUMBER($D29),ISNUMBER($E29),W$4&gt;=$D29,W$4&lt;=$E29,WEEKDAY(W$4,2)&lt;=5,COUNTIF('Sources &amp; Change Log'!$J$2:$J$5,W$4)=0,COUNTIFS('Team Calendar'!$A$5:$A$12,$F29,'Team Calendar'!$C$5:$C$12,W$4)=0),1,"")</x:f>
      </x:c>
      <x:c r="X29" s="100" t="str">
        <x:f>IF(AND(ISNUMBER($D29),ISNUMBER($E29),X$4&gt;=$D29,X$4&lt;=$E29,WEEKDAY(X$4,2)&lt;=5,COUNTIF('Sources &amp; Change Log'!$J$2:$J$5,X$4)=0,COUNTIFS('Team Calendar'!$A$5:$A$12,$F29,'Team Calendar'!$C$5:$C$12,X$4)=0),1,"")</x:f>
      </x:c>
      <x:c r="Y29" s="100" t="str">
        <x:f>IF(AND(ISNUMBER($D29),ISNUMBER($E29),Y$4&gt;=$D29,Y$4&lt;=$E29,WEEKDAY(Y$4,2)&lt;=5,COUNTIF('Sources &amp; Change Log'!$J$2:$J$5,Y$4)=0,COUNTIFS('Team Calendar'!$A$5:$A$12,$F29,'Team Calendar'!$C$5:$C$12,Y$4)=0),1,"")</x:f>
      </x:c>
      <x:c r="Z29" s="107" t="str">
        <x:f>IF(AND(ISNUMBER($D29),ISNUMBER($E29),Z$4&gt;=$D29,Z$4&lt;=$E29,WEEKDAY(Z$4,2)&lt;=5,COUNTIF('Sources &amp; Change Log'!$J$2:$J$5,Z$4)=0,COUNTIFS('Team Calendar'!$A$5:$A$12,$F29,'Team Calendar'!$C$5:$C$12,Z$4)=0),1,"")</x:f>
      </x:c>
      <x:c r="AA29" s="107" t="str">
        <x:f>IF(AND(ISNUMBER($D29),ISNUMBER($E29),AA$4&gt;=$D29,AA$4&lt;=$E29,WEEKDAY(AA$4,2)&lt;=5,COUNTIF('Sources &amp; Change Log'!$J$2:$J$5,AA$4)=0,COUNTIFS('Team Calendar'!$A$5:$A$12,$F29,'Team Calendar'!$C$5:$C$12,AA$4)=0),1,"")</x:f>
      </x:c>
      <x:c r="AB29" s="100" t="str">
        <x:f>IF(AND(ISNUMBER($D29),ISNUMBER($E29),AB$4&gt;=$D29,AB$4&lt;=$E29,WEEKDAY(AB$4,2)&lt;=5,COUNTIF('Sources &amp; Change Log'!$J$2:$J$5,AB$4)=0,COUNTIFS('Team Calendar'!$A$5:$A$12,$F29,'Team Calendar'!$C$5:$C$12,AB$4)=0),1,"")</x:f>
      </x:c>
      <x:c r="AC29" s="100" t="str">
        <x:f>IF(AND(ISNUMBER($D29),ISNUMBER($E29),AC$4&gt;=$D29,AC$4&lt;=$E29,WEEKDAY(AC$4,2)&lt;=5,COUNTIF('Sources &amp; Change Log'!$J$2:$J$5,AC$4)=0,COUNTIFS('Team Calendar'!$A$5:$A$12,$F29,'Team Calendar'!$C$5:$C$12,AC$4)=0),1,"")</x:f>
      </x:c>
      <x:c r="AD29" s="100" t="str">
        <x:f>IF(AND(ISNUMBER($D29),ISNUMBER($E29),AD$4&gt;=$D29,AD$4&lt;=$E29,WEEKDAY(AD$4,2)&lt;=5,COUNTIF('Sources &amp; Change Log'!$J$2:$J$5,AD$4)=0,COUNTIFS('Team Calendar'!$A$5:$A$12,$F29,'Team Calendar'!$C$5:$C$12,AD$4)=0),1,"")</x:f>
      </x:c>
      <x:c r="AE29" s="100" t="str">
        <x:f>IF(AND(ISNUMBER($D29),ISNUMBER($E29),AE$4&gt;=$D29,AE$4&lt;=$E29,WEEKDAY(AE$4,2)&lt;=5,COUNTIF('Sources &amp; Change Log'!$J$2:$J$5,AE$4)=0,COUNTIFS('Team Calendar'!$A$5:$A$12,$F29,'Team Calendar'!$C$5:$C$12,AE$4)=0),1,"")</x:f>
      </x:c>
      <x:c r="AF29" s="100" t="str">
        <x:f>IF(AND(ISNUMBER($D29),ISNUMBER($E29),AF$4&gt;=$D29,AF$4&lt;=$E29,WEEKDAY(AF$4,2)&lt;=5,COUNTIF('Sources &amp; Change Log'!$J$2:$J$5,AF$4)=0,COUNTIFS('Team Calendar'!$A$5:$A$12,$F29,'Team Calendar'!$C$5:$C$12,AF$4)=0),1,"")</x:f>
      </x:c>
      <x:c r="AG29" s="107" t="str">
        <x:f>IF(AND(ISNUMBER($D29),ISNUMBER($E29),AG$4&gt;=$D29,AG$4&lt;=$E29,WEEKDAY(AG$4,2)&lt;=5,COUNTIF('Sources &amp; Change Log'!$J$2:$J$5,AG$4)=0,COUNTIFS('Team Calendar'!$A$5:$A$12,$F29,'Team Calendar'!$C$5:$C$12,AG$4)=0),1,"")</x:f>
      </x:c>
      <x:c r="AH29" s="107" t="str">
        <x:f>IF(AND(ISNUMBER($D29),ISNUMBER($E29),AH$4&gt;=$D29,AH$4&lt;=$E29,WEEKDAY(AH$4,2)&lt;=5,COUNTIF('Sources &amp; Change Log'!$J$2:$J$5,AH$4)=0,COUNTIFS('Team Calendar'!$A$5:$A$12,$F29,'Team Calendar'!$C$5:$C$12,AH$4)=0),1,"")</x:f>
      </x:c>
      <x:c r="AI29" s="100" t="n">
        <x:f>IF(AND(ISNUMBER($D29),ISNUMBER($E29),AI$4&gt;=$D29,AI$4&lt;=$E29,WEEKDAY(AI$4,2)&lt;=5,COUNTIF('Sources &amp; Change Log'!$J$2:$J$5,AI$4)=0,COUNTIFS('Team Calendar'!$A$5:$A$12,$F29,'Team Calendar'!$C$5:$C$12,AI$4)=0),1,"")</x:f>
        <x:v>1</x:v>
      </x:c>
    </x:row>
  </x:sheetData>
  <x:mergeCells>
    <x:mergeCell ref="A1:AI1"/>
    <x:mergeCell ref="A2:AI2"/>
  </x:mergeCells>
  <x:conditionalFormatting sqref="G5:AI29">
    <x:cfRule type="expression" dxfId="14" priority="1">
      <x:formula>AND(G5=1,$C5="Done")</x:formula>
    </x:cfRule>
    <x:cfRule type="expression" dxfId="15" priority="2">
      <x:formula>AND(G5=1,$C5="In Progress")</x:formula>
    </x:cfRule>
    <x:cfRule type="expression" dxfId="16" priority="3">
      <x:formula>AND(G5=1,$C5="In Review")</x:formula>
    </x:cfRule>
    <x:cfRule type="expression" dxfId="17" priority="4">
      <x:formula>AND(G5=1,$C5="To Do")</x:formula>
    </x:cfRule>
    <x:cfRule type="expression" dxfId="18" priority="5">
      <x:formula>AND(G5=1,$C5="Blocked")</x:formula>
    </x:cfRule>
  </x:conditionalFormatting>
  <x:conditionalFormatting sqref="C5:C29">
    <x:cfRule type="containsText" dxfId="19" priority="6" operator="containsText" text="Done"/>
    <x:cfRule type="containsText" dxfId="20" priority="7" operator="containsText" text="In Progress"/>
    <x:cfRule type="containsText" dxfId="21" priority="8" operator="containsText" text="In Review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8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42" hidden="0" customWidth="1"/>
    <x:col min="9" max="9" width="56" hidden="0" customWidth="1"/>
    <x:col min="10" max="10" width="34" hidden="0" customWidth="1"/>
  </x:cols>
  <x:sheetData>
    <x:row r="1" ht="34" customHeight="1">
      <x:c r="A1" s="79" t="str">
        <x:v>FDS v3.1.19 · Milestones &amp; Decision Calendar (CANDIDATE)</x:v>
      </x:c>
      <x:c r="B1" s="79"/>
      <x:c r="C1" s="79"/>
      <x:c r="D1" s="79"/>
      <x:c r="E1" s="79"/>
      <x:c r="F1" s="79"/>
      <x:c r="G1" s="79"/>
      <x:c r="H1" s="79"/>
      <x:c r="I1" s="79"/>
      <x:c r="J1" s="79"/>
    </x:row>
    <x:row r="3">
      <x:c r="A3" s="9" t="str">
        <x:v>ID</x:v>
      </x:c>
      <x:c r="B3" s="9" t="str">
        <x:v>Item</x:v>
      </x:c>
      <x:c r="C3" s="9" t="str">
        <x:v>Type</x:v>
      </x:c>
      <x:c r="D3" s="9" t="str">
        <x:v>Status</x:v>
      </x:c>
      <x:c r="E3" s="9" t="str">
        <x:v>Date / Start</x:v>
      </x:c>
      <x:c r="F3" s="9" t="str">
        <x:v>End</x:v>
      </x:c>
      <x:c r="G3" s="9" t="str">
        <x:v>Lead</x:v>
      </x:c>
      <x:c r="H3" s="9" t="str">
        <x:v>Decision / Exit</x:v>
      </x:c>
      <x:c r="I3" s="9" t="str">
        <x:v>Schedule note</x:v>
      </x:c>
      <x:c r="J3" s="9" t="str">
        <x:v>Lead action</x:v>
      </x:c>
    </x:row>
    <x:row r="4">
      <x:c r="A4" s="13" t="str">
        <x:v>MS-G0-01</x:v>
      </x:c>
      <x:c r="B4" s="13" t="str">
        <x:v>G0 Design Freeze</x:v>
      </x:c>
      <x:c r="C4" s="13" t="str">
        <x:v>Milestone</x:v>
      </x:c>
      <x:c r="D4" s="13" t="str">
        <x:v>Done</x:v>
      </x:c>
      <x:c r="E4" s="19" t="n">
        <x:v>46260</x:v>
      </x:c>
      <x:c r="F4" s="19" t="n">
        <x:v>46266</x:v>
      </x:c>
      <x:c r="G4" s="13" t="str">
        <x:v>이권욱</x:v>
      </x:c>
      <x:c r="H4" s="13" t="str">
        <x:v>D-ARC-01·D-NET-01·D-WBS-01·D-SEC-01 승인과 정본 Evidence를 확인하고 G0 FULL PASS 기록 확보</x:v>
      </x:c>
      <x:c r="I4" s="13" t="str">
        <x:v>G0 Design Freeze FULL PASS (2026-09-01).</x:v>
      </x:c>
      <x:c r="J4" s="13" t="str">
        <x:v>Lifecycle only; Runtime separate</x:v>
      </x:c>
    </x:row>
    <x:row r="5">
      <x:c r="A5" s="13" t="str">
        <x:v>MS-G1-01</x:v>
      </x:c>
      <x:c r="B5" s="13" t="str">
        <x:v>G1 Infrastructure Ready</x:v>
      </x:c>
      <x:c r="C5" s="13" t="str">
        <x:v>Milestone</x:v>
      </x:c>
      <x:c r="D5" s="13" t="str">
        <x:v>To Do</x:v>
      </x:c>
      <x:c r="E5" s="19" t="n">
        <x:v>46282</x:v>
      </x:c>
      <x:c r="F5" s="19" t="n">
        <x:v>46282</x:v>
      </x:c>
      <x:c r="G5" s="13" t="str">
        <x:v>이권욱</x:v>
      </x:c>
      <x:c r="H5" s="13" t="str">
        <x:v>CentOS/containerd, Ansible Inventory/SSH/멱등성, 3CP+3Worker, API LB/Calico, Harbor/Runner/PostgreSQL, Node Connectivity와 Push/Pull 준비도 승인</x:v>
      </x:c>
      <x:c r="I5" s="13" t="str">
        <x:v>09-17 오후 조건부 인수 목표. 6대·API/LB·Calico·DB·Harbor·Runner 증적 미충족이면 PASS 불가. 실제 상태·완료 판정은 유지한다. 세부 배정: Fast Track Plan 시트.</x:v>
      </x:c>
      <x:c r="J5" s="13" t="str">
        <x:v>Lifecycle only; Runtime separate</x:v>
      </x:c>
    </x:row>
    <x:row r="6">
      <x:c r="A6" s="13" t="str">
        <x:v>MS-G2-01</x:v>
      </x:c>
      <x:c r="B6" s="13" t="str">
        <x:v>G2 Security / Feature Ready</x:v>
      </x:c>
      <x:c r="C6" s="13" t="str">
        <x:v>Milestone</x:v>
      </x:c>
      <x:c r="D6" s="13" t="str">
        <x:v>To Do</x:v>
      </x:c>
      <x:c r="E6" s="19" t="n">
        <x:v>46286</x:v>
      </x:c>
      <x:c r="F6" s="19" t="n">
        <x:v>46286</x:v>
      </x:c>
      <x:c r="G6" s="13" t="str">
        <x:v>이하영</x:v>
      </x:c>
      <x:c r="H6" s="13" t="str">
        <x:v>2-Service MSA, DB 저장, Security P0, CI/CD, Monitoring, Initial E2E/Negative Test/Worker Drain 준비도를 승인</x:v>
      </x:c>
      <x:c r="I6" s="13" t="str">
        <x:v>09-21 오후 종료 시점 목표. 앱/보안/CI/Monitoring·초기 E2E/Negative/Drain 준비도와 해당 증적이 선행한다. 실제 상태·완료 판정은 유지한다. 세부 배정: Fast Track Plan 시트.</x:v>
      </x:c>
      <x:c r="J6" s="13" t="str">
        <x:v>Lifecycle only; Runtime separate</x:v>
      </x:c>
    </x:row>
    <x:row r="7">
      <x:c r="A7" s="13" t="str">
        <x:v>MS-G3-01</x:v>
      </x:c>
      <x:c r="B7" s="13" t="str">
        <x:v>G3 Review Ready</x:v>
      </x:c>
      <x:c r="C7" s="13" t="str">
        <x:v>Milestone</x:v>
      </x:c>
      <x:c r="D7" s="13" t="str">
        <x:v>To Do</x:v>
      </x:c>
      <x:c r="E7" s="19" t="n">
        <x:v>46287</x:v>
      </x:c>
      <x:c r="F7" s="19" t="n">
        <x:v>46287</x:v>
      </x:c>
      <x:c r="G7" s="13" t="str">
        <x:v>이권욱</x:v>
      </x:c>
      <x:c r="H7" s="13" t="str">
        <x:v>Final E2E/Regression, Worker Drain, PostgreSQL Restore, Critical Issue 0, Architecture/Test/Runbook 준비도를 승인</x:v>
      </x:c>
      <x:c r="I7" s="13" t="str">
        <x:v>09-22 오전 최종 회귀·Drain·Restore 증적·Critical Issue 0과 산출물 동결이 모두 충족될 때 인수한다. 실제 상태·완료 판정은 유지한다. 세부 배정: Fast Track Plan 시트.</x:v>
      </x:c>
      <x:c r="J7" s="13" t="str">
        <x:v>Lifecycle only; Runtime separate</x:v>
      </x:c>
    </x:row>
    <x:row r="8">
      <x:c r="A8" s="13" t="str">
        <x:v>MS-P1-REVIEW-01</x:v>
      </x:c>
      <x:c r="B8" s="13" t="str">
        <x:v>Phase 1 Review</x:v>
      </x:c>
      <x:c r="C8" s="13" t="str">
        <x:v>Milestone</x:v>
      </x:c>
      <x:c r="D8" s="13" t="str">
        <x:v>To Do</x:v>
      </x:c>
      <x:c r="E8" s="19" t="n">
        <x:v>46287</x:v>
      </x:c>
      <x:c r="F8" s="19" t="n">
        <x:v>46287</x:v>
      </x:c>
      <x:c r="G8" s="13" t="str">
        <x:v>이권욱</x:v>
      </x:c>
      <x:c r="H8" s="13" t="str">
        <x:v>승인된 일정에 Demo/산출물/G3/Known Issue Review를 수행하고 Action 및 승인결과를 기록</x:v>
      </x:c>
      <x:c r="I8" s="13" t="str">
        <x:v>기존 09-20 일요일 대신 09-22 화요일 오후. G3 통과와 참석자 확정이 필요하다. 실제 상태·완료 판정은 유지한다. 세부 배정: Fast Track Plan 시트.</x:v>
      </x:c>
      <x:c r="J8" s="13" t="str">
        <x:v>Lifecycle only; Runtime separate</x:v>
      </x:c>
    </x:row>
    <x:row r="9">
      <x:c r="A9" s="13" t="str">
        <x:v>MS-P1-CLOSE-01</x:v>
      </x:c>
      <x:c r="B9" s="13" t="str">
        <x:v>Phase 1 Close</x:v>
      </x:c>
      <x:c r="C9" s="13" t="str">
        <x:v>Milestone</x:v>
      </x:c>
      <x:c r="D9" s="13" t="str">
        <x:v>To Do</x:v>
      </x:c>
      <x:c r="E9" s="19" t="n">
        <x:v>46288</x:v>
      </x:c>
      <x:c r="F9" s="19" t="n">
        <x:v>46288</x:v>
      </x:c>
      <x:c r="G9" s="13" t="str">
        <x:v>이권욱</x:v>
      </x:c>
      <x:c r="H9" s="13" t="str">
        <x:v>Review Action 처리, P0 승인, P1/Known Issue Owner·Due 이관 및 Phase 1 Close Sign-off 확보</x:v>
      </x:c>
      <x:c r="I9" s="13" t="str">
        <x:v>09-24~09-25 비근무 전에 종결한다.</x:v>
      </x:c>
      <x:c r="J9" s="13" t="str">
        <x:v>Lifecycle only; Runtime separate</x:v>
      </x:c>
    </x:row>
    <x:row r="10">
      <x:c r="A10" s="13" t="str">
        <x:v>MS-P2-START-01</x:v>
      </x:c>
      <x:c r="B10" s="13" t="str">
        <x:v>Phase 2 Start</x:v>
      </x:c>
      <x:c r="C10" s="13" t="str">
        <x:v>Milestone</x:v>
      </x:c>
      <x:c r="D10" s="13" t="str">
        <x:v>To Do</x:v>
      </x:c>
      <x:c r="E10" s="19" t="n">
        <x:v>46293</x:v>
      </x:c>
      <x:c r="F10" s="19" t="n">
        <x:v>46293</x:v>
      </x:c>
      <x:c r="G10" s="13" t="str">
        <x:v>이권욱</x:v>
      </x:c>
      <x:c r="H10" s="13" t="str">
        <x:v>Phase 1 Close, Phase 2 계정·권한·일정·P0 범위·OCI Go/No-Go 계획을 확인하고 착수 승인</x:v>
      </x:c>
      <x:c r="I10" s="13" t="str">
        <x:v>09-24~09-25 비근무 후 첫 작업일에 착수한다.</x:v>
      </x:c>
      <x:c r="J10" s="13" t="str">
        <x:v>Lifecycle only; Runtime separate</x:v>
      </x:c>
    </x:row>
    <x:row r="11">
      <x:c r="A11" s="13" t="str">
        <x:v>MS-G4-01</x:v>
      </x:c>
      <x:c r="B11" s="13" t="str">
        <x:v>G4 Cloud / VPN Ready</x:v>
      </x:c>
      <x:c r="C11" s="13" t="str">
        <x:v>Milestone</x:v>
      </x:c>
      <x:c r="D11" s="13" t="str">
        <x:v>To Do</x:v>
      </x:c>
      <x:c r="E11" s="19" t="n">
        <x:v>46303</x:v>
      </x:c>
      <x:c r="F11" s="19" t="n">
        <x:v>46303</x:v>
      </x:c>
      <x:c r="G11" s="13" t="str">
        <x:v>이권욱</x:v>
      </x:c>
      <x:c r="H11" s="13" t="str">
        <x:v>Terraform 인프라, 승인 Transit/VPN, Route/Security, ROSA 선행조건 및 승인 TCP 경로 준비도 승인</x:v>
      </x:c>
      <x:c r="I11" s="13" t="str">
        <x:v>10-05 비근무를 반영한다. OCI No-Go 시 승인 Fallback 기준으로 판정한다.</x:v>
      </x:c>
      <x:c r="J11" s="13" t="str">
        <x:v>Lifecycle only; Runtime separate</x:v>
      </x:c>
    </x:row>
    <x:row r="12">
      <x:c r="A12" s="13" t="str">
        <x:v>MS-G5-01</x:v>
      </x:c>
      <x:c r="B12" s="13" t="str">
        <x:v>G5 ROSA Application Ready</x:v>
      </x:c>
      <x:c r="C12" s="13" t="str">
        <x:v>Milestone</x:v>
      </x:c>
      <x:c r="D12" s="13" t="str">
        <x:v>To Do</x:v>
      </x:c>
      <x:c r="E12" s="19" t="n">
        <x:v>46311</x:v>
      </x:c>
      <x:c r="F12" s="19" t="n">
        <x:v>46311</x:v>
      </x:c>
      <x:c r="G12" s="13" t="str">
        <x:v>이하영</x:v>
      </x:c>
      <x:c r="H12" s="13" t="str">
        <x:v>ROSA Platform/Security, P2-CICD-01 Runner 기반 Delivery, transaction-api/fds-engine Health·Rule Smoke Test와 Registry/DNS/Operator Decision 상태 승인</x:v>
      </x:c>
      <x:c r="I12" s="13" t="str">
        <x:v>Registry는 D22, Hybrid DNS는 D23을 따른다. D23 미적용은 P0 IP Endpoint 사용 시 Non-blocker다.</x:v>
      </x:c>
      <x:c r="J12" s="13" t="str">
        <x:v>Lifecycle only; Runtime separate</x:v>
      </x:c>
    </x:row>
    <x:row r="13">
      <x:c r="A13" s="13" t="str">
        <x:v>MS-G6-01</x:v>
      </x:c>
      <x:c r="B13" s="13" t="str">
        <x:v>G6 Hybrid Integration Ready</x:v>
      </x:c>
      <x:c r="C13" s="13" t="str">
        <x:v>Milestone</x:v>
      </x:c>
      <x:c r="D13" s="13" t="str">
        <x:v>To Do</x:v>
      </x:c>
      <x:c r="E13" s="19" t="n">
        <x:v>46317</x:v>
      </x:c>
      <x:c r="F13" s="19" t="n">
        <x:v>46317</x:v>
      </x:c>
      <x:c r="G13" s="13" t="str">
        <x:v>이권욱</x:v>
      </x:c>
      <x:c r="H13" s="13" t="str">
        <x:v>Hybrid DB/Registry Integration, OADP 복구검증, Hybrid E2E/Regression, Critical Issue 0을 승인</x:v>
      </x:c>
      <x:c r="I13" s="13" t="str">
        <x:v>Hybrid DNS와 Operator 공급망은 D23/D26 결과에 따라 구현 또는 Cancelled 처리한다. 같은 날 DEC-CAL-P2-01 검토를 시작해 Review 일정을 10-23까지 확정한다.</x:v>
      </x:c>
      <x:c r="J13" s="13" t="str">
        <x:v>Lifecycle only; Runtime separate</x:v>
      </x:c>
    </x:row>
    <x:row r="14">
      <x:c r="A14" s="13" t="str">
        <x:v>MS-P2-REVIEW-01</x:v>
      </x:c>
      <x:c r="B14" s="13" t="str">
        <x:v>Phase 2 Review</x:v>
      </x:c>
      <x:c r="C14" s="13" t="str">
        <x:v>Milestone</x:v>
      </x:c>
      <x:c r="D14" s="13" t="str">
        <x:v>To Do</x:v>
      </x:c>
      <x:c r="E14" s="19" t="n">
        <x:v>46318</x:v>
      </x:c>
      <x:c r="F14" s="19" t="n">
        <x:v>46318</x:v>
      </x:c>
      <x:c r="G14" s="13" t="str">
        <x:v>이권욱</x:v>
      </x:c>
      <x:c r="H14" s="13" t="str">
        <x:v>승인된 일정에 Hybrid Demo/산출물/G6/Known Issue/Cloud Resource Review를 수행하고 Action·승인결과를 기록</x:v>
      </x:c>
      <x:c r="I14" s="13" t="str">
        <x:v>교육장 주말 작업 불가로 기존 10-24 토요일 대신 10-23 금요일 오후를 권장한다. G6/Deliverable Freeze 후 진행하고 참석자는 별도 확정한다. 실제 상태·완료 판정은 유지한다. 세부 배정: Fast Track Plan 시트.</x:v>
      </x:c>
      <x:c r="J14" s="13" t="str">
        <x:v>Lifecycle only; Runtime separate</x:v>
      </x:c>
    </x:row>
    <x:row r="15">
      <x:c r="A15" s="13" t="str">
        <x:v>MS-PROJECT-CLOSE-01</x:v>
      </x:c>
      <x:c r="B15" s="13" t="str">
        <x:v>Project Close</x:v>
      </x:c>
      <x:c r="C15" s="13" t="str">
        <x:v>Milestone</x:v>
      </x:c>
      <x:c r="D15" s="13" t="str">
        <x:v>To Do</x:v>
      </x:c>
      <x:c r="E15" s="19" t="n">
        <x:v>46321</x:v>
      </x:c>
      <x:c r="F15" s="19" t="n">
        <x:v>46321</x:v>
      </x:c>
      <x:c r="G15" s="13" t="str">
        <x:v>이권욱</x:v>
      </x:c>
      <x:c r="H15" s="13" t="str">
        <x:v>Review Action, P0 승인, 후속 P1/Known Issue, Cloud Resource/Cost, Source/Deliverable 인계 및 Project Close Sign-off 확보</x:v>
      </x:c>
      <x:c r="I15" s="13" t="str">
        <x:v>D24가 Review를 10-26 이후로 이동시키면 Project Close도 Change Request 대상이다.</x:v>
      </x:c>
      <x:c r="J15" s="13" t="str">
        <x:v>Lifecycle only; Runtime separate</x:v>
      </x:c>
    </x:row>
    <x:row r="16">
      <x:c r="A16" s="13" t="str">
        <x:v>DEC-CAL-P1-01</x:v>
      </x:c>
      <x:c r="B16" s="13" t="str">
        <x:v>Phase 1 Weekend Review Decision</x:v>
      </x:c>
      <x:c r="C16" s="13" t="str">
        <x:v>Decision</x:v>
      </x:c>
      <x:c r="D16" s="13" t="str">
        <x:v>Done</x:v>
      </x:c>
      <x:c r="E16" s="19" t="n">
        <x:v>46276</x:v>
      </x:c>
      <x:c r="F16" s="19" t="n">
        <x:v>46276</x:v>
      </x:c>
      <x:c r="G16" s="13" t="str">
        <x:v>이권욱</x:v>
      </x:c>
      <x:c r="H16" s="13" t="str">
        <x:v>09-20 일요일 Review 유지 또는 영업일 재배치, 참석자·승인권자·시간·대체일을 확정하고 WBS/Calendar 동기화</x:v>
      </x:c>
      <x:c r="I16" s="13" t="str">
        <x:v>2026-09-22 오후 평일 Review로 확정. 발표자료 담당자별 상세 일정에 이권욱·이하영·이재환 Review 역할이 배정되어 있고 #29/#30/#31 일정도 09-22로 정렬됨. 사용자 확인을 일정 결정 승인 근거로 삼아 Done 처리한다. 실제 G3 PASS·Review 결과·Phase 1 Close 승인은 #29/#30/#31에서 별도 판정한다. 교육장 주말 작업 0 원칙 유지.</x:v>
      </x:c>
      <x:c r="J16" s="13" t="str">
        <x:v>Lifecycle only; Runtime separate</x:v>
      </x:c>
    </x:row>
    <x:row r="17">
      <x:c r="A17" s="13" t="str">
        <x:v>DEC-CAL-P2-01</x:v>
      </x:c>
      <x:c r="B17" s="13" t="str">
        <x:v>Phase 2 Weekend Review Decision</x:v>
      </x:c>
      <x:c r="C17" s="13" t="str">
        <x:v>Decision</x:v>
      </x:c>
      <x:c r="D17" s="13" t="str">
        <x:v>To Do</x:v>
      </x:c>
      <x:c r="E17" s="19" t="n">
        <x:v>46317</x:v>
      </x:c>
      <x:c r="F17" s="19" t="n">
        <x:v>46317</x:v>
      </x:c>
      <x:c r="G17" s="13" t="str">
        <x:v>이권욱</x:v>
      </x:c>
      <x:c r="H17" s="13" t="str">
        <x:v>10-24 토요일 Review 유지 또는 영업일 재배치, 참석자·승인권자·시간·Project Close 영향도를 확정하고 WBS 동기화</x:v>
      </x:c>
      <x:c r="I17" s="13" t="str">
        <x:v>교육장 주말 작업 불가를 반영해 10-22까지 평일 10-23 오후 Review의 참석자·시간을 확정한다. 상태는 To Do다. 실제 상태·완료 판정은 유지한다. 세부 배정: Fast Track Plan 시트.</x:v>
      </x:c>
      <x:c r="J17" s="13" t="str">
        <x:v>Lifecycle only; Runtime separate</x:v>
      </x:c>
    </x:row>
    <x:row r="18">
      <x:c r="A18" s="13" t="str">
        <x:v>ICR-D-NET-01-01</x:v>
      </x:c>
      <x:c r="B18" s="13" t="str">
        <x:v>Kubernetes Node Host Firewall / Monitoring Route</x:v>
      </x:c>
      <x:c r="C18" s="13" t="str">
        <x:v>Change Request</x:v>
      </x:c>
      <x:c r="D18" s="13" t="str">
        <x:v>In Progress</x:v>
      </x:c>
      <x:c r="E18" s="19" t="n">
        <x:v>46266</x:v>
      </x:c>
      <x:c r="F18" s="19" t="n">
        <x:v>46286</x:v>
      </x:c>
      <x:c r="G18" s="13" t="str">
        <x:v>이권욱</x:v>
      </x:c>
      <x:c r="H18" s="13" t="str">
        <x:v>Kubernetes 6개 Node의 보호 공백 없는 firewalld→Calico named HEP/GNP 전환, 30080/9100/10250 최소 허용, 관리망 반환 경로와 IF-06B 정합화, Positive/Negative/Regression/Reboot/Rollback 및 무결성 Evidence 완료</x:v>
      </x:c>
      <x:c r="I18" s="13" t="str">
        <x:v>09-21은 권장 Plan End이며 실제 종료일 확정이나 AC 완료가 아니다. 기존 End TBD 이력은 보존한다. CP→Worker·NTP·IF-16을 먼저, IF-06B·Negative/Reboot/Rollback·보호 인계를 후속 검증한다. 실제 상태·완료 판정은 유지한다. 세부 배정: Fast Track Plan 시트.</x:v>
      </x:c>
      <x:c r="J18" s="13" t="str">
        <x:v>Lifecycle only; Runtime separate</x:v>
      </x:c>
    </x:row>
    <x:row r="19" ht="38" customHeight="1">
      <x:c r="A19" s="67" t="str">
        <x:v>D36</x:v>
      </x:c>
      <x:c r="B19" s="67" t="str">
        <x:v>Team Availability / Phase 1 Schedule &amp; Status Update</x:v>
      </x:c>
      <x:c r="C19" s="67" t="str">
        <x:v>Decision</x:v>
      </x:c>
      <x:c r="D19" s="67" t="str">
        <x:v>Done</x:v>
      </x:c>
      <x:c r="E19" s="68" t="n">
        <x:v>46268</x:v>
      </x:c>
      <x:c r="F19" s="68" t="n">
        <x:v>46268</x:v>
      </x:c>
      <x:c r="G19" s="67" t="str">
        <x:v>이권욱</x:v>
      </x:c>
      <x:c r="H19" s="67" t="str">
        <x:v>User approved JH LEE 09-04 personal leave; P1-DNS-01 Done; P1-K8S-01 In Progress</x:v>
      </x:c>
      <x:c r="I19" s="67" t="str">
        <x:v>P1-DB/G1 → 09-07; P1-APP → 09-10; P1-MON starts 09-07; downstream gates unchanged</x:v>
      </x:c>
      <x:c r="J19" s="67" t="str">
        <x:v>Release v3.1.16</x:v>
      </x:c>
    </x:row>
    <x:row r="20" ht="42" customHeight="1">
      <x:c r="A20" s="67" t="str">
        <x:v>D37</x:v>
      </x:c>
      <x:c r="B20" s="67" t="str">
        <x:v>GitHub Canonical Baseline Repository / Integrity Correction</x:v>
      </x:c>
      <x:c r="C20" s="67" t="str">
        <x:v>Decision</x:v>
      </x:c>
      <x:c r="D20" s="67" t="str">
        <x:v>Done</x:v>
      </x:c>
      <x:c r="E20" s="68" t="n">
        <x:v>46269</x:v>
      </x:c>
      <x:c r="F20" s="68" t="n">
        <x:v>46269</x:v>
      </x:c>
      <x:c r="G20" s="67" t="str">
        <x:v>이권욱</x:v>
      </x:c>
      <x:c r="H20" s="67" t="str">
        <x:v>Private 321Team/fds-project-baseline; main canonical; release/v3.1.17 candidate; PR review required</x:v>
      </x:c>
      <x:c r="I20" s="67" t="str">
        <x:v>v3.1.16 findings corrected in v3.1.17; CR-P1-ANS-01-01 review remains independent</x:v>
      </x:c>
      <x:c r="J20" s="67" t="str">
        <x:v>v3.1.17 RELEASED 2026-09-07</x:v>
      </x:c>
    </x:row>
    <x:row r="21" ht="42" customHeight="1">
      <x:c r="A21" s="67" t="str">
        <x:v>CAL-HY-20260908</x:v>
      </x:c>
      <x:c r="B21" s="67" t="str">
        <x:v>이하영 면접 휴가</x:v>
      </x:c>
      <x:c r="C21" s="67" t="str">
        <x:v>Calendar Control</x:v>
      </x:c>
      <x:c r="D21" s="68" t="str">
        <x:v>Approved</x:v>
      </x:c>
      <x:c r="E21" s="68" t="n">
        <x:v>46273</x:v>
      </x:c>
      <x:c r="F21" s="68" t="n">
        <x:v>46273</x:v>
      </x:c>
      <x:c r="G21" s="67" t="str">
        <x:v>이하영</x:v>
      </x:c>
      <x:c r="H21" s="67" t="str">
        <x:v>개인 휴가를 작업일에서 제외</x:v>
      </x:c>
      <x:c r="I21" s="67" t="str">
        <x:v>기존 일정 / Gate 날짜 유지</x:v>
      </x:c>
      <x:c r="J21" s="67" t="str">
        <x:v>User instruction 2026-09-08</x:v>
      </x:c>
    </x:row>
    <x:row r="22" ht="52" customHeight="1">
      <x:c r="A22" s="67" t="str">
        <x:v>CR-P1-ANS-01-01</x:v>
      </x:c>
      <x:c r="B22" s="67" t="str">
        <x:v>Ansible Kubernetes Node DNS Resolver 변경</x:v>
      </x:c>
      <x:c r="C22" s="67" t="str">
        <x:v>Change Request</x:v>
      </x:c>
      <x:c r="D22" s="67" t="str">
        <x:v>Done</x:v>
      </x:c>
      <x:c r="E22" s="68" t="n">
        <x:v>46269</x:v>
      </x:c>
      <x:c r="F22" s="68" t="n">
        <x:v>46272</x:v>
      </x:c>
      <x:c r="G22" s="67" t="str">
        <x:v>이권욱</x:v>
      </x:c>
      <x:c r="H22" s="67" t="str">
        <x:v>Kubernetes 6개 Node의 DNS 전환, 검색 도메인·API FQDN/Short Name·외부 DNS·직접 질의·서비스 회귀·멱등성·Rollback·Evidence 무결성 및 Support Review 완료</x:v>
      </x:c>
      <x:c r="I22" s="67" t="str">
        <x:v>2026-09-07 Runtime·멱등성·회귀·Rollback·무결성 증적과 이하영 승인 리뷰를 완료하고 이권욱 수동 승인으로 PR #1을 병합했다. GitHub Actions 실행은 0건이므로 CI PASS로 기록하지 않는다. v3.1.17의 `In Review` 표시는 발행 시점 스냅샷이며 다음 정본에서 `Done`으로 동기화한다.</x:v>
      </x:c>
      <x:c r="J22" s="67" t="str">
        <x:v>Lifecycle only; Runtime separate</x:v>
      </x:c>
    </x:row>
    <x:row r="23" ht="58" customHeight="1">
      <x:c r="A23" s="83" t="str">
        <x:v>DEC-P1-FDS-01</x:v>
      </x:c>
      <x:c r="B23" s="83" t="str">
        <x:v>거래 보류 도입 범위·판정·평가 실패·Gate 편입 결정</x:v>
      </x:c>
      <x:c r="C23" s="83" t="str">
        <x:v>Decision</x:v>
      </x:c>
      <x:c r="D23" s="83" t="str">
        <x:v>Done</x:v>
      </x:c>
      <x:c r="E23" s="84" t="n">
        <x:v>46273</x:v>
      </x:c>
      <x:c r="F23" s="84" t="n">
        <x:v>46274</x:v>
      </x:c>
      <x:c r="G23" s="83" t="str">
        <x:v>이재환</x:v>
      </x:c>
      <x:c r="H23" s="83" t="str">
        <x:v>현행 탐지·기록 유지, 신규 보류·운영 기능 미도입, 실패 정책·계약 소유권, G2 영향 없음 및 후속 검증·재검토 조건 기록</x:v>
      </x:c>
      <x:c r="I23" s="83" t="str">
        <x:v>현행 유지·신규 기능 확대 유예 결정 Done. v18 편입 이력을 유지한다. 현재 발행 정본은 v3.1.18이며 본 자료는 v19 후보이다. 신규 기능 G2 편입·Runtime 승인은 아니다.</x:v>
      </x:c>
      <x:c r="J23" s="83" t="str">
        <x:v>Lifecycle only; Runtime separate</x:v>
      </x:c>
    </x:row>
    <x:row r="24" ht="58" customHeight="1">
      <x:c r="A24" s="83" t="str">
        <x:v>DEC-P1-TXN-01</x:v>
      </x:c>
      <x:c r="B24" s="83" t="str">
        <x:v>거래 상태·API 응답·재시도·데이터 정합성 계약 결정</x:v>
      </x:c>
      <x:c r="C24" s="83" t="str">
        <x:v>Decision</x:v>
      </x:c>
      <x:c r="D24" s="83" t="str">
        <x:v>Done</x:v>
      </x:c>
      <x:c r="E24" s="84" t="n">
        <x:v>46273</x:v>
      </x:c>
      <x:c r="F24" s="84" t="n">
        <x:v>46274</x:v>
      </x:c>
      <x:c r="G24" s="83" t="str">
        <x:v>이재환</x:v>
      </x:c>
      <x:c r="H24" s="83" t="str">
        <x:v>기존 계약 유지 선택, 신규 상태/API·Migration 변경 유예, #4/#6과 정책·표현 소유권 및 기존 구현 정합성 후속 기록</x:v>
      </x:c>
      <x:c r="I24" s="83" t="str">
        <x:v>현행 유지·신규 기능 확대 유예 결정 Done. v18 편입 이력을 유지한다. 현재 발행 정본은 v3.1.18이며 본 자료는 v19 후보이다. 신규 기능 G2 편입·Runtime 승인은 아니다.</x:v>
      </x:c>
      <x:c r="J24" s="83" t="str">
        <x:v>Lifecycle only; Runtime separate</x:v>
      </x:c>
    </x:row>
    <x:row r="25" ht="58" customHeight="1">
      <x:c r="A25" s="83" t="str">
        <x:v>DEC-P1-ADMIN-01</x:v>
      </x:c>
      <x:c r="B25" s="83" t="str">
        <x:v>보안 시연 범위·테스트 전제·조건부 운영 통제 결정</x:v>
      </x:c>
      <x:c r="C25" s="83" t="str">
        <x:v>Decision</x:v>
      </x:c>
      <x:c r="D25" s="83" t="str">
        <x:v>Done</x:v>
      </x:c>
      <x:c r="E25" s="84" t="n">
        <x:v>46273</x:v>
      </x:c>
      <x:c r="F25" s="84" t="n">
        <x:v>46274</x:v>
      </x:c>
      <x:c r="G25" s="83" t="str">
        <x:v>이하영</x:v>
      </x:c>
      <x:c r="H25" s="83" t="str">
        <x:v>프론트엔드 배치 제외, 합성 데이터·최소 노출 원칙, 5개 검토 축 적용/유예, 기존 접근 통제 재사용 및 후속 시나리오 인계 기록</x:v>
      </x:c>
      <x:c r="I25" s="83" t="str">
        <x:v>현행 유지·신규 기능 확대 유예 결정 Done. v18 편입 이력을 유지한다. 현재 발행 정본은 v3.1.18이며 본 자료는 v19 후보이다. 신규 기능 G2 편입·Runtime 승인은 아니다.</x:v>
      </x:c>
      <x:c r="J25" s="83" t="str">
        <x:v>Lifecycle only; Runtime separate</x:v>
      </x:c>
    </x:row>
    <x:row r="26" ht="58" customHeight="1">
      <x:c r="A26" s="83" t="str">
        <x:v>D-SEC-01</x:v>
      </x:c>
      <x:c r="B26" s="83" t="str">
        <x:v>Security Design Scope / Approval Review</x:v>
      </x:c>
      <x:c r="C26" s="83" t="str">
        <x:v>Decision</x:v>
      </x:c>
      <x:c r="D26" s="83" t="str">
        <x:v>Done</x:v>
      </x:c>
      <x:c r="E26" s="84" t="n">
        <x:v>46260</x:v>
      </x:c>
      <x:c r="F26" s="84" t="n">
        <x:v>46266</x:v>
      </x:c>
      <x:c r="G26" s="83" t="str">
        <x:v>이하영</x:v>
      </x:c>
      <x:c r="H26" s="83" t="str">
        <x:v>승인권자 지정, D-SEC-01 검토 범위·산출물·Exit Criteria 승인, P1-SEC-01과의 경계 승인, 요구사항과 검증 증적 연결 후 Done 판정</x:v>
      </x:c>
      <x:c r="I26" s="83" t="str">
        <x:v>v3.1.14 최종 승인·정본 반영 완료. 구현은 P1-SEC-01로 이관.</x:v>
      </x:c>
      <x:c r="J26" s="83" t="str">
        <x:v>Lifecycle only; Runtime separate</x:v>
      </x:c>
    </x:row>
    <x:row r="27" ht="58" customHeight="1">
      <x:c r="A27" s="83" t="str">
        <x:v>P2-OCI-01</x:v>
      </x:c>
      <x:c r="B27" s="83" t="str">
        <x:v>OCI Relay Go / No-Go</x:v>
      </x:c>
      <x:c r="C27" s="83" t="str">
        <x:v>Decision</x:v>
      </x:c>
      <x:c r="D27" s="83" t="str">
        <x:v>To Do</x:v>
      </x:c>
      <x:c r="E27" s="84" t="n">
        <x:v>46293</x:v>
      </x:c>
      <x:c r="F27" s="84" t="n">
        <x:v>46297</x:v>
      </x:c>
      <x:c r="G27" s="83" t="str">
        <x:v>이권욱</x:v>
      </x:c>
      <x:c r="H27" s="83" t="str">
        <x:v>OCI Relay 가능성·권한·Public Endpoint·IPsec/NAT-T·Route를 검증하고 Primary 또는 승인 Fallback 경로를 선택</x:v>
      </x:c>
      <x:c r="I27" s="83" t="str">
        <x:v>10-02 Go/No-Go를 넘기지 않는다. No-Go 시 Vendor Endpoint→AWS EC2+EIP Relay→Overlay 순으로 승인된 Fallback을 선택한다.</x:v>
      </x:c>
      <x:c r="J27" s="83" t="str">
        <x:v>Lifecycle only; Runtime separate</x:v>
      </x:c>
    </x:row>
    <x:row r="28" ht="58" customHeight="1">
      <x:c r="A28" s="83" t="str">
        <x:v>DEC-P2-DNS-01</x:v>
      </x:c>
      <x:c r="B28" s="83" t="str">
        <x:v>Hybrid DNS Scope Decision</x:v>
      </x:c>
      <x:c r="C28" s="83" t="str">
        <x:v>Decision</x:v>
      </x:c>
      <x:c r="D28" s="83" t="str">
        <x:v>To Do</x:v>
      </x:c>
      <x:c r="E28" s="84" t="n">
        <x:v>46307</x:v>
      </x:c>
      <x:c r="F28" s="84" t="n">
        <x:v>46311</x:v>
      </x:c>
      <x:c r="G28" s="83" t="str">
        <x:v>이권욱</x:v>
      </x:c>
      <x:c r="H28" s="83" t="str">
        <x:v>P0 IP Endpoint 유지 또는 Hybrid DNS P1 적용을 확정하고 Resolver/Forwarding/Zone/Route/테스트·Cancelled 결정 근거를 승인</x:v>
      </x:c>
      <x:c r="I28" s="83" t="str">
        <x:v>Hybrid P0 E2E는 IP Endpoint를 허용하므로 본 P1 결정 미완료가 G5/G6를 자동 차단하지 않는다.</x:v>
      </x:c>
      <x:c r="J28" s="83" t="str">
        <x:v>Lifecycle only; Runtime separate</x:v>
      </x:c>
    </x:row>
    <x:row r="29" ht="58" customHeight="1">
      <x:c r="A29" s="83" t="str">
        <x:v>DEC-P2-OP-01</x:v>
      </x:c>
      <x:c r="B29" s="83" t="str">
        <x:v>Operator Supply Chain Scope Decision</x:v>
      </x:c>
      <x:c r="C29" s="83" t="str">
        <x:v>Decision</x:v>
      </x:c>
      <x:c r="D29" s="83" t="str">
        <x:v>To Do</x:v>
      </x:c>
      <x:c r="E29" s="84" t="n">
        <x:v>46307</x:v>
      </x:c>
      <x:c r="F29" s="84" t="n">
        <x:v>46311</x:v>
      </x:c>
      <x:c r="G29" s="83" t="str">
        <x:v>이하영</x:v>
      </x:c>
      <x:c r="H29" s="83" t="str">
        <x:v>ROSA Operator 공급망을 Direct Catalog 또는 oc-mirror/Harbor/Custom CatalogSource 중 하나로 결정하고 구현·N/A 기준 승인</x:v>
      </x:c>
      <x:c r="I29" s="83" t="str">
        <x:v>D26에서 Direct Catalog 선택 시 P2-OP-01은 Cancelled 처리하고, Mirror 선택 시 P2-OP-01을 활성화한다.</x:v>
      </x:c>
      <x:c r="J29" s="83" t="str">
        <x:v>Lifecycle only; Runtime separate</x:v>
      </x:c>
    </x:row>
    <x:row r="30" ht="58" customHeight="1">
      <x:c r="A30" s="83" t="str">
        <x:v>DEC-P2-REG-01</x:v>
      </x:c>
      <x:c r="B30" s="83" t="str">
        <x:v>ROSA Image Registry Source Decision</x:v>
      </x:c>
      <x:c r="C30" s="83" t="str">
        <x:v>Decision</x:v>
      </x:c>
      <x:c r="D30" s="83" t="str">
        <x:v>To Do</x:v>
      </x:c>
      <x:c r="E30" s="84" t="n">
        <x:v>46307</x:v>
      </x:c>
      <x:c r="F30" s="84" t="n">
        <x:v>46311</x:v>
      </x:c>
      <x:c r="G30" s="83" t="str">
        <x:v>이하영</x:v>
      </x:c>
      <x:c r="H30" s="83" t="str">
        <x:v>ROSA Image Source를 On-Prem Harbor 또는 승인 Cloud Registry로 확정하고 Route·TLS·Credential·비용·Fallback을 승인</x:v>
      </x:c>
      <x:c r="I30" s="83" t="str">
        <x:v>기준선의 ROSA→Harbor는 Optional이다. P2-APP-01 최종 Image 경로 전 10-16까지 확정한다.</x:v>
      </x:c>
      <x:c r="J30" s="83" t="str">
        <x:v>Lifecycle only; Runtime separate</x:v>
      </x:c>
    </x:row>
    <x:row r="31" ht="58" customHeight="1">
      <x:c r="A31" s="83" t="str">
        <x:v>MS-DELIVERABLE-FREEZE-01</x:v>
      </x:c>
      <x:c r="B31" s="83" t="str">
        <x:v>Deliverable Freeze</x:v>
      </x:c>
      <x:c r="C31" s="83" t="str">
        <x:v>Milestone</x:v>
      </x:c>
      <x:c r="D31" s="83" t="str">
        <x:v>To Do</x:v>
      </x:c>
      <x:c r="E31" s="84" t="n">
        <x:v>46318</x:v>
      </x:c>
      <x:c r="F31" s="84" t="n">
        <x:v>46318</x:v>
      </x:c>
      <x:c r="G31" s="83" t="str">
        <x:v>이권욱</x:v>
      </x:c>
      <x:c r="H31" s="83" t="str">
        <x:v>Architecture/IaC/Test/Runbook/Evidence/Decision/Known Issue의 최종 Version과 변경금지를 승인</x:v>
      </x:c>
      <x:c r="I31" s="83" t="str">
        <x:v>Freeze 이후 변경은 Review Action 또는 Change Request로만 허용한다.</x:v>
      </x:c>
      <x:c r="J31" s="83" t="str">
        <x:v>Lifecycle only; Runtime separate</x:v>
      </x:c>
    </x:row>
    <x:row r="32" ht="44" customHeight="1">
      <x:c r="A32" s="67" t="str">
        <x:v>CAL-HY-20260910</x:v>
      </x:c>
      <x:c r="B32" s="67" t="str">
        <x:v>이하영 면접 휴가</x:v>
      </x:c>
      <x:c r="C32" s="67" t="str">
        <x:v>Calendar Control</x:v>
      </x:c>
      <x:c r="D32" s="67" t="str">
        <x:v>Approved</x:v>
      </x:c>
      <x:c r="E32" s="68" t="n">
        <x:v>46275</x:v>
      </x:c>
      <x:c r="F32" s="68" t="n">
        <x:v>46275</x:v>
      </x:c>
      <x:c r="G32" s="67" t="str">
        <x:v>이하영</x:v>
      </x:c>
      <x:c r="H32" s="67" t="str">
        <x:v>개인 휴가를 가용일에서 제외</x:v>
      </x:c>
      <x:c r="I32" s="67" t="str">
        <x:v>09-08 유지 / 계획일·Gate 이동 없음</x:v>
      </x:c>
      <x:c r="J32" s="67" t="str">
        <x:v>User instruction 2026-09-10</x:v>
      </x:c>
    </x:row>
    <x:row r="33" ht="65" customHeight="1">
      <x:c r="A33" s="148" t="str">
        <x:v>CR-P1-MON-01-01</x:v>
      </x:c>
      <x:c r="B33" s="148" t="str">
        <x:v>Alertmanager Egress 프록시 서버 구성</x:v>
      </x:c>
      <x:c r="C33" s="148" t="str">
        <x:v>Change Request</x:v>
      </x:c>
      <x:c r="D33" s="148" t="str">
        <x:v>In Progress</x:v>
      </x:c>
      <x:c r="E33" s="149" t="n">
        <x:v>46276</x:v>
      </x:c>
      <x:c r="F33" s="149"/>
      <x:c r="G33" s="148" t="str">
        <x:v>이하영</x:v>
      </x:c>
      <x:c r="H33" s="148" t="str">
        <x:v>discord.com 아웃바운드 확인, 프록시 전용 VM 확정, Squid/Nginx 구성 및 discord.com allowlist 적용, 고정 IP·포트를 [Issue B(#75)](https://github.com/321Team/fds-project-baseline/issues/75)에 전달</x:v>
      </x:c>
      <x:c r="I33" s="148" t="str">
        <x:v>Lead 이하영·Support 이재환, Start 2026-09-11·End TBD. 프록시 배치와 고정 scheme/host/IP/port를 확정하여 #75에 인계한다. 종료일은 후속 계획에서 확정한다. 교육장 주말 작업은 배정하지 않는다. G2는 추적용 분류이며 기존 P0/G2 Acceptance에 필수 조건을 자동 추가하지 않는다.</x:v>
      </x:c>
      <x:c r="J33" s="148" t="str">
        <x:v>Lifecycle only; Runtime separate</x:v>
      </x:c>
    </x:row>
    <x:row r="34" ht="65" customHeight="1">
      <x:c r="A34" s="148" t="str">
        <x:v>CR-P1-MON-01-02</x:v>
      </x:c>
      <x:c r="B34" s="148" t="str">
        <x:v>Alertmanager Egress Kubernetes 보안 설정 (NetworkPolicy)</x:v>
      </x:c>
      <x:c r="C34" s="148" t="str">
        <x:v>Change Request</x:v>
      </x:c>
      <x:c r="D34" s="148" t="str">
        <x:v>In Progress</x:v>
      </x:c>
      <x:c r="E34" s="149"/>
      <x:c r="F34" s="149"/>
      <x:c r="G34" s="148" t="str">
        <x:v>이하영</x:v>
      </x:c>
      <x:c r="H34" s="148" t="str">
        <x:v>Alertmanager 전용 NetworkPolicy(Egress) 작성·적용, podSelector 라벨 확정, Secret 주입·회전·폐기 절차 확정, 검증(허용/차단/알림 전송) 완료 및 Support Review 완료</x:v>
      </x:c>
      <x:c r="I34" s="148" t="str">
        <x:v>Lead 이하영·Support 이재환. #74의 프록시 서버 구성 완료와 고정 proxy endpoint 인계가 선행조건이므로 Start/End는 TBD다. 인계 후 실제 selector·Secret·정책·시험에 반영한다. 초안 준비는 병행 가능하며 착수일 확정으로 간주하지 않는다. 교육장 주말 작업은 배정하지 않는다. G2는 추적용 분류이며 기존 P0/G2 Acceptance에 필수 조건을 자동 추가하지 않는다.</x:v>
      </x:c>
      <x:c r="J34" s="148" t="str">
        <x:v>Lifecycle only; Runtime separate</x:v>
      </x:c>
    </x:row>
    <x:row r="35" ht="65" customHeight="1">
      <x:c r="A35" s="148" t="str">
        <x:v>DEC-P1-EGRESS-01</x:v>
      </x:c>
      <x:c r="B35" s="148" t="str">
        <x:v>Alertmanager 전용 프록시 배치·예약 IP 사용 결정</x:v>
      </x:c>
      <x:c r="C35" s="148" t="str">
        <x:v>Decision</x:v>
      </x:c>
      <x:c r="D35" s="148" t="str">
        <x:v>Done</x:v>
      </x:c>
      <x:c r="E35" s="149" t="n">
        <x:v>46279</x:v>
      </x:c>
      <x:c r="F35" s="149" t="n">
        <x:v>46286</x:v>
      </x:c>
      <x:c r="G35" s="148" t="str">
        <x:v>이권욱</x:v>
      </x:c>
      <x:c r="H35" s="148" t="str">
        <x:v>배치·예외 정책 기록, 예약 IP/자산 충돌 확인, 자원 영향 검토, #74/#75 구현·인계 조건 연결</x:v>
      </x:c>
      <x:c r="I35" s="148" t="str">
        <x:v>Decision 범위 종결. 초기 계획 End 2026-09-21은 G2 추적 목표로 보존한다. 배치·정책·예약 IP/자산·자원 영향·#74/#75 구현/인계 조건 확정이 완료되어 2026-09-16 Done 처리한다. #74/#75의 Squid/NetworkPolicy Runtime·독립 리뷰·서비스 인수는 계속 별도 추적하며 본 종결로 완료 처리하지 않는다. 교육장 주말 작업 0 원칙 유지.</x:v>
      </x:c>
      <x:c r="J35" s="148" t="str">
        <x:v>Lifecycle only; Runtime separate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0" hidden="0" customWidth="1"/>
    <x:col min="3" max="3" width="36" hidden="0" customWidth="1"/>
    <x:col min="4" max="4" width="14" hidden="0" customWidth="1"/>
    <x:col min="5" max="5" width="14" hidden="0" customWidth="1"/>
    <x:col min="6" max="6" width="56" hidden="0" customWidth="1"/>
    <x:col min="7" max="7" width="30" hidden="0" customWidth="1"/>
    <x:col min="8" max="8" width="34" hidden="0" customWidth="1"/>
  </x:cols>
  <x:sheetData>
    <x:row r="1" ht="34" customHeight="1">
      <x:c r="A1" s="79" t="str">
        <x:v>FDS v3.1.19 · Risks, Assumptions &amp; Lead Decisions (CANDIDATE)</x:v>
      </x:c>
      <x:c r="B1" s="79"/>
      <x:c r="C1" s="79"/>
      <x:c r="D1" s="79"/>
      <x:c r="E1" s="79"/>
      <x:c r="F1" s="79"/>
      <x:c r="G1" s="79"/>
      <x:c r="H1" s="79"/>
    </x:row>
    <x:row r="3">
      <x:c r="A3" s="9" t="str">
        <x:v>ID</x:v>
      </x:c>
      <x:c r="B3" s="9" t="str">
        <x:v>Risk / Assumption</x:v>
      </x:c>
      <x:c r="C3" s="9" t="str">
        <x:v>Impact</x:v>
      </x:c>
      <x:c r="D3" s="9" t="str">
        <x:v>Status</x:v>
      </x:c>
      <x:c r="E3" s="9" t="str">
        <x:v>Owner</x:v>
      </x:c>
      <x:c r="F3" s="9" t="str">
        <x:v>Mitigation / Recommendation</x:v>
      </x:c>
      <x:c r="G3" s="9" t="str">
        <x:v>Decision needed</x:v>
      </x:c>
      <x:c r="H3" s="9" t="str">
        <x:v>Evidence / Trigger</x:v>
      </x:c>
    </x:row>
    <x:row r="4" ht="42" customHeight="1">
      <x:c r="A4" s="13" t="str">
        <x:v>RA-01</x:v>
      </x:c>
      <x:c r="B4" s="13" t="str">
        <x:v>server01/server08 service concentration</x:v>
      </x:c>
      <x:c r="C4" s="13" t="str">
        <x:v>External SPOF remains despite 3CP+3Worker</x:v>
      </x:c>
      <x:c r="D4" s="13" t="str">
        <x:v>Open</x:v>
      </x:c>
      <x:c r="E4" s="13" t="str">
        <x:v>이권욱</x:v>
      </x:c>
      <x:c r="F4" s="13" t="str">
        <x:v>Prioritize LB/Registry/DB/management HA roadmap</x:v>
      </x:c>
      <x:c r="G4" s="13" t="str">
        <x:v>Mentor/Lead priority</x:v>
      </x:c>
      <x:c r="H4" s="13" t="str">
        <x:v>Failure domain review</x:v>
      </x:c>
    </x:row>
    <x:row r="5" ht="42" customHeight="1">
      <x:c r="A5" s="13" t="str">
        <x:v>RA-02</x:v>
      </x:c>
      <x:c r="B5" s="13" t="str">
        <x:v>ICR-D-NET-01-01 End TBD</x:v>
      </x:c>
      <x:c r="C5" s="13" t="str">
        <x:v>G2 schedule uncertainty</x:v>
      </x:c>
      <x:c r="D5" s="13" t="str">
        <x:v>Open</x:v>
      </x:c>
      <x:c r="E5" s="13" t="str">
        <x:v>이권욱</x:v>
      </x:c>
      <x:c r="F5" s="13" t="str">
        <x:v>Set end date after canary scope and rollback approval</x:v>
      </x:c>
      <x:c r="G5" s="13" t="str">
        <x:v>End date</x:v>
      </x:c>
      <x:c r="H5" s="13" t="str">
        <x:v>ICR plan</x:v>
      </x:c>
    </x:row>
    <x:row r="6" ht="42" customHeight="1">
      <x:c r="A6" s="13" t="str">
        <x:v>RA-03</x:v>
      </x:c>
      <x:c r="B6" s="13" t="str">
        <x:v>Management return route not closed</x:v>
      </x:c>
      <x:c r="C6" s="13" t="str">
        <x:v>P1-MON watchdog linkage blocked</x:v>
      </x:c>
      <x:c r="D6" s="13" t="str">
        <x:v>Open</x:v>
      </x:c>
      <x:c r="E6" s="13" t="str">
        <x:v>이권욱</x:v>
      </x:c>
      <x:c r="F6" s="13" t="str">
        <x:v>Validate .58 route on monitor/db/harbor/edge</x:v>
      </x:c>
      <x:c r="G6" s="13" t="str">
        <x:v>Completion date</x:v>
      </x:c>
      <x:c r="H6" s="13" t="str">
        <x:v>Positive/negative route evidence</x:v>
      </x:c>
    </x:row>
    <x:row r="7" ht="42" customHeight="1">
      <x:c r="A7" s="13" t="str">
        <x:v>RA-04</x:v>
      </x:c>
      <x:c r="B7" s="13" t="str">
        <x:v>Slides 11/12 screenshots absent</x:v>
      </x:c>
      <x:c r="C7" s="13" t="str">
        <x:v>Cannot claim runtime completion</x:v>
      </x:c>
      <x:c r="D7" s="13" t="str">
        <x:v>Open</x:v>
      </x:c>
      <x:c r="E7" s="13" t="str">
        <x:v>이재환</x:v>
      </x:c>
      <x:c r="F7" s="13" t="str">
        <x:v>Attach timestamped Test ID/result/path evidence</x:v>
      </x:c>
      <x:c r="G7" s="13" t="str">
        <x:v>Evidence acceptance</x:v>
      </x:c>
      <x:c r="H7" s="13" t="str">
        <x:v>P1-MON / DR evidence</x:v>
      </x:c>
    </x:row>
    <x:row r="8" ht="42" customHeight="1">
      <x:c r="A8" s="13" t="str">
        <x:v>RA-05</x:v>
      </x:c>
      <x:c r="B8" s="13" t="str">
        <x:v>Weekend classroom unavailable; reviews moved to weekdays</x:v>
      </x:c>
      <x:c r="C8" s="13" t="str">
        <x:v>Attendance and close-date risk</x:v>
      </x:c>
      <x:c r="D8" s="13" t="str">
        <x:v>Schedule proposal</x:v>
      </x:c>
      <x:c r="E8" s="13" t="str">
        <x:v>이권욱</x:v>
      </x:c>
      <x:c r="F8" s="13" t="str">
        <x:v>D20/D24 keep or move to business day</x:v>
      </x:c>
      <x:c r="G8" s="13" t="str">
        <x:v>Calendar decision</x:v>
      </x:c>
      <x:c r="H8" s="13" t="str">
        <x:v>Approved calendar</x:v>
      </x:c>
    </x:row>
    <x:row r="9" ht="42" customHeight="1">
      <x:c r="A9" s="13" t="str">
        <x:v>RA-06</x:v>
      </x:c>
      <x:c r="B9" s="13" t="str">
        <x:v>JH absent 09-14–17; handoff due 09-11</x:v>
      </x:c>
      <x:c r="C9" s="13" t="str">
        <x:v>P1-DB/G1/APP/MON 및 HA/DR/E2E ownership conflict</x:v>
      </x:c>
      <x:c r="D9" s="13" t="str">
        <x:v>Open / critical dependency</x:v>
      </x:c>
      <x:c r="E9" s="13" t="str">
        <x:v>이권욱</x:v>
      </x:c>
      <x:c r="F9" s="13" t="str">
        <x:v>09-04 owner-specific 일정 재기준선 반영; 지원 이권욱·이하영. 09/14–17 실행·리뷰 커버리지 유지.</x:v>
      </x:c>
      <x:c r="G9" s="13" t="str">
        <x:v>No further decision for 09-04; later absence coverage remains active</x:v>
      </x:c>
      <x:c r="H9" s="13" t="str">
        <x:v>D36; Team Calendar; updated WBS</x:v>
      </x:c>
    </x:row>
    <x:row r="10" ht="42" customHeight="1">
      <x:c r="A10" s="13" t="str">
        <x:v>RA-07</x:v>
      </x:c>
      <x:c r="B10" s="13" t="str">
        <x:v>HEP/GNP lockout</x:v>
      </x:c>
      <x:c r="C10" s="13" t="str">
        <x:v>SSH/API/CNI outage</x:v>
      </x:c>
      <x:c r="D10" s="13" t="str">
        <x:v>Open</x:v>
      </x:c>
      <x:c r="E10" s="13" t="str">
        <x:v>이하영</x:v>
      </x:c>
      <x:c r="F10" s="13" t="str">
        <x:v>Bootstrap allow → canary Worker → Worker → CP; rollback</x:v>
      </x:c>
      <x:c r="G10" s="13" t="str">
        <x:v>Canary gate</x:v>
      </x:c>
      <x:c r="H10" s="13" t="str">
        <x:v>Connectivity regression</x:v>
      </x:c>
    </x:row>
    <x:row r="11" ht="42" customHeight="1">
      <x:c r="A11" s="13" t="str">
        <x:v>RA-08</x:v>
      </x:c>
      <x:c r="B11" s="13" t="str">
        <x:v>externalTrafficPolicy Local without local endpoint</x:v>
      </x:c>
      <x:c r="C11" s="13" t="str">
        <x:v>Traffic dropped on selected Worker</x:v>
      </x:c>
      <x:c r="D11" s="13" t="str">
        <x:v>Open</x:v>
      </x:c>
      <x:c r="E11" s="13" t="str">
        <x:v>이권욱</x:v>
      </x:c>
      <x:c r="F11" s="13" t="str">
        <x:v>Replica topology + LB health excludes node</x:v>
      </x:c>
      <x:c r="G11" s="13" t="str">
        <x:v>Backend health policy</x:v>
      </x:c>
      <x:c r="H11" s="13" t="str">
        <x:v>Node-local endpoint test</x:v>
      </x:c>
    </x:row>
    <x:row r="12" ht="42" customHeight="1">
      <x:c r="A12" s="13" t="str">
        <x:v>RA-09</x:v>
      </x:c>
      <x:c r="B12" s="13" t="str">
        <x:v>Trivy severity threshold not explicit in canonical</x:v>
      </x:c>
      <x:c r="C12" s="13" t="str">
        <x:v>Pipeline gate ambiguity</x:v>
      </x:c>
      <x:c r="D12" s="13" t="str">
        <x:v>Open</x:v>
      </x:c>
      <x:c r="E12" s="13" t="str">
        <x:v>이하영</x:v>
      </x:c>
      <x:c r="F12" s="13" t="str">
        <x:v>Approve HIGH/CRITICAL fail threshold in P1-CICD-01</x:v>
      </x:c>
      <x:c r="G12" s="13" t="str">
        <x:v>Threshold approval</x:v>
      </x:c>
      <x:c r="H12" s="13" t="str">
        <x:v>Negative scan gate</x:v>
      </x:c>
    </x:row>
    <x:row r="13" ht="42" customHeight="1">
      <x:c r="A13" s="13" t="str">
        <x:v>RA-10</x:v>
      </x:c>
      <x:c r="B13" s="13" t="str">
        <x:v>Kubernetes minor / PSA version TBD</x:v>
      </x:c>
      <x:c r="C13" s="13" t="str">
        <x:v>Unexpected admission change on upgrade</x:v>
      </x:c>
      <x:c r="D13" s="13" t="str">
        <x:v>Open</x:v>
      </x:c>
      <x:c r="E13" s="13" t="str">
        <x:v>이하영</x:v>
      </x:c>
      <x:c r="F13" s="13" t="str">
        <x:v>Read cluster minor in P1-K8S then pin PSA version</x:v>
      </x:c>
      <x:c r="G13" s="13" t="str">
        <x:v>Version value</x:v>
      </x:c>
      <x:c r="H13" s="13" t="str">
        <x:v>kubectl version evidence</x:v>
      </x:c>
    </x:row>
    <x:row r="14" ht="36" customHeight="1">
      <x:c r="A14" s="67" t="str">
        <x:v>RA-11</x:v>
      </x:c>
      <x:c r="B14" s="67" t="str">
        <x:v>HY leave 09-08 / 09-10; review capacity constraint</x:v>
      </x:c>
      <x:c r="C14" s="67" t="str">
        <x:v>P1-K8S/P1-HBR/P1-SEC Lead gap; review/support capacity reduced</x:v>
      </x:c>
      <x:c r="D14" s="67" t="str">
        <x:v>Mitigated / Watch</x:v>
      </x:c>
      <x:c r="E14" s="67" t="str">
        <x:v>이권욱</x:v>
      </x:c>
      <x:c r="F14" s="67" t="str">
        <x:v>No solo closure; GU coverage; rebaseline only by separate approval</x:v>
      </x:c>
      <x:c r="G14" s="67" t="str">
        <x:v>Reassess actual delay after return</x:v>
      </x:c>
      <x:c r="H14" s="67" t="str">
        <x:v>Team Calendar; updated WBS/Gantt</x:v>
      </x:c>
    </x:row>
  </x:sheetData>
  <x:mergeCells>
    <x:mergeCell ref="A1:H1"/>
  </x:mergeCells>
  <x:conditionalFormatting sqref="D4:D13">
    <x:cfRule type="containsText" dxfId="22" priority="1" operator="containsText" text="Open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20" hidden="0" customWidth="1"/>
    <x:col min="4" max="4" width="30" hidden="0" customWidth="1"/>
    <x:col min="5" max="5" width="58" hidden="0" customWidth="1"/>
    <x:col min="7" max="7" width="24" hidden="0" customWidth="1"/>
    <x:col min="8" max="8" width="52" hidden="0" customWidth="1"/>
    <x:col min="10" max="10" width="24" hidden="0" customWidth="1"/>
  </x:cols>
  <x:sheetData>
    <x:row r="1" ht="34" customHeight="1">
      <x:c r="A1" s="79" t="str">
        <x:v>FDS v3.1.19 · Sources &amp; Change Log (CANDIDATE)</x:v>
      </x:c>
      <x:c r="B1" s="79"/>
      <x:c r="C1" s="79"/>
      <x:c r="D1" s="79"/>
      <x:c r="E1" s="79"/>
      <x:c r="F1" s="79"/>
      <x:c r="G1" s="79"/>
      <x:c r="H1" s="79"/>
      <x:c r="I1" s="79"/>
      <x:c r="J1" s="79"/>
    </x:row>
    <x:row r="2">
      <x:c r="J2" s="15" t="n">
        <x:v>46289</x:v>
      </x:c>
    </x:row>
    <x:row r="3">
      <x:c r="A3" s="9" t="str">
        <x:v>Type</x:v>
      </x:c>
      <x:c r="B3" s="9" t="str">
        <x:v>Source / Change</x:v>
      </x:c>
      <x:c r="C3" s="9" t="str">
        <x:v>Version / Date</x:v>
      </x:c>
      <x:c r="D3" s="9" t="str">
        <x:v>Use</x:v>
      </x:c>
      <x:c r="E3" s="9" t="str">
        <x:v>Notes</x:v>
      </x:c>
      <x:c r="G3" s="9" t="str">
        <x:v>Canonical change</x:v>
      </x:c>
      <x:c r="H3" s="9" t="str">
        <x:v>Applied result</x:v>
      </x:c>
      <x:c r="J3" s="15" t="n">
        <x:v>46290</x:v>
      </x:c>
    </x:row>
    <x:row r="4">
      <x:c r="A4" s="13" t="str">
        <x:v>Canonical candidate</x:v>
      </x:c>
      <x:c r="B4" s="13" t="str">
        <x:v>FDS_Project_Implementation_Baseline_v3.1.19.md</x:v>
      </x:c>
      <x:c r="C4" s="13" t="str">
        <x:v>v3.1.19 CANDIDATE</x:v>
      </x:c>
      <x:c r="D4" s="13" t="str">
        <x:v>2026-09-17</x:v>
      </x:c>
      <x:c r="E4" s="13" t="str">
        <x:v>Current candidate scope / release review pending</x:v>
      </x:c>
      <x:c r="G4" s="13" t="str">
        <x:v>D36 / Team availability</x:v>
      </x:c>
      <x:c r="H4" s="13" t="str">
        <x:v>JH LEE 09-04 personal leave approved; owner-specific calendar added</x:v>
      </x:c>
      <x:c r="J4" s="15" t="n">
        <x:v>46300</x:v>
      </x:c>
    </x:row>
    <x:row r="5">
      <x:c r="A5" s="13" t="str">
        <x:v>Canonical candidate</x:v>
      </x:c>
      <x:c r="B5" s="13" t="str">
        <x:v>FDS_v3.1.19_Canonical_Ticket_Update_Pack_v1.0.md</x:v>
      </x:c>
      <x:c r="C5" s="13" t="str">
        <x:v>v3.1.19</x:v>
      </x:c>
      <x:c r="D5" s="13" t="str">
        <x:v>2026-09-17</x:v>
      </x:c>
      <x:c r="E5" s="13" t="str">
        <x:v>67 records; 58 planning + 9 historical closed</x:v>
      </x:c>
      <x:c r="G5" s="13" t="str">
        <x:v>P1-DNS-01</x:v>
      </x:c>
      <x:c r="H5" s="13" t="str">
        <x:v>Done; technical/Evidence/Support review closed 2026-09-03</x:v>
      </x:c>
      <x:c r="J5" s="15" t="n">
        <x:v>46304</x:v>
      </x:c>
    </x:row>
    <x:row r="6">
      <x:c r="A6" s="13" t="str">
        <x:v>Canonical</x:v>
      </x:c>
      <x:c r="B6" s="13" t="str">
        <x:v>D36_Team_Availability_and_Status_Update_Record_v1.0.md</x:v>
      </x:c>
      <x:c r="C6" s="13" t="str">
        <x:v>D36 / 2026-09-03</x:v>
      </x:c>
      <x:c r="D6" s="13" t="str">
        <x:v>Personal leave / status / linked dates</x:v>
      </x:c>
      <x:c r="E6" s="13" t="str">
        <x:v>User-approved change</x:v>
      </x:c>
      <x:c r="G6" s="13" t="str">
        <x:v>P1-K8S-01</x:v>
      </x:c>
      <x:c r="H6" s="13" t="str">
        <x:v>In Progress; started 2026-09-03 after LB Stage A handoff</x:v>
      </x:c>
    </x:row>
    <x:row r="7">
      <x:c r="A7" s="13" t="str">
        <x:v>Canonical</x:v>
      </x:c>
      <x:c r="B7" s="13" t="str">
        <x:v>D-SEC-01_Kubernetes_Security_Design_Baseline_v1.0.md</x:v>
      </x:c>
      <x:c r="C7" s="13" t="str">
        <x:v>v1.0 / APPROVED</x:v>
      </x:c>
      <x:c r="D7" s="13" t="str">
        <x:v>Security controls</x:v>
      </x:c>
      <x:c r="E7" s="13" t="str">
        <x:v>Design approved; runtime evidence separate</x:v>
      </x:c>
      <x:c r="G7" s="13" t="str">
        <x:v>P1-LB-01</x:v>
      </x:c>
      <x:c r="H7" s="13" t="str">
        <x:v>In Progress; Stage A technical/Evidence PASS, Stage B pending</x:v>
      </x:c>
    </x:row>
    <x:row r="8">
      <x:c r="A8" s="13" t="str">
        <x:v>Canonical</x:v>
      </x:c>
      <x:c r="B8" s="13" t="str">
        <x:v>ICR-D-NET-01-01_Kubernetes_Node_Host_Firewall_및_Monitoring_Route_변경요청_v1.4.md</x:v>
      </x:c>
      <x:c r="C8" s="13" t="str">
        <x:v>v1.4</x:v>
      </x:c>
      <x:c r="D8" s="13" t="str">
        <x:v>HEP/GNP / route change</x:v>
      </x:c>
      <x:c r="E8" s="13" t="str">
        <x:v>End date TBD</x:v>
      </x:c>
      <x:c r="G8" s="13" t="str">
        <x:v>Schedule rebaseline</x:v>
      </x:c>
      <x:c r="H8" s="13" t="str">
        <x:v>P1-DB/G1 → 09-07; APP → 09-10; MON starts 09-07; G2/G3/Close unchanged</x:v>
      </x:c>
    </x:row>
    <x:row r="9">
      <x:c r="A9" s="13" t="str">
        <x:v>Official</x:v>
      </x:c>
      <x:c r="B9" s="13" t="str">
        <x:v>Kubernetes NetworkPolicy</x:v>
      </x:c>
      <x:c r="C9" s="13" t="str">
        <x:v>current</x:v>
      </x:c>
      <x:c r="D9" s="13" t="str">
        <x:v>Layer 3/4 policy</x:v>
      </x:c>
      <x:c r="E9" s="13" t="str">
        <x:v>https://kubernetes.io/docs/concepts/services-networking/network-policies/</x:v>
      </x:c>
      <x:c r="G9" s="13" t="str">
        <x:v>P1-MON-01</x:v>
      </x:c>
      <x:c r="H9" s="13" t="str">
        <x:v>In Progress; IF-06B 5-minute heartbeat target</x:v>
      </x:c>
    </x:row>
    <x:row r="10">
      <x:c r="A10" s="13" t="str">
        <x:v>Official</x:v>
      </x:c>
      <x:c r="B10" s="13" t="str">
        <x:v>Kubernetes Secrets encryption at rest</x:v>
      </x:c>
      <x:c r="C10" s="13" t="str">
        <x:v>current</x:v>
      </x:c>
      <x:c r="D10" s="13" t="str">
        <x:v>EncryptionConfiguration</x:v>
      </x:c>
      <x:c r="E10" s="13" t="str">
        <x:v>https://kubernetes.io/docs/tasks/administer-cluster/encrypt-data/</x:v>
      </x:c>
    </x:row>
    <x:row r="11">
      <x:c r="A11" s="13" t="str">
        <x:v>Official</x:v>
      </x:c>
      <x:c r="B11" s="13" t="str">
        <x:v>Financial cloud usage guide</x:v>
      </x:c>
      <x:c r="C11" s="13" t="str">
        <x:v>2025 revision</x:v>
      </x:c>
      <x:c r="D11" s="13" t="str">
        <x:v>Trend discussion</x:v>
      </x:c>
      <x:c r="E11" s="13" t="str">
        <x:v>https://www.fsec.or.kr/bbs/detail?bbsNo=11691&amp;menuNo=222</x:v>
      </x:c>
    </x:row>
    <x:row r="12" ht="42" customHeight="1">
      <x:c r="A12" s="67" t="str">
        <x:v>Canonical</x:v>
      </x:c>
      <x:c r="B12" s="67" t="str">
        <x:v>D37_GitHub_Canonical_Baseline_Repository_and_v3.1.17_Release_Record_v1.0.md</x:v>
      </x:c>
      <x:c r="C12" s="67" t="str">
        <x:v>D37 / 2026-09-04</x:v>
      </x:c>
      <x:c r="D12" s="67" t="str">
        <x:v>Repository governance / integrity correction</x:v>
      </x:c>
      <x:c r="E12" s="67" t="str">
        <x:v>v3.1.17 RELEASED 2026-09-07; historical control retained</x:v>
      </x:c>
    </x:row>
    <x:row r="13" ht="34" customHeight="1">
      <x:c r="A13" s="67" t="str">
        <x:v>Canonical Candidate</x:v>
      </x:c>
      <x:c r="B13" s="67" t="str">
        <x:v>User instruction / Team Availability</x:v>
      </x:c>
      <x:c r="C13" s="67" t="str">
        <x:v>2026-09-08</x:v>
      </x:c>
      <x:c r="D13" s="67" t="str">
        <x:v>WBS/Gantt owner calendar update</x:v>
      </x:c>
      <x:c r="E13" s="67" t="str">
        <x:v>HY LEE interview leave; no automatic rebaseline</x:v>
      </x:c>
      <x:c r="F13" s="67"/>
      <x:c r="G13" s="67" t="str">
        <x:v>WBS/Gantt distribution</x:v>
      </x:c>
      <x:c r="H13" s="67" t="str">
        <x:v>Mandatory in every canonical ZIP and as an independent Release Asset</x:v>
      </x:c>
      <x:c r="I13" s="67"/>
      <x:c r="J13" s="67"/>
    </x:row>
    <x:row r="14" ht="42" customHeight="1">
      <x:c r="A14" s="67" t="str">
        <x:v>Canonical Candidate</x:v>
      </x:c>
      <x:c r="B14" s="67" t="str">
        <x:v>CR-P1-ANS-01-01 / infra-ansible PR #1</x:v>
      </x:c>
      <x:c r="C14" s="67" t="str">
        <x:v>2026-09-07</x:v>
      </x:c>
      <x:c r="D14" s="67" t="str">
        <x:v>완료 CR 정본 동기화</x:v>
      </x:c>
      <x:c r="E14" s="67" t="str">
        <x:v>Acceptance Criteria 11/11 PASS; Support Review 및 수동 병합 완료</x:v>
      </x:c>
      <x:c r="F14" s="67" t="str">
        <x:v>507d8882a04f53640b07251bcc234b7d6ee81c09</x:v>
      </x:c>
      <x:c r="G14" s="67" t="str">
        <x:v>Merge Commit</x:v>
      </x:c>
      <x:c r="H14" s="67" t="str">
        <x:v>4f9bdb7c08704eebb3d1b294751e51b0721b6af4</x:v>
      </x:c>
      <x:c r="I14" s="67" t="str">
        <x:v>CI</x:v>
      </x:c>
      <x:c r="J14" s="67" t="str">
        <x:v>NOT RUN</x:v>
      </x:c>
    </x:row>
    <x:row r="15" ht="58" customHeight="1">
      <x:c r="A15" s="83" t="str">
        <x:v>Issue snapshot</x:v>
      </x:c>
      <x:c r="B15" s="83" t="str">
        <x:v>tickets/v3.1.19/sources/</x:v>
      </x:c>
      <x:c r="C15" s="83" t="str">
        <x:v>2026-09-17</x:v>
      </x:c>
      <x:c r="D15" s="83" t="str">
        <x:v>Read-only capture</x:v>
      </x:c>
      <x:c r="E15" s="83" t="str">
        <x:v>Owner reports distinguished from independent evidence</x:v>
      </x:c>
    </x:row>
    <x:row r="16" ht="58" customHeight="1">
      <x:c r="A16" s="83" t="str">
        <x:v>CR merge</x:v>
      </x:c>
      <x:c r="B16" s="83" t="str">
        <x:v>https://github.com/321Team/infra-ansible/pull/1</x:v>
      </x:c>
      <x:c r="C16" s="83" t="str">
        <x:v>4f9bdb7c08704eebb3d1b294751e51b0721b6af4</x:v>
      </x:c>
      <x:c r="D16" s="83" t="str">
        <x:v>Done 2026-09-07</x:v>
      </x:c>
      <x:c r="E16" s="83" t="str">
        <x:v>DNS resolver CR; not Bootstrap approval</x:v>
      </x:c>
    </x:row>
    <x:row r="17" ht="58" customHeight="1">
      <x:c r="A17" s="83" t="str">
        <x:v>Follow-up merge</x:v>
      </x:c>
      <x:c r="B17" s="83" t="str">
        <x:v>https://github.com/321Team/infra-ansible/pull/3</x:v>
      </x:c>
      <x:c r="C17" s="83" t="str">
        <x:v>5cbf3b657014b32a20cb5816d90d3ea5fe4951ab</x:v>
      </x:c>
      <x:c r="D17" s="83" t="str">
        <x:v>Merged</x:v>
      </x:c>
      <x:c r="E17" s="83" t="str">
        <x:v>Gate 0 code; runtime separate</x:v>
      </x:c>
    </x:row>
    <x:row r="18" ht="58" customHeight="1">
      <x:c r="A18" s="83" t="str">
        <x:v>Follow-up merge</x:v>
      </x:c>
      <x:c r="B18" s="83" t="str">
        <x:v>https://github.com/321Team/infra-ansible/pull/4</x:v>
      </x:c>
      <x:c r="C18" s="83" t="str">
        <x:v>3a02dc8934adb1f80df48ec6763689c401a1e8d6</x:v>
      </x:c>
      <x:c r="D18" s="83" t="str">
        <x:v>Merged</x:v>
      </x:c>
      <x:c r="E18" s="83" t="str">
        <x:v>SSH count guard + issue #10 operational closure</x:v>
      </x:c>
    </x:row>
    <x:row r="19" ht="58" customHeight="1">
      <x:c r="A19" s="83" t="str">
        <x:v>Evidence merge</x:v>
      </x:c>
      <x:c r="B19" s="83" t="str">
        <x:v>https://github.com/321Team/fds-project-evidence/pull/2</x:v>
      </x:c>
      <x:c r="C19" s="83" t="str">
        <x:v>36a65c64763077eabe680b81827b1c4dc6ad3fc5</x:v>
      </x:c>
      <x:c r="D19" s="83" t="str">
        <x:v>Merged</x:v>
      </x:c>
      <x:c r="E19" s="83" t="str">
        <x:v>DB evidence merge; deployed app verification incomplete</x:v>
      </x:c>
    </x:row>
    <x:row r="20" ht="58" customHeight="1">
      <x:c r="A20" s="83" t="str">
        <x:v>Working days</x:v>
      </x:c>
      <x:c r="B20" s="83" t="str">
        <x:v>Team Calendar!A5:F12</x:v>
      </x:c>
      <x:c r="C20" s="83" t="str">
        <x:v>2026-09-10</x:v>
      </x:c>
      <x:c r="D20" s="83" t="str">
        <x:v>Corrected range</x:v>
      </x:c>
      <x:c r="E20" s="83" t="str">
        <x:v>HY 09-08/09-10. Old SEC window 4 days; proposed 09-21 window 10 days.</x:v>
      </x:c>
    </x:row>
    <x:row r="21" ht="58" customHeight="1">
      <x:c r="A21" s="83" t="str">
        <x:v>Candidate delta</x:v>
      </x:c>
      <x:c r="B21" s="83" t="str">
        <x:v>audit/v3.1.19/integration/property-delta.json</x:v>
      </x:c>
      <x:c r="C21" s="83" t="str">
        <x:v>v3.1.19</x:v>
      </x:c>
      <x:c r="D21" s="83" t="str">
        <x:v>No Issue write</x:v>
      </x:c>
      <x:c r="E21" s="83" t="str">
        <x:v>Description refresh must precede fresh metadata map / plan</x:v>
      </x:c>
    </x:row>
    <x:row r="22" ht="58" customHeight="1">
      <x:c r="A22" s="83" t="str">
        <x:v>Planning count</x:v>
      </x:c>
      <x:c r="B22" s="83" t="str">
        <x:v>WBS!A4:A61</x:v>
      </x:c>
      <x:c r="C22" s="83" t="n">
        <x:v>58</x:v>
      </x:c>
      <x:c r="D22" s="83" t="str">
        <x:v>기존55 + CR2 + Decision1</x:v>
      </x:c>
      <x:c r="E22" s="83" t="str">
        <x:v>Historic closed 9 retained in Ticket Pack, excluded from backlog</x:v>
      </x:c>
    </x:row>
    <x:row r="23" ht="58" customHeight="1">
      <x:c r="A23" s="67" t="str">
        <x:v>Calendar addition</x:v>
      </x:c>
      <x:c r="B23" s="67" t="str">
        <x:v>사용자 지시: 이하영 2026-09-10 면접 휴가</x:v>
      </x:c>
      <x:c r="C23" s="67" t="str">
        <x:v>2026-09-10</x:v>
      </x:c>
      <x:c r="D23" s="67" t="str">
        <x:v>Personal absence</x:v>
      </x:c>
      <x:c r="E23" s="67" t="str">
        <x:v>09-08 유지, P1-SEC 5→4, ICR End TBD</x:v>
      </x:c>
    </x:row>
    <x:row r="24" ht="58" customHeight="1">
      <x:c r="A24" s="67" t="str">
        <x:v>ICR follow-up</x:v>
      </x:c>
      <x:c r="B24" s="67" t="str">
        <x:v>https://github.com/321Team/infra-kubernetes/pull/3</x:v>
      </x:c>
      <x:c r="C24" s="67" t="str">
        <x:v>7d44afc3afff4d322cb4dbeff4433d61e23e111a</x:v>
      </x:c>
      <x:c r="D24" s="67" t="str">
        <x:v>Merged; supplement PASS</x:v>
      </x:c>
      <x:c r="E24" s="67" t="str">
        <x:v>24/24 queries; time, kubelet cause and Cockpit mask verified. Runtime pending.</x:v>
      </x:c>
    </x:row>
    <x:row r="25" ht="58" customHeight="1">
      <x:c r="A25" s="67" t="str">
        <x:v>Runtime plans</x:v>
      </x:c>
      <x:c r="B25" s="67" t="str">
        <x:v>https://github.com/321Team/infra-kubernetes/pull/4</x:v>
      </x:c>
      <x:c r="C25" s="67" t="str">
        <x:v>PR #2 097ddb5 / #4 75d476e</x:v>
      </x:c>
      <x:c r="D25" s="67" t="str">
        <x:v>New HEAD review pending</x:v>
      </x:c>
      <x:c r="E25" s="67" t="str">
        <x:v>PR #2: onsite mock 37/37, inspect 115. PR #4: local mock 74. Runtime not verified.</x:v>
      </x:c>
    </x:row>
    <x:row r="26" ht="58" customHeight="1">
      <x:c r="A26" s="67" t="str">
        <x:v>K8S intake</x:v>
      </x:c>
      <x:c r="B26" s="67" t="str">
        <x:v>audit/v3.1.18/k8s-intake-20260910.json</x:v>
      </x:c>
      <x:c r="C26" s="67" t="str">
        <x:v>2026-09-10</x:v>
      </x:c>
      <x:c r="D26" s="67" t="str">
        <x:v>Issues #10 / #14 / #19</x:v>
      </x:c>
      <x:c r="E26" s="67" t="str">
        <x:v>Original snapshots preserved; NTP, CP2 resume, final host protection and storage pending.</x:v>
      </x:c>
    </x:row>
    <x:row r="27" ht="52" customHeight="1">
      <x:c r="A27" s="67" t="str">
        <x:v>Schedule proposal</x:v>
      </x:c>
      <x:c r="B27" s="67" t="str">
        <x:v>audit/v3.1.18/fast-track-plan.json</x:v>
      </x:c>
      <x:c r="C27" s="67" t="str">
        <x:v>2026-09-10</x:v>
      </x:c>
      <x:c r="D27" s="67" t="str">
        <x:v>User request</x:v>
      </x:c>
      <x:c r="E27" s="67" t="str">
        <x:v>Fast Tracking recommendation; actual remaining effort unmeasured</x:v>
      </x:c>
    </x:row>
    <x:row r="28" ht="52" customHeight="1">
      <x:c r="A28" s="67" t="str">
        <x:v>Calendar constraint</x:v>
      </x:c>
      <x:c r="B28" s="67" t="str">
        <x:v>주말 교육장 이용 불가 / 주말반 유입</x:v>
      </x:c>
      <x:c r="C28" s="67" t="str">
        <x:v>2026-09-10</x:v>
      </x:c>
      <x:c r="D28" s="67" t="str">
        <x:v>User input</x:v>
      </x:c>
      <x:c r="E28" s="67" t="str">
        <x:v>No weekend/absence/after-hours capacity assumed</x:v>
      </x:c>
    </x:row>
    <x:row r="29" ht="52" customHeight="1">
      <x:c r="A29" s="67" t="str">
        <x:v>Resource plan</x:v>
      </x:c>
      <x:c r="B29" s="67" t="str">
        <x:v>Fast Track Plan</x:v>
      </x:c>
      <x:c r="C29" s="67" t="str">
        <x:v>23 person-days</x:v>
      </x:c>
      <x:c r="D29" s="67" t="str">
        <x:v>AM / PM</x:v>
      </x:c>
      <x:c r="E29" s="67" t="str">
        <x:v>21.5 planned + 1.5 buffer; no person double-booked</x:v>
      </x:c>
    </x:row>
    <x:row r="30" ht="46" customHeight="1">
      <x:c r="A30" s="146" t="str">
        <x:v>Review calendar</x:v>
      </x:c>
      <x:c r="B30" s="146" t="str">
        <x:v>DEC-CAL-P1-01 / DEC-CAL-P2-01</x:v>
      </x:c>
      <x:c r="C30" s="146" t="str">
        <x:v>P1 decision Done</x:v>
      </x:c>
      <x:c r="D30" s="146" t="str">
        <x:v>P2 recommendation</x:v>
      </x:c>
      <x:c r="E30" s="146" t="str">
        <x:v>P1 09-22 PM decision approved; actual review separate. P2 10-23 PM proposed.</x:v>
      </x:c>
    </x:row>
    <x:row r="31" ht="46" customHeight="1">
      <x:c r="A31" s="146" t="str">
        <x:v>v19 approved inputs</x:v>
      </x:c>
      <x:c r="B31" s="146" t="str">
        <x:v>PR72 dates / milestone mapping</x:v>
      </x:c>
      <x:c r="C31" s="146" t="str">
        <x:v>2026-09-11</x:v>
      </x:c>
      <x:c r="D31" s="146" t="str">
        <x:v>PR72: 64/64 mapped; current snapshot: 67/67</x:v>
      </x:c>
      <x:c r="E31" s="146" t="str">
        <x:v>Plan dates flexible; runtime separate</x:v>
      </x:c>
    </x:row>
    <x:row r="32" ht="46" customHeight="1">
      <x:c r="A32" s="146" t="str">
        <x:v>v19 snapshot</x:v>
      </x:c>
      <x:c r="B32" s="146" t="str">
        <x:v>https://github.com/321Team/fds-project-baseline/pull/73</x:v>
      </x:c>
      <x:c r="C32" s="146" t="str">
        <x:v>2026-09-17</x:v>
      </x:c>
      <x:c r="D32" s="146" t="str">
        <x:v>Issue sources / PR states</x:v>
      </x:c>
      <x:c r="E32" s="146" t="str">
        <x:v>Comment/review sources captured in package</x:v>
      </x:c>
    </x:row>
    <x:row r="33" ht="46" customHeight="1">
      <x:c r="A33" s="146" t="str">
        <x:v>v19 release</x:v>
      </x:c>
      <x:c r="B33" s="146" t="str">
        <x:v>docs-v3.1.18 remains published</x:v>
      </x:c>
      <x:c r="C33" s="146" t="str">
        <x:v>2026-09-17</x:v>
      </x:c>
      <x:c r="D33" s="146" t="str">
        <x:v>CANDIDATE</x:v>
      </x:c>
      <x:c r="E33" s="146" t="str">
        <x:v>Latest HEAD independent approval pending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23" hidden="0" customWidth="1"/>
    <x:col min="5" max="5" width="23" hidden="0" customWidth="1"/>
    <x:col min="6" max="6" width="17" hidden="0" customWidth="1"/>
    <x:col min="7" max="7" width="17" hidden="0" customWidth="1"/>
    <x:col min="8" max="8" width="38" hidden="0" customWidth="1"/>
    <x:col min="9" max="9" width="25" hidden="0" customWidth="1"/>
    <x:col min="10" max="10" width="13" hidden="0" customWidth="1"/>
  </x:cols>
  <x:sheetData>
    <x:row r="1" ht="28" customHeight="1">
      <x:c r="A1" s="79" t="str">
        <x:v>FDS v3.1.19 · Team Availability Calendar (CANDIDATE)</x:v>
      </x:c>
      <x:c r="B1" s="79"/>
      <x:c r="C1" s="79"/>
      <x:c r="D1" s="79"/>
      <x:c r="E1" s="79"/>
      <x:c r="F1" s="79"/>
      <x:c r="G1" s="79"/>
      <x:c r="H1" s="79"/>
      <x:c r="I1" s="79"/>
      <x:c r="J1" s="79"/>
    </x:row>
    <x:row r="2">
      <x:c r="A2" s="33" t="str">
        <x:v>Personal absences are owner-specific. Global non-working dates remain controlled in Sources &amp; Change Log.</x:v>
      </x:c>
      <x:c r="B2" s="33"/>
      <x:c r="C2" s="33"/>
      <x:c r="D2" s="33"/>
      <x:c r="E2" s="33"/>
      <x:c r="F2" s="33"/>
      <x:c r="G2" s="33"/>
      <x:c r="H2" s="33"/>
      <x:c r="I2" s="33"/>
      <x:c r="J2" s="33"/>
    </x:row>
    <x:row r="4">
      <x:c r="A4" s="39" t="str">
        <x:v>Person</x:v>
      </x:c>
      <x:c r="B4" s="39" t="str">
        <x:v>Gantt Label</x:v>
      </x:c>
      <x:c r="C4" s="39" t="str">
        <x:v>Date</x:v>
      </x:c>
      <x:c r="D4" s="39" t="str">
        <x:v>Absence Type</x:v>
      </x:c>
      <x:c r="E4" s="39" t="str">
        <x:v>Reason</x:v>
      </x:c>
      <x:c r="F4" s="39" t="str">
        <x:v>Scope</x:v>
      </x:c>
      <x:c r="G4" s="39" t="str">
        <x:v>Availability</x:v>
      </x:c>
      <x:c r="H4" s="39" t="str">
        <x:v>Affected Ticket(s)</x:v>
      </x:c>
      <x:c r="I4" s="39" t="str">
        <x:v>Coverage</x:v>
      </x:c>
      <x:c r="J4" s="39" t="str">
        <x:v>Status</x:v>
      </x:c>
    </x:row>
    <x:row r="5">
      <x:c r="A5" s="44" t="str">
        <x:v>이하영</x:v>
      </x:c>
      <x:c r="B5" s="44" t="str">
        <x:v>HY LEE</x:v>
      </x:c>
      <x:c r="C5" s="46" t="n">
        <x:v>46262</x:v>
      </x:c>
      <x:c r="D5" s="44" t="str">
        <x:v>시험 휴가 (Exam Leave)</x:v>
      </x:c>
      <x:c r="E5" s="44" t="str">
        <x:v>시험 (Exam)</x:v>
      </x:c>
      <x:c r="F5" s="44" t="str">
        <x:v>Personal absence</x:v>
      </x:c>
      <x:c r="G5" s="44" t="str">
        <x:v>Unavailable</x:v>
      </x:c>
      <x:c r="H5" s="44" t="str">
        <x:v>P1-HBR-01</x:v>
      </x:c>
      <x:c r="I5" s="44" t="str">
        <x:v>이권욱 (GU LEE)</x:v>
      </x:c>
      <x:c r="J5" s="44" t="str">
        <x:v>Recorded</x:v>
      </x:c>
    </x:row>
    <x:row r="6">
      <x:c r="A6" s="45" t="str">
        <x:v>이재환</x:v>
      </x:c>
      <x:c r="B6" s="45" t="str">
        <x:v>JH LEE</x:v>
      </x:c>
      <x:c r="C6" s="47" t="n">
        <x:v>46269</x:v>
      </x:c>
      <x:c r="D6" s="45" t="str">
        <x:v>개인 휴가 (Personal Leave)</x:v>
      </x:c>
      <x:c r="E6" s="45" t="str">
        <x:v>개인 사정 (Personal)</x:v>
      </x:c>
      <x:c r="F6" s="45" t="str">
        <x:v>Personal absence</x:v>
      </x:c>
      <x:c r="G6" s="45" t="str">
        <x:v>Unavailable</x:v>
      </x:c>
      <x:c r="H6" s="45" t="str">
        <x:v>P1-DB-01; P1-APP-01; P1-MON-01; MS-G1-01</x:v>
      </x:c>
      <x:c r="I6" s="45" t="str">
        <x:v>이권욱·이하영 (GU/HY LEE)</x:v>
      </x:c>
      <x:c r="J6" s="45" t="str">
        <x:v>Approved</x:v>
      </x:c>
    </x:row>
    <x:row r="7">
      <x:c r="A7" s="44" t="str">
        <x:v>이재환</x:v>
      </x:c>
      <x:c r="B7" s="44" t="str">
        <x:v>JH LEE</x:v>
      </x:c>
      <x:c r="C7" s="46" t="n">
        <x:v>46279</x:v>
      </x:c>
      <x:c r="D7" s="44" t="str">
        <x:v>예비군 (Reserve Duty)</x:v>
      </x:c>
      <x:c r="E7" s="44" t="str">
        <x:v>예비군 (Reserve Duty)</x:v>
      </x:c>
      <x:c r="F7" s="44" t="str">
        <x:v>Personal absence</x:v>
      </x:c>
      <x:c r="G7" s="44" t="str">
        <x:v>Unavailable</x:v>
      </x:c>
      <x:c r="H7" s="44" t="str">
        <x:v>P1-E2E-01; P1-MON-02; P1-DR-02; P1-HA-02</x:v>
      </x:c>
      <x:c r="I7" s="44" t="str">
        <x:v>이권욱·이하영 (GU/HY LEE)</x:v>
      </x:c>
      <x:c r="J7" s="44" t="str">
        <x:v>Recorded</x:v>
      </x:c>
    </x:row>
    <x:row r="8">
      <x:c r="A8" s="44" t="str">
        <x:v>이재환</x:v>
      </x:c>
      <x:c r="B8" s="44" t="str">
        <x:v>JH LEE</x:v>
      </x:c>
      <x:c r="C8" s="46" t="n">
        <x:v>46280</x:v>
      </x:c>
      <x:c r="D8" s="44" t="str">
        <x:v>예비군 (Reserve Duty)</x:v>
      </x:c>
      <x:c r="E8" s="44" t="str">
        <x:v>예비군 (Reserve Duty)</x:v>
      </x:c>
      <x:c r="F8" s="44" t="str">
        <x:v>Personal absence</x:v>
      </x:c>
      <x:c r="G8" s="44" t="str">
        <x:v>Unavailable</x:v>
      </x:c>
      <x:c r="H8" s="44" t="str">
        <x:v>P1-E2E-01; P1-MON-02; P1-DR-02; P1-HA-02</x:v>
      </x:c>
      <x:c r="I8" s="44" t="str">
        <x:v>이권욱·이하영 (GU/HY LEE)</x:v>
      </x:c>
      <x:c r="J8" s="44" t="str">
        <x:v>Recorded</x:v>
      </x:c>
    </x:row>
    <x:row r="9">
      <x:c r="A9" s="44" t="str">
        <x:v>이재환</x:v>
      </x:c>
      <x:c r="B9" s="44" t="str">
        <x:v>JH LEE</x:v>
      </x:c>
      <x:c r="C9" s="46" t="n">
        <x:v>46281</x:v>
      </x:c>
      <x:c r="D9" s="44" t="str">
        <x:v>예비군 (Reserve Duty)</x:v>
      </x:c>
      <x:c r="E9" s="44" t="str">
        <x:v>예비군 (Reserve Duty)</x:v>
      </x:c>
      <x:c r="F9" s="44" t="str">
        <x:v>Personal absence</x:v>
      </x:c>
      <x:c r="G9" s="44" t="str">
        <x:v>Unavailable</x:v>
      </x:c>
      <x:c r="H9" s="44" t="str">
        <x:v>P1-E2E-01; P1-MON-02; P1-DR-02; P1-HA-02</x:v>
      </x:c>
      <x:c r="I9" s="44" t="str">
        <x:v>이권욱·이하영 (GU/HY LEE)</x:v>
      </x:c>
      <x:c r="J9" s="44" t="str">
        <x:v>Recorded</x:v>
      </x:c>
    </x:row>
    <x:row r="10">
      <x:c r="A10" s="44" t="str">
        <x:v>이재환</x:v>
      </x:c>
      <x:c r="B10" s="44" t="str">
        <x:v>JH LEE</x:v>
      </x:c>
      <x:c r="C10" s="46" t="n">
        <x:v>46282</x:v>
      </x:c>
      <x:c r="D10" s="44" t="str">
        <x:v>예비군 (Reserve Duty)</x:v>
      </x:c>
      <x:c r="E10" s="44" t="str">
        <x:v>예비군 (Reserve Duty)</x:v>
      </x:c>
      <x:c r="F10" s="44" t="str">
        <x:v>Personal absence</x:v>
      </x:c>
      <x:c r="G10" s="44" t="str">
        <x:v>Unavailable</x:v>
      </x:c>
      <x:c r="H10" s="44" t="str">
        <x:v>P1-E2E-01; P1-MON-02; P1-DR-02; P1-HA-02</x:v>
      </x:c>
      <x:c r="I10" s="44" t="str">
        <x:v>이권욱·이하영 (GU/HY LEE)</x:v>
      </x:c>
      <x:c r="J10" s="44" t="str">
        <x:v>Recorded</x:v>
      </x:c>
    </x:row>
    <x:row r="11" ht="34" customHeight="1">
      <x:c r="A11" s="71" t="str">
        <x:v>이하영</x:v>
      </x:c>
      <x:c r="B11" s="71" t="str">
        <x:v>HY LEE</x:v>
      </x:c>
      <x:c r="C11" s="72" t="n">
        <x:v>46273</x:v>
      </x:c>
      <x:c r="D11" s="71" t="str">
        <x:v>면접 휴가 (Interview Leave)</x:v>
      </x:c>
      <x:c r="E11" s="71" t="str">
        <x:v>면접 (Interview)</x:v>
      </x:c>
      <x:c r="F11" s="71" t="str">
        <x:v>Personal absence</x:v>
      </x:c>
      <x:c r="G11" s="71" t="str">
        <x:v>Unavailable</x:v>
      </x:c>
      <x:c r="H11" s="71" t="str">
        <x:v>P1-K8S-01; P1-HBR-01; P1-SEC-01; ICR-D-NET-01-01; P1-APP-01; P1-CICD-01</x:v>
      </x:c>
      <x:c r="I11" s="71" t="str">
        <x:v>이권욱 (GU LEE)</x:v>
      </x:c>
      <x:c r="J11" s="71" t="str">
        <x:v>Approved</x:v>
      </x:c>
    </x:row>
    <x:row r="12" ht="44" customHeight="1">
      <x:c r="A12" s="97" t="str">
        <x:v>이하영</x:v>
      </x:c>
      <x:c r="B12" s="97" t="str">
        <x:v>HY LEE</x:v>
      </x:c>
      <x:c r="C12" s="98" t="n">
        <x:v>46275</x:v>
      </x:c>
      <x:c r="D12" s="97" t="str">
        <x:v>면접 휴가 (Interview Leave)</x:v>
      </x:c>
      <x:c r="E12" s="97" t="str">
        <x:v>면접 (Interview)</x:v>
      </x:c>
      <x:c r="F12" s="97" t="str">
        <x:v>Personal absence</x:v>
      </x:c>
      <x:c r="G12" s="99" t="str">
        <x:v>사용자 추가 지시 2026-09-10</x:v>
      </x:c>
      <x:c r="H12" s="99" t="str">
        <x:v>기존 09-08 부재 유지</x:v>
      </x:c>
      <x:c r="I12" s="99" t="str">
        <x:v>P1-SEC 5→4일 / ICR Support·리뷰 일정 영향</x:v>
      </x:c>
      <x:c r="J12" s="99" t="str">
        <x:v>계획일·담당 변경 없음</x:v>
      </x:c>
    </x:row>
    <x:row r="13" ht="34" customHeight="1">
      <x:c r="A13" s="51" t="str">
        <x:v>과거 변경 이력 — 현재 계획은 WBS</x:v>
      </x:c>
      <x:c r="B13" s="51" t="str">
        <x:v>Prior date</x:v>
      </x:c>
      <x:c r="C13" s="51" t="str">
        <x:v>Revised date</x:v>
      </x:c>
      <x:c r="D13" s="51" t="str">
        <x:v>Approved adjustment</x:v>
      </x:c>
      <x:c r="E13" s="51" t="str">
        <x:v>Coverage / control</x:v>
      </x:c>
      <x:c r="F13" s="51" t="str">
        <x:v>Gate impact</x:v>
      </x:c>
      <x:c r="G13"/>
      <x:c r="H13"/>
      <x:c r="I13"/>
      <x:c r="J13"/>
    </x:row>
    <x:row r="14" ht="34" customHeight="1">
      <x:c r="A14" s="51" t="str">
        <x:v>P1-DB-01</x:v>
      </x:c>
      <x:c r="B14" s="51" t="str">
        <x:v>End 2026-09-04</x:v>
      </x:c>
      <x:c r="C14" s="51" t="str">
        <x:v>End 2026-09-07</x:v>
      </x:c>
      <x:c r="D14" s="51" t="str">
        <x:v>Preserve six owner workdays</x:v>
      </x:c>
      <x:c r="E14" s="51" t="str">
        <x:v>Resume/complete after return</x:v>
      </x:c>
      <x:c r="F14" s="51" t="str">
        <x:v>G1 follows to 2026-09-07</x:v>
      </x:c>
      <x:c r="G14"/>
      <x:c r="H14"/>
      <x:c r="I14"/>
      <x:c r="J14"/>
    </x:row>
    <x:row r="15" ht="34" customHeight="1">
      <x:c r="A15" s="51" t="str">
        <x:v>P1-APP-01</x:v>
      </x:c>
      <x:c r="B15" s="51" t="str">
        <x:v>End 2026-09-09</x:v>
      </x:c>
      <x:c r="C15" s="51" t="str">
        <x:v>End 2026-09-10</x:v>
      </x:c>
      <x:c r="D15" s="51" t="str">
        <x:v>One-day owner gap</x:v>
      </x:c>
      <x:c r="E15" s="51" t="str">
        <x:v>이하영 support; no solo closure on leave</x:v>
      </x:c>
      <x:c r="F15" s="51" t="str">
        <x:v>G2 2026-09-11 unchanged</x:v>
      </x:c>
      <x:c r="G15"/>
      <x:c r="H15"/>
      <x:c r="I15"/>
      <x:c r="J15"/>
    </x:row>
    <x:row r="16" ht="34" customHeight="1">
      <x:c r="A16" s="51" t="str">
        <x:v>P1-MON-01</x:v>
      </x:c>
      <x:c r="B16" s="51" t="str">
        <x:v>Start 2026-09-04</x:v>
      </x:c>
      <x:c r="C16" s="51" t="str">
        <x:v>Start 2026-09-07</x:v>
      </x:c>
      <x:c r="D16" s="51" t="str">
        <x:v>Start after return</x:v>
      </x:c>
      <x:c r="E16" s="51" t="str">
        <x:v>이권욱 support</x:v>
      </x:c>
      <x:c r="F16" s="51" t="str">
        <x:v>G2 2026-09-11 unchanged</x:v>
      </x:c>
      <x:c r="G16"/>
      <x:c r="H16"/>
      <x:c r="I16"/>
      <x:c r="J16"/>
    </x:row>
    <x:row r="17" ht="34" customHeight="1">
      <x:c r="A17" s="67" t="str">
        <x:v>MS-G1-01</x:v>
      </x:c>
      <x:c r="B17" s="67" t="str">
        <x:v>2026-09-04</x:v>
      </x:c>
      <x:c r="C17" s="67" t="str">
        <x:v>2026-09-07</x:v>
      </x:c>
      <x:c r="D17" s="67" t="str">
        <x:v>Align with P1-DB completion</x:v>
      </x:c>
      <x:c r="E17" s="67" t="str">
        <x:v>Lead gate review after evidence</x:v>
      </x:c>
      <x:c r="F17" s="67" t="str">
        <x:v>G1 +1 business day</x:v>
      </x:c>
      <x:c r="G17"/>
      <x:c r="H17"/>
      <x:c r="I17"/>
      <x:c r="J17"/>
    </x:row>
    <x:row r="18" ht="36" customHeight="1">
      <x:c r="A18" s="54" t="str">
        <x:v>HY-LEAVE-20260908</x:v>
      </x:c>
      <x:c r="B18" s="54" t="str">
        <x:v>2026-09-08 planned work</x:v>
      </x:c>
      <x:c r="C18" s="54" t="str">
        <x:v>No date change</x:v>
      </x:c>
      <x:c r="D18" s="54" t="str">
        <x:v>One-day owner gap</x:v>
      </x:c>
      <x:c r="E18" s="54" t="str">
        <x:v>이권욱 coverage; no solo closure</x:v>
      </x:c>
      <x:c r="F18" s="55" t="str">
        <x:v>No automatic rebaseline; assess actual delay</x:v>
      </x:c>
      <x:c r="G18"/>
      <x:c r="H18"/>
      <x:c r="I18"/>
      <x:c r="J18"/>
    </x:row>
    <x:row r="19" ht="15" customHeight="1">
      <x:c r="A19" s="67" t="str">
        <x:v>Approval</x:v>
      </x:c>
      <x:c r="B19" s="67" t="str">
        <x:v>D36</x:v>
      </x:c>
      <x:c r="C19" s="67" t="str">
        <x:v>Approved by</x:v>
      </x:c>
      <x:c r="D19" s="67" t="str">
        <x:v>User / Project Lead</x:v>
      </x:c>
      <x:c r="E19" s="67" t="str">
        <x:v>Effective</x:v>
      </x:c>
      <x:c r="F19" s="68" t="n">
        <x:v>46268</x:v>
      </x:c>
      <x:c r="G19"/>
      <x:c r="H19"/>
      <x:c r="I19"/>
      <x:c r="J19"/>
    </x:row>
    <x:row r="20" ht="30" customHeight="1">
      <x:c r="A20" t="str">
        <x:v>Approval</x:v>
      </x:c>
      <x:c r="B20" t="str">
        <x:v>User instruction 2026-09-08</x:v>
      </x:c>
      <x:c r="C20" t="str">
        <x:v>Approved by</x:v>
      </x:c>
      <x:c r="D20" t="str">
        <x:v>User / Project Lead</x:v>
      </x:c>
      <x:c r="E20" t="str">
        <x:v>Effective</x:v>
      </x:c>
      <x:c r="F20" t="n">
        <x:v>46273</x:v>
      </x:c>
      <x:c r="G20"/>
      <x:c r="H20"/>
      <x:c r="I20"/>
      <x:c r="J20"/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6" hidden="0" customWidth="1"/>
    <x:col min="3" max="3" width="10" hidden="0" customWidth="1"/>
    <x:col min="4" max="4" width="10" hidden="0" customWidth="1"/>
    <x:col min="5" max="5" width="50" hidden="0" customWidth="1"/>
    <x:col min="6" max="6" width="24" hidden="0" customWidth="1"/>
    <x:col min="7" max="7" width="46" hidden="0" customWidth="1"/>
    <x:col min="8" max="8" width="10" hidden="0" customWidth="1"/>
    <x:col min="9" max="9" width="12" hidden="0" customWidth="1"/>
    <x:col min="10" max="10" width="14" hidden="0" customWidth="1"/>
    <x:col min="11" max="11" width="17" hidden="0" customWidth="1"/>
    <x:col min="12" max="12" width="24" hidden="0" customWidth="1"/>
  </x:cols>
  <x:sheetData>
    <x:row r="1" ht="34" customHeight="1">
      <x:c r="A1" s="111" t="str">
        <x:v>Phase 1 Fast Tracking — 기존 배정안 / 실행 인수 별도</x:v>
      </x:c>
      <x:c r="B1" s="111"/>
      <x:c r="C1" s="111"/>
      <x:c r="D1" s="111"/>
      <x:c r="E1" s="111"/>
      <x:c r="F1" s="111"/>
      <x:c r="G1" s="111"/>
      <x:c r="H1" s="111"/>
      <x:c r="I1" s="111"/>
      <x:c r="J1" s="111"/>
      <x:c r="K1" s="111"/>
      <x:c r="L1" s="111"/>
    </x:row>
    <x:row r="2" ht="28" customHeight="1">
      <x:c r="A2" t="str">
        <x:v>9/11~23 평일 9일 · 주말/부재 배정 0 · 23인일 중 1.5인일 보완 버퍼 · 변경/고장 주입은 창별 단일 실행자</x:v>
      </x:c>
    </x:row>
    <x:row r="3" ht="26" customHeight="1">
      <x:c r="A3" t="str">
        <x:v>보존된 09-10 계획안. AM/PM 각 0.5일 가용창이며 실제 실행/잔여공수 확인을 뜻하지 않는다. 최신 계획은 WBS 참조.</x:v>
      </x:c>
    </x:row>
    <x:row r="5" ht="30" customHeight="1">
      <x:c r="A5" s="129" t="str">
        <x:v>날짜</x:v>
      </x:c>
      <x:c r="B5" s="129" t="str">
        <x:v>창</x:v>
      </x:c>
      <x:c r="C5" s="129" t="str">
        <x:v>담당자</x:v>
      </x:c>
      <x:c r="D5" s="129" t="str">
        <x:v>유형</x:v>
      </x:c>
      <x:c r="E5" s="129" t="str">
        <x:v>작업·인수 결과</x:v>
      </x:c>
      <x:c r="F5" s="129" t="str">
        <x:v>주 책임 티켓</x:v>
      </x:c>
      <x:c r="G5" s="129" t="str">
        <x:v>실행 선행조건</x:v>
      </x:c>
      <x:c r="H5" s="129" t="str">
        <x:v>배정 인일</x:v>
      </x:c>
      <x:c r="I5" s="129" t="str">
        <x:v>당일 가용량</x:v>
      </x:c>
      <x:c r="J5" s="129" t="str">
        <x:v>당일 배정 합계</x:v>
      </x:c>
      <x:c r="K5" s="129" t="str">
        <x:v>배정 검사</x:v>
      </x:c>
      <x:c r="L5" s="129" t="str">
        <x:v>환경 작업 창</x:v>
      </x:c>
    </x:row>
    <x:row r="6" ht="60" customHeight="1">
      <x:c r="A6" s="134" t="n">
        <x:v>46276</x:v>
      </x:c>
      <x:c r="B6" s="130" t="str">
        <x:v>AM</x:v>
      </x:c>
      <x:c r="C6" s="130" t="str">
        <x:v>이권욱</x:v>
      </x:c>
      <x:c r="D6" s="130" t="str">
        <x:v>수집·정리</x:v>
      </x:c>
      <x:c r="E6" s="130" t="str">
        <x:v>CP1 보호·복구·최신 inspect 준비·ICR 범위 정리</x:v>
      </x:c>
      <x:c r="F6" s="130" t="str">
        <x:v>ICR-D-NET-01-01</x:v>
      </x:c>
      <x:c r="G6" s="130" t="str">
        <x:v>없음: 읽기 전용/문서 준비</x:v>
      </x:c>
      <x:c r="H6" s="138" t="n">
        <x:v>0.5</x:v>
      </x:c>
      <x:c r="I6" s="138" t="n">
        <x:v>1</x:v>
      </x:c>
      <x:c r="J6" s="138" t="n">
        <x:f>SUMIFS($H$6:$H$59,$A$6:$A$59,A6,$C$6:$C$59,C6)</x:f>
        <x:v>1</x:v>
      </x:c>
      <x:c r="K6" s="130" t="str">
        <x:f>IF(J6&gt;I6,"OVERBOOKED",IF(I6=0,"UNAVAILABLE","OK"))</x:f>
        <x:v>OK</x:v>
      </x:c>
      <x:c r="L6" s="130" t="str">
        <x:v>2026-09-11 AM</x:v>
      </x:c>
    </x:row>
    <x:row r="7" ht="60" customHeight="1">
      <x:c r="A7" s="135" t="n">
        <x:v>46276</x:v>
      </x:c>
      <x:c r="B7" s="131" t="str">
        <x:v>AM</x:v>
      </x:c>
      <x:c r="C7" s="131" t="str">
        <x:v>이하영</x:v>
      </x:c>
      <x:c r="D7" s="131" t="str">
        <x:v>리뷰·결정</x:v>
      </x:c>
      <x:c r="E7" s="131" t="str">
        <x:v>PR #2/#4 재리뷰·NTP 기준·평일 Review 검토</x:v>
      </x:c>
      <x:c r="F7" s="131" t="str">
        <x:v>DEC-CAL-P1-01</x:v>
      </x:c>
      <x:c r="G7" s="131" t="str">
        <x:v>없음: 읽기 전용/문서 준비</x:v>
      </x:c>
      <x:c r="H7" s="139" t="n">
        <x:v>0.5</x:v>
      </x:c>
      <x:c r="I7" s="139" t="n">
        <x:v>1</x:v>
      </x:c>
      <x:c r="J7" s="139" t="n">
        <x:f>SUMIFS($H$6:$H$59,$A$6:$A$59,A7,$C$6:$C$59,C7)</x:f>
        <x:v>1</x:v>
      </x:c>
      <x:c r="K7" s="131" t="str">
        <x:f>IF(J7&gt;I7,"OVERBOOKED",IF(I7=0,"UNAVAILABLE","OK"))</x:f>
        <x:v>OK</x:v>
      </x:c>
      <x:c r="L7" s="131" t="str">
        <x:v>2026-09-11 AM</x:v>
      </x:c>
    </x:row>
    <x:row r="8" ht="60" customHeight="1">
      <x:c r="A8" s="134" t="n">
        <x:v>46276</x:v>
      </x:c>
      <x:c r="B8" s="130" t="str">
        <x:v>AM</x:v>
      </x:c>
      <x:c r="C8" s="130" t="str">
        <x:v>이재환</x:v>
      </x:c>
      <x:c r="D8" s="130" t="str">
        <x:v>인계</x:v>
      </x:c>
      <x:c r="E8" s="130" t="str">
        <x:v>APP/DB Source·Schema·검증·복구 절차 인계</x:v>
      </x:c>
      <x:c r="F8" s="130" t="str">
        <x:v>P1-APP-01</x:v>
      </x:c>
      <x:c r="G8" s="130" t="str">
        <x:v>고정 Source·접근권한·실행/판정/복구 절차 확인; 환경 변경과 독립 진행</x:v>
      </x:c>
      <x:c r="H8" s="138" t="n">
        <x:v>0.5</x:v>
      </x:c>
      <x:c r="I8" s="138" t="n">
        <x:v>1</x:v>
      </x:c>
      <x:c r="J8" s="138" t="n">
        <x:f>SUMIFS($H$6:$H$59,$A$6:$A$59,A8,$C$6:$C$59,C8)</x:f>
        <x:v>1</x:v>
      </x:c>
      <x:c r="K8" s="130" t="str">
        <x:f>IF(J8&gt;I8,"OVERBOOKED",IF(I8=0,"UNAVAILABLE","OK"))</x:f>
        <x:v>OK</x:v>
      </x:c>
      <x:c r="L8" s="130" t="str">
        <x:v>2026-09-11 AM</x:v>
      </x:c>
    </x:row>
    <x:row r="9" ht="60" customHeight="1">
      <x:c r="A9" s="135" t="n">
        <x:v>46276</x:v>
      </x:c>
      <x:c r="B9" s="131" t="str">
        <x:v>PM</x:v>
      </x:c>
      <x:c r="C9" s="131" t="str">
        <x:v>이권욱</x:v>
      </x:c>
      <x:c r="D9" s="131" t="str">
        <x:v>변경</x:v>
      </x:c>
      <x:c r="E9" s="131" t="str">
        <x:v>리뷰 통과 후 CP1 canary·영수증·복구 검증</x:v>
      </x:c>
      <x:c r="F9" s="131" t="str">
        <x:v>ICR-D-NET-01-01</x:v>
      </x:c>
      <x:c r="G9" s="131" t="str">
        <x:v>PR #2 지적 해소·실행 결정·최신 inspect</x:v>
      </x:c>
      <x:c r="H9" s="139" t="n">
        <x:v>0.5</x:v>
      </x:c>
      <x:c r="I9" s="139" t="n">
        <x:v>1</x:v>
      </x:c>
      <x:c r="J9" s="139" t="n">
        <x:f>SUMIFS($H$6:$H$59,$A$6:$A$59,A9,$C$6:$C$59,C9)</x:f>
        <x:v>1</x:v>
      </x:c>
      <x:c r="K9" s="131" t="str">
        <x:f>IF(J9&gt;I9,"OVERBOOKED",IF(I9=0,"UNAVAILABLE","OK"))</x:f>
        <x:v>OK</x:v>
      </x:c>
      <x:c r="L9" s="131" t="str">
        <x:v>2026-09-11 PM</x:v>
      </x:c>
    </x:row>
    <x:row r="10" ht="60" customHeight="1">
      <x:c r="A10" s="134" t="n">
        <x:v>46276</x:v>
      </x:c>
      <x:c r="B10" s="130" t="str">
        <x:v>PM</x:v>
      </x:c>
      <x:c r="C10" s="130" t="str">
        <x:v>이하영</x:v>
      </x:c>
      <x:c r="D10" s="130" t="str">
        <x:v>검증</x:v>
      </x:c>
      <x:c r="E10" s="130" t="str">
        <x:v>CP1 변경 후 Kubernetes 검증·Harbor 준비</x:v>
      </x:c>
      <x:c r="F10" s="130" t="str">
        <x:v>P1-K8S-01</x:v>
      </x:c>
      <x:c r="G10" s="130" t="str">
        <x:v>PR #2 지적 해소·실행 결정·최신 inspect</x:v>
      </x:c>
      <x:c r="H10" s="138" t="n">
        <x:v>0.5</x:v>
      </x:c>
      <x:c r="I10" s="138" t="n">
        <x:v>1</x:v>
      </x:c>
      <x:c r="J10" s="138" t="n">
        <x:f>SUMIFS($H$6:$H$59,$A$6:$A$59,A10,$C$6:$C$59,C10)</x:f>
        <x:v>1</x:v>
      </x:c>
      <x:c r="K10" s="130" t="str">
        <x:f>IF(J10&gt;I10,"OVERBOOKED",IF(I10=0,"UNAVAILABLE","OK"))</x:f>
        <x:v>OK</x:v>
      </x:c>
      <x:c r="L10" s="130" t="str">
        <x:v>2026-09-11 PM</x:v>
      </x:c>
    </x:row>
    <x:row r="11" ht="60" customHeight="1">
      <x:c r="A11" s="135" t="n">
        <x:v>46276</x:v>
      </x:c>
      <x:c r="B11" s="131" t="str">
        <x:v>PM</x:v>
      </x:c>
      <x:c r="C11" s="131" t="str">
        <x:v>이재환</x:v>
      </x:c>
      <x:c r="D11" s="131" t="str">
        <x:v>인계</x:v>
      </x:c>
      <x:c r="E11" s="131" t="str">
        <x:v>MON Manifest·14+2 AC 및 HA/DR 케이스 인계</x:v>
      </x:c>
      <x:c r="F11" s="131" t="str">
        <x:v>P1-MON-01</x:v>
      </x:c>
      <x:c r="G11" s="131" t="str">
        <x:v>고정 Source·접근권한·실행/판정/복구 절차 확인; 환경 변경과 독립 진행</x:v>
      </x:c>
      <x:c r="H11" s="139" t="n">
        <x:v>0.5</x:v>
      </x:c>
      <x:c r="I11" s="139" t="n">
        <x:v>1</x:v>
      </x:c>
      <x:c r="J11" s="139" t="n">
        <x:f>SUMIFS($H$6:$H$59,$A$6:$A$59,A11,$C$6:$C$59,C11)</x:f>
        <x:v>1</x:v>
      </x:c>
      <x:c r="K11" s="131" t="str">
        <x:f>IF(J11&gt;I11,"OVERBOOKED",IF(I11=0,"UNAVAILABLE","OK"))</x:f>
        <x:v>OK</x:v>
      </x:c>
      <x:c r="L11" s="131" t="str">
        <x:v>2026-09-11 PM</x:v>
      </x:c>
    </x:row>
    <x:row r="12" ht="60" customHeight="1">
      <x:c r="A12" s="134" t="n">
        <x:v>46279</x:v>
      </x:c>
      <x:c r="B12" s="130" t="str">
        <x:v>AM</x:v>
      </x:c>
      <x:c r="C12" s="130" t="str">
        <x:v>이권욱</x:v>
      </x:c>
      <x:c r="D12" s="130" t="str">
        <x:v>변경</x:v>
      </x:c>
      <x:c r="E12" s="130" t="str">
        <x:v>CP2/CP3 통신 보완 후 join 지원</x:v>
      </x:c>
      <x:c r="F12" s="130" t="str">
        <x:v>ICR-D-NET-01-01</x:v>
      </x:c>
      <x:c r="G12" s="130" t="str">
        <x:v>CP1 canary 검증</x:v>
      </x:c>
      <x:c r="H12" s="138" t="n">
        <x:v>0.5</x:v>
      </x:c>
      <x:c r="I12" s="138" t="n">
        <x:v>1</x:v>
      </x:c>
      <x:c r="J12" s="138" t="n">
        <x:f>SUMIFS($H$6:$H$59,$A$6:$A$59,A12,$C$6:$C$59,C12)</x:f>
        <x:v>1</x:v>
      </x:c>
      <x:c r="K12" s="130" t="str">
        <x:f>IF(J12&gt;I12,"OVERBOOKED",IF(I12=0,"UNAVAILABLE","OK"))</x:f>
        <x:v>OK</x:v>
      </x:c>
      <x:c r="L12" s="130" t="str">
        <x:v>2026-09-14 AM</x:v>
      </x:c>
    </x:row>
    <x:row r="13" ht="60" customHeight="1">
      <x:c r="A13" s="135" t="n">
        <x:v>46279</x:v>
      </x:c>
      <x:c r="B13" s="131" t="str">
        <x:v>AM</x:v>
      </x:c>
      <x:c r="C13" s="131" t="str">
        <x:v>이하영</x:v>
      </x:c>
      <x:c r="D13" s="131" t="str">
        <x:v>변경</x:v>
      </x:c>
      <x:c r="E13" s="131" t="str">
        <x:v>통신 확인 후 CP2/CP3 잔여 구성·join</x:v>
      </x:c>
      <x:c r="F13" s="131" t="str">
        <x:v>P1-K8S-01</x:v>
      </x:c>
      <x:c r="G13" s="131" t="str">
        <x:v>CP1 canary 검증</x:v>
      </x:c>
      <x:c r="H13" s="139" t="n">
        <x:v>0.5</x:v>
      </x:c>
      <x:c r="I13" s="139" t="n">
        <x:v>1</x:v>
      </x:c>
      <x:c r="J13" s="139" t="n">
        <x:f>SUMIFS($H$6:$H$59,$A$6:$A$59,A13,$C$6:$C$59,C13)</x:f>
        <x:v>1</x:v>
      </x:c>
      <x:c r="K13" s="131" t="str">
        <x:f>IF(J13&gt;I13,"OVERBOOKED",IF(I13=0,"UNAVAILABLE","OK"))</x:f>
        <x:v>OK</x:v>
      </x:c>
      <x:c r="L13" s="131" t="str">
        <x:v>2026-09-14 AM</x:v>
      </x:c>
    </x:row>
    <x:row r="14" ht="60" customHeight="1">
      <x:c r="A14" s="136" t="n">
        <x:v>46279</x:v>
      </x:c>
      <x:c r="B14" s="132" t="str">
        <x:v>AM</x:v>
      </x:c>
      <x:c r="C14" s="132" t="str">
        <x:v>이재환</x:v>
      </x:c>
      <x:c r="D14" s="132" t="str">
        <x:v>부재</x:v>
      </x:c>
      <x:c r="E14" s="132" t="str">
        <x:v>예비군 부재</x:v>
      </x:c>
      <x:c r="F14" s="132" t="str"/>
      <x:c r="G14" s="132" t="str">
        <x:v>수행 배정 없음</x:v>
      </x:c>
      <x:c r="H14" s="140" t="n">
        <x:v>0</x:v>
      </x:c>
      <x:c r="I14" s="140" t="n">
        <x:v>0</x:v>
      </x:c>
      <x:c r="J14" s="140" t="n">
        <x:f>SUMIFS($H$6:$H$59,$A$6:$A$59,A14,$C$6:$C$59,C14)</x:f>
        <x:v>0</x:v>
      </x:c>
      <x:c r="K14" s="132" t="str">
        <x:f>IF(J14&gt;I14,"OVERBOOKED",IF(I14=0,"UNAVAILABLE","OK"))</x:f>
        <x:v>UNAVAILABLE</x:v>
      </x:c>
      <x:c r="L14" s="132" t="str">
        <x:v>Unavailable</x:v>
      </x:c>
    </x:row>
    <x:row r="15" ht="60" customHeight="1">
      <x:c r="A15" s="135" t="n">
        <x:v>46279</x:v>
      </x:c>
      <x:c r="B15" s="131" t="str">
        <x:v>PM</x:v>
      </x:c>
      <x:c r="C15" s="131" t="str">
        <x:v>이권욱</x:v>
      </x:c>
      <x:c r="D15" s="131" t="str">
        <x:v>변경</x:v>
      </x:c>
      <x:c r="E15" s="131" t="str">
        <x:v>Worker 통신 보완·관리 경로 확인</x:v>
      </x:c>
      <x:c r="F15" s="131" t="str">
        <x:v>ICR-D-NET-01-01</x:v>
      </x:c>
      <x:c r="G15" s="131" t="str">
        <x:v>CP2/CP3 상태·etcd 확인</x:v>
      </x:c>
      <x:c r="H15" s="139" t="n">
        <x:v>0.5</x:v>
      </x:c>
      <x:c r="I15" s="139" t="n">
        <x:v>1</x:v>
      </x:c>
      <x:c r="J15" s="139" t="n">
        <x:f>SUMIFS($H$6:$H$59,$A$6:$A$59,A15,$C$6:$C$59,C15)</x:f>
        <x:v>1</x:v>
      </x:c>
      <x:c r="K15" s="131" t="str">
        <x:f>IF(J15&gt;I15,"OVERBOOKED",IF(I15=0,"UNAVAILABLE","OK"))</x:f>
        <x:v>OK</x:v>
      </x:c>
      <x:c r="L15" s="131" t="str">
        <x:v>2026-09-14 PM</x:v>
      </x:c>
    </x:row>
    <x:row r="16" ht="60" customHeight="1">
      <x:c r="A16" s="134" t="n">
        <x:v>46279</x:v>
      </x:c>
      <x:c r="B16" s="130" t="str">
        <x:v>PM</x:v>
      </x:c>
      <x:c r="C16" s="130" t="str">
        <x:v>이하영</x:v>
      </x:c>
      <x:c r="D16" s="130" t="str">
        <x:v>변경</x:v>
      </x:c>
      <x:c r="E16" s="130" t="str">
        <x:v>Worker kubelet/join·노드 상태 확인</x:v>
      </x:c>
      <x:c r="F16" s="130" t="str">
        <x:v>P1-K8S-01</x:v>
      </x:c>
      <x:c r="G16" s="130" t="str">
        <x:v>CP2/CP3 상태·etcd 확인</x:v>
      </x:c>
      <x:c r="H16" s="138" t="n">
        <x:v>0.5</x:v>
      </x:c>
      <x:c r="I16" s="138" t="n">
        <x:v>1</x:v>
      </x:c>
      <x:c r="J16" s="138" t="n">
        <x:f>SUMIFS($H$6:$H$59,$A$6:$A$59,A16,$C$6:$C$59,C16)</x:f>
        <x:v>1</x:v>
      </x:c>
      <x:c r="K16" s="130" t="str">
        <x:f>IF(J16&gt;I16,"OVERBOOKED",IF(I16=0,"UNAVAILABLE","OK"))</x:f>
        <x:v>OK</x:v>
      </x:c>
      <x:c r="L16" s="130" t="str">
        <x:v>2026-09-14 PM</x:v>
      </x:c>
    </x:row>
    <x:row r="17" ht="60" customHeight="1">
      <x:c r="A17" s="136" t="n">
        <x:v>46279</x:v>
      </x:c>
      <x:c r="B17" s="132" t="str">
        <x:v>PM</x:v>
      </x:c>
      <x:c r="C17" s="132" t="str">
        <x:v>이재환</x:v>
      </x:c>
      <x:c r="D17" s="132" t="str">
        <x:v>부재</x:v>
      </x:c>
      <x:c r="E17" s="132" t="str">
        <x:v>예비군 부재</x:v>
      </x:c>
      <x:c r="F17" s="132" t="str"/>
      <x:c r="G17" s="132" t="str">
        <x:v>수행 배정 없음</x:v>
      </x:c>
      <x:c r="H17" s="140" t="n">
        <x:v>0</x:v>
      </x:c>
      <x:c r="I17" s="140" t="n">
        <x:v>0</x:v>
      </x:c>
      <x:c r="J17" s="140" t="n">
        <x:f>SUMIFS($H$6:$H$59,$A$6:$A$59,A17,$C$6:$C$59,C17)</x:f>
        <x:v>0</x:v>
      </x:c>
      <x:c r="K17" s="132" t="str">
        <x:f>IF(J17&gt;I17,"OVERBOOKED",IF(I17=0,"UNAVAILABLE","OK"))</x:f>
        <x:v>UNAVAILABLE</x:v>
      </x:c>
      <x:c r="L17" s="132" t="str">
        <x:v>Unavailable</x:v>
      </x:c>
    </x:row>
    <x:row r="18" ht="60" customHeight="1">
      <x:c r="A18" s="134" t="n">
        <x:v>46280</x:v>
      </x:c>
      <x:c r="B18" s="130" t="str">
        <x:v>AM</x:v>
      </x:c>
      <x:c r="C18" s="130" t="str">
        <x:v>이권욱</x:v>
      </x:c>
      <x:c r="D18" s="130" t="str">
        <x:v>변경</x:v>
      </x:c>
      <x:c r="E18" s="130" t="str">
        <x:v>승인 NTP·IF-16 경로 적용 후 Calico 인계</x:v>
      </x:c>
      <x:c r="F18" s="130" t="str">
        <x:v>ICR-D-NET-01-01</x:v>
      </x:c>
      <x:c r="G18" s="130" t="str">
        <x:v>Worker 상태·NTP 승인값</x:v>
      </x:c>
      <x:c r="H18" s="138" t="n">
        <x:v>0.5</x:v>
      </x:c>
      <x:c r="I18" s="138" t="n">
        <x:v>1</x:v>
      </x:c>
      <x:c r="J18" s="138" t="n">
        <x:f>SUMIFS($H$6:$H$59,$A$6:$A$59,A18,$C$6:$C$59,C18)</x:f>
        <x:v>1</x:v>
      </x:c>
      <x:c r="K18" s="130" t="str">
        <x:f>IF(J18&gt;I18,"OVERBOOKED",IF(I18=0,"UNAVAILABLE","OK"))</x:f>
        <x:v>OK</x:v>
      </x:c>
      <x:c r="L18" s="130" t="str">
        <x:v>2026-09-15 AM</x:v>
      </x:c>
    </x:row>
    <x:row r="19" ht="60" customHeight="1">
      <x:c r="A19" s="135" t="n">
        <x:v>46280</x:v>
      </x:c>
      <x:c r="B19" s="131" t="str">
        <x:v>AM</x:v>
      </x:c>
      <x:c r="C19" s="131" t="str">
        <x:v>이하영</x:v>
      </x:c>
      <x:c r="D19" s="131" t="str">
        <x:v>변경</x:v>
      </x:c>
      <x:c r="E19" s="131" t="str">
        <x:v>NTP·경로 확인 후 Calico HEP/GNP 단계 적용</x:v>
      </x:c>
      <x:c r="F19" s="131" t="str">
        <x:v>P1-K8S-01</x:v>
      </x:c>
      <x:c r="G19" s="131" t="str">
        <x:v>Worker 상태·NTP 승인값</x:v>
      </x:c>
      <x:c r="H19" s="139" t="n">
        <x:v>0.5</x:v>
      </x:c>
      <x:c r="I19" s="139" t="n">
        <x:v>1</x:v>
      </x:c>
      <x:c r="J19" s="139" t="n">
        <x:f>SUMIFS($H$6:$H$59,$A$6:$A$59,A19,$C$6:$C$59,C19)</x:f>
        <x:v>1</x:v>
      </x:c>
      <x:c r="K19" s="131" t="str">
        <x:f>IF(J19&gt;I19,"OVERBOOKED",IF(I19=0,"UNAVAILABLE","OK"))</x:f>
        <x:v>OK</x:v>
      </x:c>
      <x:c r="L19" s="131" t="str">
        <x:v>2026-09-15 AM</x:v>
      </x:c>
    </x:row>
    <x:row r="20" ht="60" customHeight="1">
      <x:c r="A20" s="136" t="n">
        <x:v>46280</x:v>
      </x:c>
      <x:c r="B20" s="132" t="str">
        <x:v>AM</x:v>
      </x:c>
      <x:c r="C20" s="132" t="str">
        <x:v>이재환</x:v>
      </x:c>
      <x:c r="D20" s="132" t="str">
        <x:v>부재</x:v>
      </x:c>
      <x:c r="E20" s="132" t="str">
        <x:v>예비군 부재</x:v>
      </x:c>
      <x:c r="F20" s="132" t="str"/>
      <x:c r="G20" s="132" t="str">
        <x:v>수행 배정 없음</x:v>
      </x:c>
      <x:c r="H20" s="140" t="n">
        <x:v>0</x:v>
      </x:c>
      <x:c r="I20" s="140" t="n">
        <x:v>0</x:v>
      </x:c>
      <x:c r="J20" s="140" t="n">
        <x:f>SUMIFS($H$6:$H$59,$A$6:$A$59,A20,$C$6:$C$59,C20)</x:f>
        <x:v>0</x:v>
      </x:c>
      <x:c r="K20" s="132" t="str">
        <x:f>IF(J20&gt;I20,"OVERBOOKED",IF(I20=0,"UNAVAILABLE","OK"))</x:f>
        <x:v>UNAVAILABLE</x:v>
      </x:c>
      <x:c r="L20" s="132" t="str">
        <x:v>Unavailable</x:v>
      </x:c>
    </x:row>
    <x:row r="21" ht="60" customHeight="1">
      <x:c r="A21" s="135" t="n">
        <x:v>46280</x:v>
      </x:c>
      <x:c r="B21" s="131" t="str">
        <x:v>PM</x:v>
      </x:c>
      <x:c r="C21" s="131" t="str">
        <x:v>이권욱</x:v>
      </x:c>
      <x:c r="D21" s="131" t="str">
        <x:v>검증</x:v>
      </x:c>
      <x:c r="E21" s="131" t="str">
        <x:v>API LB Stage B·Backend/인증·장애조치</x:v>
      </x:c>
      <x:c r="F21" s="131" t="str">
        <x:v>P1-LB-01</x:v>
      </x:c>
      <x:c r="G21" s="131" t="str">
        <x:v>NTP·Calico·필수 관리 경로 정상</x:v>
      </x:c>
      <x:c r="H21" s="139" t="n">
        <x:v>0.5</x:v>
      </x:c>
      <x:c r="I21" s="139" t="n">
        <x:v>1</x:v>
      </x:c>
      <x:c r="J21" s="139" t="n">
        <x:f>SUMIFS($H$6:$H$59,$A$6:$A$59,A21,$C$6:$C$59,C21)</x:f>
        <x:v>1</x:v>
      </x:c>
      <x:c r="K21" s="131" t="str">
        <x:f>IF(J21&gt;I21,"OVERBOOKED",IF(I21=0,"UNAVAILABLE","OK"))</x:f>
        <x:v>OK</x:v>
      </x:c>
      <x:c r="L21" s="131" t="str">
        <x:v>2026-09-15 PM</x:v>
      </x:c>
    </x:row>
    <x:row r="22" ht="60" customHeight="1">
      <x:c r="A22" s="134" t="n">
        <x:v>46280</x:v>
      </x:c>
      <x:c r="B22" s="130" t="str">
        <x:v>PM</x:v>
      </x:c>
      <x:c r="C22" s="130" t="str">
        <x:v>이하영</x:v>
      </x:c>
      <x:c r="D22" s="130" t="str">
        <x:v>구현</x:v>
      </x:c>
      <x:c r="E22" s="130" t="str">
        <x:v>Harbor CA/Robot/Scanner·Worker Pull 검증</x:v>
      </x:c>
      <x:c r="F22" s="130" t="str">
        <x:v>P1-HBR-01</x:v>
      </x:c>
      <x:c r="G22" s="130" t="str">
        <x:v>NTP·Calico·필수 관리 경로 정상</x:v>
      </x:c>
      <x:c r="H22" s="138" t="n">
        <x:v>0.5</x:v>
      </x:c>
      <x:c r="I22" s="138" t="n">
        <x:v>1</x:v>
      </x:c>
      <x:c r="J22" s="138" t="n">
        <x:f>SUMIFS($H$6:$H$59,$A$6:$A$59,A22,$C$6:$C$59,C22)</x:f>
        <x:v>1</x:v>
      </x:c>
      <x:c r="K22" s="130" t="str">
        <x:f>IF(J22&gt;I22,"OVERBOOKED",IF(I22=0,"UNAVAILABLE","OK"))</x:f>
        <x:v>OK</x:v>
      </x:c>
      <x:c r="L22" s="130" t="str">
        <x:v>2026-09-15 PM</x:v>
      </x:c>
    </x:row>
    <x:row r="23" ht="60" customHeight="1">
      <x:c r="A23" s="136" t="n">
        <x:v>46280</x:v>
      </x:c>
      <x:c r="B23" s="132" t="str">
        <x:v>PM</x:v>
      </x:c>
      <x:c r="C23" s="132" t="str">
        <x:v>이재환</x:v>
      </x:c>
      <x:c r="D23" s="132" t="str">
        <x:v>부재</x:v>
      </x:c>
      <x:c r="E23" s="132" t="str">
        <x:v>예비군 부재</x:v>
      </x:c>
      <x:c r="F23" s="132" t="str"/>
      <x:c r="G23" s="132" t="str">
        <x:v>수행 배정 없음</x:v>
      </x:c>
      <x:c r="H23" s="140" t="n">
        <x:v>0</x:v>
      </x:c>
      <x:c r="I23" s="140" t="n">
        <x:v>0</x:v>
      </x:c>
      <x:c r="J23" s="140" t="n">
        <x:f>SUMIFS($H$6:$H$59,$A$6:$A$59,A23,$C$6:$C$59,C23)</x:f>
        <x:v>0</x:v>
      </x:c>
      <x:c r="K23" s="132" t="str">
        <x:f>IF(J23&gt;I23,"OVERBOOKED",IF(I23=0,"UNAVAILABLE","OK"))</x:f>
        <x:v>UNAVAILABLE</x:v>
      </x:c>
      <x:c r="L23" s="132" t="str">
        <x:v>Unavailable</x:v>
      </x:c>
    </x:row>
    <x:row r="24" ht="60" customHeight="1">
      <x:c r="A24" s="134" t="n">
        <x:v>46281</x:v>
      </x:c>
      <x:c r="B24" s="130" t="str">
        <x:v>AM</x:v>
      </x:c>
      <x:c r="C24" s="130" t="str">
        <x:v>이권욱</x:v>
      </x:c>
      <x:c r="D24" s="130" t="str">
        <x:v>구현</x:v>
      </x:c>
      <x:c r="E24" s="130" t="str">
        <x:v>CI Test/Build/Trivy·배포 차단 Gate</x:v>
      </x:c>
      <x:c r="F24" s="130" t="str">
        <x:v>P1-CICD-01</x:v>
      </x:c>
      <x:c r="G24" s="130" t="str">
        <x:v>플랫폼/Harbor 준비</x:v>
      </x:c>
      <x:c r="H24" s="138" t="n">
        <x:v>0.5</x:v>
      </x:c>
      <x:c r="I24" s="138" t="n">
        <x:v>1</x:v>
      </x:c>
      <x:c r="J24" s="138" t="n">
        <x:f>SUMIFS($H$6:$H$59,$A$6:$A$59,A24,$C$6:$C$59,C24)</x:f>
        <x:v>1</x:v>
      </x:c>
      <x:c r="K24" s="130" t="str">
        <x:f>IF(J24&gt;I24,"OVERBOOKED",IF(I24=0,"UNAVAILABLE","OK"))</x:f>
        <x:v>OK</x:v>
      </x:c>
      <x:c r="L24" s="130" t="str">
        <x:v>2026-09-16 AM</x:v>
      </x:c>
    </x:row>
    <x:row r="25" ht="60" customHeight="1">
      <x:c r="A25" s="135" t="n">
        <x:v>46281</x:v>
      </x:c>
      <x:c r="B25" s="131" t="str">
        <x:v>AM</x:v>
      </x:c>
      <x:c r="C25" s="131" t="str">
        <x:v>이하영</x:v>
      </x:c>
      <x:c r="D25" s="131" t="str">
        <x:v>구현</x:v>
      </x:c>
      <x:c r="E25" s="131" t="str">
        <x:v>PSA/SC/RBAC/Secret·Default Deny 적용</x:v>
      </x:c>
      <x:c r="F25" s="131" t="str">
        <x:v>P1-SEC-01</x:v>
      </x:c>
      <x:c r="G25" s="131" t="str">
        <x:v>플랫폼/Harbor 준비</x:v>
      </x:c>
      <x:c r="H25" s="139" t="n">
        <x:v>0.5</x:v>
      </x:c>
      <x:c r="I25" s="139" t="n">
        <x:v>1</x:v>
      </x:c>
      <x:c r="J25" s="139" t="n">
        <x:f>SUMIFS($H$6:$H$59,$A$6:$A$59,A25,$C$6:$C$59,C25)</x:f>
        <x:v>1</x:v>
      </x:c>
      <x:c r="K25" s="131" t="str">
        <x:f>IF(J25&gt;I25,"OVERBOOKED",IF(I25=0,"UNAVAILABLE","OK"))</x:f>
        <x:v>OK</x:v>
      </x:c>
      <x:c r="L25" s="131" t="str">
        <x:v>2026-09-16 AM</x:v>
      </x:c>
    </x:row>
    <x:row r="26" ht="60" customHeight="1">
      <x:c r="A26" s="136" t="n">
        <x:v>46281</x:v>
      </x:c>
      <x:c r="B26" s="132" t="str">
        <x:v>AM</x:v>
      </x:c>
      <x:c r="C26" s="132" t="str">
        <x:v>이재환</x:v>
      </x:c>
      <x:c r="D26" s="132" t="str">
        <x:v>부재</x:v>
      </x:c>
      <x:c r="E26" s="132" t="str">
        <x:v>예비군 부재</x:v>
      </x:c>
      <x:c r="F26" s="132" t="str"/>
      <x:c r="G26" s="132" t="str">
        <x:v>수행 배정 없음</x:v>
      </x:c>
      <x:c r="H26" s="140" t="n">
        <x:v>0</x:v>
      </x:c>
      <x:c r="I26" s="140" t="n">
        <x:v>0</x:v>
      </x:c>
      <x:c r="J26" s="140" t="n">
        <x:f>SUMIFS($H$6:$H$59,$A$6:$A$59,A26,$C$6:$C$59,C26)</x:f>
        <x:v>0</x:v>
      </x:c>
      <x:c r="K26" s="132" t="str">
        <x:f>IF(J26&gt;I26,"OVERBOOKED",IF(I26=0,"UNAVAILABLE","OK"))</x:f>
        <x:v>UNAVAILABLE</x:v>
      </x:c>
      <x:c r="L26" s="132" t="str">
        <x:v>Unavailable</x:v>
      </x:c>
    </x:row>
    <x:row r="27" ht="60" customHeight="1">
      <x:c r="A27" s="135" t="n">
        <x:v>46281</x:v>
      </x:c>
      <x:c r="B27" s="131" t="str">
        <x:v>PM</x:v>
      </x:c>
      <x:c r="C27" s="131" t="str">
        <x:v>이권욱</x:v>
      </x:c>
      <x:c r="D27" s="131" t="str">
        <x:v>검증</x:v>
      </x:c>
      <x:c r="E27" s="131" t="str">
        <x:v>승인 플랫폼 Deploy·Digest·Health·인계 MON 배치 준비</x:v>
      </x:c>
      <x:c r="F27" s="131" t="str">
        <x:v>P1-CICD-01</x:v>
      </x:c>
      <x:c r="G27" s="131" t="str">
        <x:v>배포·보안 필수 통제 정상</x:v>
      </x:c>
      <x:c r="H27" s="139" t="n">
        <x:v>0.5</x:v>
      </x:c>
      <x:c r="I27" s="139" t="n">
        <x:v>1</x:v>
      </x:c>
      <x:c r="J27" s="139" t="n">
        <x:f>SUMIFS($H$6:$H$59,$A$6:$A$59,A27,$C$6:$C$59,C27)</x:f>
        <x:v>1</x:v>
      </x:c>
      <x:c r="K27" s="131" t="str">
        <x:f>IF(J27&gt;I27,"OVERBOOKED",IF(I27=0,"UNAVAILABLE","OK"))</x:f>
        <x:v>OK</x:v>
      </x:c>
      <x:c r="L27" s="131" t="str">
        <x:v>2026-09-16 PM</x:v>
      </x:c>
    </x:row>
    <x:row r="28" ht="60" customHeight="1">
      <x:c r="A28" s="134" t="n">
        <x:v>46281</x:v>
      </x:c>
      <x:c r="B28" s="130" t="str">
        <x:v>PM</x:v>
      </x:c>
      <x:c r="C28" s="130" t="str">
        <x:v>이하영</x:v>
      </x:c>
      <x:c r="D28" s="130" t="str">
        <x:v>검증</x:v>
      </x:c>
      <x:c r="E28" s="130" t="str">
        <x:v>Harbor 4/4 Digest 대조·보안/배치 확인</x:v>
      </x:c>
      <x:c r="F28" s="130" t="str">
        <x:v>P1-HBR-01</x:v>
      </x:c>
      <x:c r="G28" s="130" t="str">
        <x:v>배포·보안 필수 통제 정상</x:v>
      </x:c>
      <x:c r="H28" s="138" t="n">
        <x:v>0.5</x:v>
      </x:c>
      <x:c r="I28" s="138" t="n">
        <x:v>1</x:v>
      </x:c>
      <x:c r="J28" s="138" t="n">
        <x:f>SUMIFS($H$6:$H$59,$A$6:$A$59,A28,$C$6:$C$59,C28)</x:f>
        <x:v>1</x:v>
      </x:c>
      <x:c r="K28" s="130" t="str">
        <x:f>IF(J28&gt;I28,"OVERBOOKED",IF(I28=0,"UNAVAILABLE","OK"))</x:f>
        <x:v>OK</x:v>
      </x:c>
      <x:c r="L28" s="130" t="str">
        <x:v>2026-09-16 PM</x:v>
      </x:c>
    </x:row>
    <x:row r="29" ht="60" customHeight="1">
      <x:c r="A29" s="136" t="n">
        <x:v>46281</x:v>
      </x:c>
      <x:c r="B29" s="132" t="str">
        <x:v>PM</x:v>
      </x:c>
      <x:c r="C29" s="132" t="str">
        <x:v>이재환</x:v>
      </x:c>
      <x:c r="D29" s="132" t="str">
        <x:v>부재</x:v>
      </x:c>
      <x:c r="E29" s="132" t="str">
        <x:v>예비군 부재</x:v>
      </x:c>
      <x:c r="F29" s="132" t="str"/>
      <x:c r="G29" s="132" t="str">
        <x:v>수행 배정 없음</x:v>
      </x:c>
      <x:c r="H29" s="140" t="n">
        <x:v>0</x:v>
      </x:c>
      <x:c r="I29" s="140" t="n">
        <x:v>0</x:v>
      </x:c>
      <x:c r="J29" s="140" t="n">
        <x:f>SUMIFS($H$6:$H$59,$A$6:$A$59,A29,$C$6:$C$59,C29)</x:f>
        <x:v>0</x:v>
      </x:c>
      <x:c r="K29" s="132" t="str">
        <x:f>IF(J29&gt;I29,"OVERBOOKED",IF(I29=0,"UNAVAILABLE","OK"))</x:f>
        <x:v>UNAVAILABLE</x:v>
      </x:c>
      <x:c r="L29" s="132" t="str">
        <x:v>Unavailable</x:v>
      </x:c>
    </x:row>
    <x:row r="30" ht="60" customHeight="1">
      <x:c r="A30" s="134" t="n">
        <x:v>46282</x:v>
      </x:c>
      <x:c r="B30" s="130" t="str">
        <x:v>AM</x:v>
      </x:c>
      <x:c r="C30" s="130" t="str">
        <x:v>이권욱</x:v>
      </x:c>
      <x:c r="D30" s="130" t="str">
        <x:v>검증</x:v>
      </x:c>
      <x:c r="E30" s="130" t="str">
        <x:v>인계 DB 경로·Schema 검증, MON/PVC 배치 지원</x:v>
      </x:c>
      <x:c r="F30" s="130" t="str">
        <x:v>P1-DB-01</x:v>
      </x:c>
      <x:c r="G30" s="130" t="str">
        <x:v>고정 인계 패키지·보호/복구 절차</x:v>
      </x:c>
      <x:c r="H30" s="138" t="n">
        <x:v>0.5</x:v>
      </x:c>
      <x:c r="I30" s="138" t="n">
        <x:v>1</x:v>
      </x:c>
      <x:c r="J30" s="138" t="n">
        <x:f>SUMIFS($H$6:$H$59,$A$6:$A$59,A30,$C$6:$C$59,C30)</x:f>
        <x:v>1</x:v>
      </x:c>
      <x:c r="K30" s="130" t="str">
        <x:f>IF(J30&gt;I30,"OVERBOOKED",IF(I30=0,"UNAVAILABLE","OK"))</x:f>
        <x:v>OK</x:v>
      </x:c>
      <x:c r="L30" s="130" t="str">
        <x:v>2026-09-17 AM</x:v>
      </x:c>
    </x:row>
    <x:row r="31" ht="60" customHeight="1">
      <x:c r="A31" s="135" t="n">
        <x:v>46282</x:v>
      </x:c>
      <x:c r="B31" s="131" t="str">
        <x:v>AM</x:v>
      </x:c>
      <x:c r="C31" s="131" t="str">
        <x:v>이하영</x:v>
      </x:c>
      <x:c r="D31" s="131" t="str">
        <x:v>검증</x:v>
      </x:c>
      <x:c r="E31" s="131" t="str">
        <x:v>보호 인계·Reboot/복구 회귀·정본 배치 검수</x:v>
      </x:c>
      <x:c r="F31" s="131" t="str">
        <x:v>P1-SEC-01</x:v>
      </x:c>
      <x:c r="G31" s="131" t="str">
        <x:v>고정 인계 패키지·보호/복구 절차</x:v>
      </x:c>
      <x:c r="H31" s="139" t="n">
        <x:v>0.5</x:v>
      </x:c>
      <x:c r="I31" s="139" t="n">
        <x:v>1</x:v>
      </x:c>
      <x:c r="J31" s="139" t="n">
        <x:f>SUMIFS($H$6:$H$59,$A$6:$A$59,A31,$C$6:$C$59,C31)</x:f>
        <x:v>1</x:v>
      </x:c>
      <x:c r="K31" s="131" t="str">
        <x:f>IF(J31&gt;I31,"OVERBOOKED",IF(I31=0,"UNAVAILABLE","OK"))</x:f>
        <x:v>OK</x:v>
      </x:c>
      <x:c r="L31" s="131" t="str">
        <x:v>2026-09-17 AM</x:v>
      </x:c>
    </x:row>
    <x:row r="32" ht="60" customHeight="1">
      <x:c r="A32" s="136" t="n">
        <x:v>46282</x:v>
      </x:c>
      <x:c r="B32" s="132" t="str">
        <x:v>AM</x:v>
      </x:c>
      <x:c r="C32" s="132" t="str">
        <x:v>이재환</x:v>
      </x:c>
      <x:c r="D32" s="132" t="str">
        <x:v>부재</x:v>
      </x:c>
      <x:c r="E32" s="132" t="str">
        <x:v>예비군 부재</x:v>
      </x:c>
      <x:c r="F32" s="132" t="str"/>
      <x:c r="G32" s="132" t="str">
        <x:v>수행 배정 없음</x:v>
      </x:c>
      <x:c r="H32" s="140" t="n">
        <x:v>0</x:v>
      </x:c>
      <x:c r="I32" s="140" t="n">
        <x:v>0</x:v>
      </x:c>
      <x:c r="J32" s="140" t="n">
        <x:f>SUMIFS($H$6:$H$59,$A$6:$A$59,A32,$C$6:$C$59,C32)</x:f>
        <x:v>0</x:v>
      </x:c>
      <x:c r="K32" s="132" t="str">
        <x:f>IF(J32&gt;I32,"OVERBOOKED",IF(I32=0,"UNAVAILABLE","OK"))</x:f>
        <x:v>UNAVAILABLE</x:v>
      </x:c>
      <x:c r="L32" s="132" t="str">
        <x:v>Unavailable</x:v>
      </x:c>
    </x:row>
    <x:row r="33" ht="60" customHeight="1">
      <x:c r="A33" s="135" t="n">
        <x:v>46282</x:v>
      </x:c>
      <x:c r="B33" s="131" t="str">
        <x:v>PM</x:v>
      </x:c>
      <x:c r="C33" s="131" t="str">
        <x:v>이권욱</x:v>
      </x:c>
      <x:c r="D33" s="131" t="str">
        <x:v>인수</x:v>
      </x:c>
      <x:c r="E33" s="131" t="str">
        <x:v>G1 인수 점검·잔여 Source/증적/Runbook 정리</x:v>
      </x:c>
      <x:c r="F33" s="131" t="str">
        <x:v>MS-G1-01</x:v>
      </x:c>
      <x:c r="G33" s="131" t="str">
        <x:v>G1 필수 증적 충족</x:v>
      </x:c>
      <x:c r="H33" s="139" t="n">
        <x:v>0.5</x:v>
      </x:c>
      <x:c r="I33" s="139" t="n">
        <x:v>1</x:v>
      </x:c>
      <x:c r="J33" s="139" t="n">
        <x:f>SUMIFS($H$6:$H$59,$A$6:$A$59,A33,$C$6:$C$59,C33)</x:f>
        <x:v>1</x:v>
      </x:c>
      <x:c r="K33" s="131" t="str">
        <x:f>IF(J33&gt;I33,"OVERBOOKED",IF(I33=0,"UNAVAILABLE","OK"))</x:f>
        <x:v>OK</x:v>
      </x:c>
      <x:c r="L33" s="131" t="str">
        <x:v>2026-09-17 PM</x:v>
      </x:c>
    </x:row>
    <x:row r="34" ht="60" customHeight="1">
      <x:c r="A34" s="134" t="n">
        <x:v>46282</x:v>
      </x:c>
      <x:c r="B34" s="130" t="str">
        <x:v>PM</x:v>
      </x:c>
      <x:c r="C34" s="130" t="str">
        <x:v>이하영</x:v>
      </x:c>
      <x:c r="D34" s="130" t="str">
        <x:v>검토</x:v>
      </x:c>
      <x:c r="E34" s="130" t="str">
        <x:v>G1 독립 대조·MON 제한 권한/망정책 검토</x:v>
      </x:c>
      <x:c r="F34" s="130" t="str">
        <x:v>P1-K8S-01</x:v>
      </x:c>
      <x:c r="G34" s="130" t="str">
        <x:v>G1 필수 증적 충족</x:v>
      </x:c>
      <x:c r="H34" s="138" t="n">
        <x:v>0.5</x:v>
      </x:c>
      <x:c r="I34" s="138" t="n">
        <x:v>1</x:v>
      </x:c>
      <x:c r="J34" s="138" t="n">
        <x:f>SUMIFS($H$6:$H$59,$A$6:$A$59,A34,$C$6:$C$59,C34)</x:f>
        <x:v>1</x:v>
      </x:c>
      <x:c r="K34" s="130" t="str">
        <x:f>IF(J34&gt;I34,"OVERBOOKED",IF(I34=0,"UNAVAILABLE","OK"))</x:f>
        <x:v>OK</x:v>
      </x:c>
      <x:c r="L34" s="130" t="str">
        <x:v>2026-09-17 PM</x:v>
      </x:c>
    </x:row>
    <x:row r="35" ht="60" customHeight="1">
      <x:c r="A35" s="136" t="n">
        <x:v>46282</x:v>
      </x:c>
      <x:c r="B35" s="132" t="str">
        <x:v>PM</x:v>
      </x:c>
      <x:c r="C35" s="132" t="str">
        <x:v>이재환</x:v>
      </x:c>
      <x:c r="D35" s="132" t="str">
        <x:v>부재</x:v>
      </x:c>
      <x:c r="E35" s="132" t="str">
        <x:v>예비군 부재</x:v>
      </x:c>
      <x:c r="F35" s="132" t="str"/>
      <x:c r="G35" s="132" t="str">
        <x:v>수행 배정 없음</x:v>
      </x:c>
      <x:c r="H35" s="140" t="n">
        <x:v>0</x:v>
      </x:c>
      <x:c r="I35" s="140" t="n">
        <x:v>0</x:v>
      </x:c>
      <x:c r="J35" s="140" t="n">
        <x:f>SUMIFS($H$6:$H$59,$A$6:$A$59,A35,$C$6:$C$59,C35)</x:f>
        <x:v>0</x:v>
      </x:c>
      <x:c r="K35" s="132" t="str">
        <x:f>IF(J35&gt;I35,"OVERBOOKED",IF(I35=0,"UNAVAILABLE","OK"))</x:f>
        <x:v>UNAVAILABLE</x:v>
      </x:c>
      <x:c r="L35" s="132" t="str">
        <x:v>Unavailable</x:v>
      </x:c>
    </x:row>
    <x:row r="36" ht="60" customHeight="1">
      <x:c r="A36" s="134" t="n">
        <x:v>46283</x:v>
      </x:c>
      <x:c r="B36" s="130" t="str">
        <x:v>AM</x:v>
      </x:c>
      <x:c r="C36" s="130" t="str">
        <x:v>이권욱</x:v>
      </x:c>
      <x:c r="D36" s="130" t="str">
        <x:v>지원</x:v>
      </x:c>
      <x:c r="E36" s="130" t="str">
        <x:v>CI·IF-06B/monitor01 통합 및 증적</x:v>
      </x:c>
      <x:c r="F36" s="130" t="str">
        <x:v>P1-CICD-01</x:v>
      </x:c>
      <x:c r="G36" s="130" t="str">
        <x:v>G1 인수·이재환 복귀</x:v>
      </x:c>
      <x:c r="H36" s="138" t="n">
        <x:v>0.5</x:v>
      </x:c>
      <x:c r="I36" s="138" t="n">
        <x:v>1</x:v>
      </x:c>
      <x:c r="J36" s="138" t="n">
        <x:f>SUMIFS($H$6:$H$59,$A$6:$A$59,A36,$C$6:$C$59,C36)</x:f>
        <x:v>1</x:v>
      </x:c>
      <x:c r="K36" s="130" t="str">
        <x:f>IF(J36&gt;I36,"OVERBOOKED",IF(I36=0,"UNAVAILABLE","OK"))</x:f>
        <x:v>OK</x:v>
      </x:c>
      <x:c r="L36" s="130" t="str">
        <x:v>2026-09-18 AM</x:v>
      </x:c>
    </x:row>
    <x:row r="37" ht="60" customHeight="1">
      <x:c r="A37" s="135" t="n">
        <x:v>46283</x:v>
      </x:c>
      <x:c r="B37" s="131" t="str">
        <x:v>AM</x:v>
      </x:c>
      <x:c r="C37" s="131" t="str">
        <x:v>이하영</x:v>
      </x:c>
      <x:c r="D37" s="131" t="str">
        <x:v>지원</x:v>
      </x:c>
      <x:c r="E37" s="131" t="str">
        <x:v>APP/MON 보안·권한·배치 검증</x:v>
      </x:c>
      <x:c r="F37" s="131" t="str">
        <x:v>P1-SEC-01</x:v>
      </x:c>
      <x:c r="G37" s="131" t="str">
        <x:v>G1 인수·이재환 복귀</x:v>
      </x:c>
      <x:c r="H37" s="139" t="n">
        <x:v>0.5</x:v>
      </x:c>
      <x:c r="I37" s="139" t="n">
        <x:v>1</x:v>
      </x:c>
      <x:c r="J37" s="139" t="n">
        <x:f>SUMIFS($H$6:$H$59,$A$6:$A$59,A37,$C$6:$C$59,C37)</x:f>
        <x:v>1</x:v>
      </x:c>
      <x:c r="K37" s="131" t="str">
        <x:f>IF(J37&gt;I37,"OVERBOOKED",IF(I37=0,"UNAVAILABLE","OK"))</x:f>
        <x:v>OK</x:v>
      </x:c>
      <x:c r="L37" s="131" t="str">
        <x:v>2026-09-18 AM</x:v>
      </x:c>
    </x:row>
    <x:row r="38" ht="60" customHeight="1">
      <x:c r="A38" s="134" t="n">
        <x:v>46283</x:v>
      </x:c>
      <x:c r="B38" s="130" t="str">
        <x:v>AM</x:v>
      </x:c>
      <x:c r="C38" s="130" t="str">
        <x:v>이재환</x:v>
      </x:c>
      <x:c r="D38" s="130" t="str">
        <x:v>통합</x:v>
      </x:c>
      <x:c r="E38" s="130" t="str">
        <x:v>복귀 인수·APP/DB/MON Runtime 통합</x:v>
      </x:c>
      <x:c r="F38" s="130" t="str">
        <x:v>P1-APP-01</x:v>
      </x:c>
      <x:c r="G38" s="130" t="str">
        <x:v>G1 인수·이재환 복귀</x:v>
      </x:c>
      <x:c r="H38" s="138" t="n">
        <x:v>0.5</x:v>
      </x:c>
      <x:c r="I38" s="138" t="n">
        <x:v>1</x:v>
      </x:c>
      <x:c r="J38" s="138" t="n">
        <x:f>SUMIFS($H$6:$H$59,$A$6:$A$59,A38,$C$6:$C$59,C38)</x:f>
        <x:v>1</x:v>
      </x:c>
      <x:c r="K38" s="130" t="str">
        <x:f>IF(J38&gt;I38,"OVERBOOKED",IF(I38=0,"UNAVAILABLE","OK"))</x:f>
        <x:v>OK</x:v>
      </x:c>
      <x:c r="L38" s="130" t="str">
        <x:v>2026-09-18 AM</x:v>
      </x:c>
    </x:row>
    <x:row r="39" ht="60" customHeight="1">
      <x:c r="A39" s="135" t="n">
        <x:v>46283</x:v>
      </x:c>
      <x:c r="B39" s="131" t="str">
        <x:v>PM</x:v>
      </x:c>
      <x:c r="C39" s="131" t="str">
        <x:v>이권욱</x:v>
      </x:c>
      <x:c r="D39" s="131" t="str">
        <x:v>검증</x:v>
      </x:c>
      <x:c r="E39" s="131" t="str">
        <x:v>고정 환경의 IF-06B/Source/Return Path 관찰</x:v>
      </x:c>
      <x:c r="F39" s="131" t="str">
        <x:v>ICR-D-NET-01-01</x:v>
      </x:c>
      <x:c r="G39" s="131" t="str">
        <x:v>APP/DB/MON 정상·시험 순서/환경 동결</x:v>
      </x:c>
      <x:c r="H39" s="139" t="n">
        <x:v>0.5</x:v>
      </x:c>
      <x:c r="I39" s="139" t="n">
        <x:v>1</x:v>
      </x:c>
      <x:c r="J39" s="139" t="n">
        <x:f>SUMIFS($H$6:$H$59,$A$6:$A$59,A39,$C$6:$C$59,C39)</x:f>
        <x:v>1</x:v>
      </x:c>
      <x:c r="K39" s="131" t="str">
        <x:f>IF(J39&gt;I39,"OVERBOOKED",IF(I39=0,"UNAVAILABLE","OK"))</x:f>
        <x:v>OK</x:v>
      </x:c>
      <x:c r="L39" s="131" t="str">
        <x:v>2026-09-18 PM</x:v>
      </x:c>
    </x:row>
    <x:row r="40" ht="60" customHeight="1">
      <x:c r="A40" s="134" t="n">
        <x:v>46283</x:v>
      </x:c>
      <x:c r="B40" s="130" t="str">
        <x:v>PM</x:v>
      </x:c>
      <x:c r="C40" s="130" t="str">
        <x:v>이하영</x:v>
      </x:c>
      <x:c r="D40" s="130" t="str">
        <x:v>검증</x:v>
      </x:c>
      <x:c r="E40" s="130" t="str">
        <x:v>합의된 순서로 보안 Positive/Negative 시험</x:v>
      </x:c>
      <x:c r="F40" s="130" t="str">
        <x:v>P1-SEC-01</x:v>
      </x:c>
      <x:c r="G40" s="130" t="str">
        <x:v>APP/DB/MON 정상·시험 순서/환경 동결</x:v>
      </x:c>
      <x:c r="H40" s="138" t="n">
        <x:v>0.5</x:v>
      </x:c>
      <x:c r="I40" s="138" t="n">
        <x:v>1</x:v>
      </x:c>
      <x:c r="J40" s="138" t="n">
        <x:f>SUMIFS($H$6:$H$59,$A$6:$A$59,A40,$C$6:$C$59,C40)</x:f>
        <x:v>1</x:v>
      </x:c>
      <x:c r="K40" s="130" t="str">
        <x:f>IF(J40&gt;I40,"OVERBOOKED",IF(I40=0,"UNAVAILABLE","OK"))</x:f>
        <x:v>OK</x:v>
      </x:c>
      <x:c r="L40" s="130" t="str">
        <x:v>2026-09-18 PM</x:v>
      </x:c>
    </x:row>
    <x:row r="41" ht="60" customHeight="1">
      <x:c r="A41" s="135" t="n">
        <x:v>46283</x:v>
      </x:c>
      <x:c r="B41" s="131" t="str">
        <x:v>PM</x:v>
      </x:c>
      <x:c r="C41" s="131" t="str">
        <x:v>이재환</x:v>
      </x:c>
      <x:c r="D41" s="131" t="str">
        <x:v>검증</x:v>
      </x:c>
      <x:c r="E41" s="131" t="str">
        <x:v>Initial E2E·MON 14+2 AC·Alert/Watchdog 검증</x:v>
      </x:c>
      <x:c r="F41" s="131" t="str">
        <x:v>P1-MON-01</x:v>
      </x:c>
      <x:c r="G41" s="131" t="str">
        <x:v>APP/DB/MON 정상·시험 순서/환경 동결</x:v>
      </x:c>
      <x:c r="H41" s="139" t="n">
        <x:v>0.5</x:v>
      </x:c>
      <x:c r="I41" s="139" t="n">
        <x:v>1</x:v>
      </x:c>
      <x:c r="J41" s="139" t="n">
        <x:f>SUMIFS($H$6:$H$59,$A$6:$A$59,A41,$C$6:$C$59,C41)</x:f>
        <x:v>1</x:v>
      </x:c>
      <x:c r="K41" s="131" t="str">
        <x:f>IF(J41&gt;I41,"OVERBOOKED",IF(I41=0,"UNAVAILABLE","OK"))</x:f>
        <x:v>OK</x:v>
      </x:c>
      <x:c r="L41" s="131" t="str">
        <x:v>2026-09-18 PM</x:v>
      </x:c>
    </x:row>
    <x:row r="42" ht="60" customHeight="1">
      <x:c r="A42" s="134" t="n">
        <x:v>46286</x:v>
      </x:c>
      <x:c r="B42" s="130" t="str">
        <x:v>AM</x:v>
      </x:c>
      <x:c r="C42" s="130" t="str">
        <x:v>이권욱</x:v>
      </x:c>
      <x:c r="D42" s="130" t="str">
        <x:v>지원</x:v>
      </x:c>
      <x:c r="E42" s="130" t="str">
        <x:v>Drain 창의 LB/CI/통신·증적 관찰</x:v>
      </x:c>
      <x:c r="F42" s="130" t="str">
        <x:v>P1-HA-01</x:v>
      </x:c>
      <x:c r="G42" s="130" t="str">
        <x:v>Initial E2E·보안·분산 배치 정상</x:v>
      </x:c>
      <x:c r="H42" s="138" t="n">
        <x:v>0.5</x:v>
      </x:c>
      <x:c r="I42" s="138" t="n">
        <x:v>1</x:v>
      </x:c>
      <x:c r="J42" s="138" t="n">
        <x:f>SUMIFS($H$6:$H$59,$A$6:$A$59,A42,$C$6:$C$59,C42)</x:f>
        <x:v>1</x:v>
      </x:c>
      <x:c r="K42" s="130" t="str">
        <x:f>IF(J42&gt;I42,"OVERBOOKED",IF(I42=0,"UNAVAILABLE","OK"))</x:f>
        <x:v>OK</x:v>
      </x:c>
      <x:c r="L42" s="130" t="str">
        <x:v>2026-09-21 AM</x:v>
      </x:c>
    </x:row>
    <x:row r="43" ht="60" customHeight="1">
      <x:c r="A43" s="135" t="n">
        <x:v>46286</x:v>
      </x:c>
      <x:c r="B43" s="131" t="str">
        <x:v>AM</x:v>
      </x:c>
      <x:c r="C43" s="131" t="str">
        <x:v>이하영</x:v>
      </x:c>
      <x:c r="D43" s="131" t="str">
        <x:v>지원</x:v>
      </x:c>
      <x:c r="E43" s="131" t="str">
        <x:v>Drain 복구·노드/보안 회귀 검증</x:v>
      </x:c>
      <x:c r="F43" s="131" t="str">
        <x:v>P1-SEC-01</x:v>
      </x:c>
      <x:c r="G43" s="131" t="str">
        <x:v>Initial E2E·보안·분산 배치 정상</x:v>
      </x:c>
      <x:c r="H43" s="139" t="n">
        <x:v>0.5</x:v>
      </x:c>
      <x:c r="I43" s="139" t="n">
        <x:v>1</x:v>
      </x:c>
      <x:c r="J43" s="139" t="n">
        <x:f>SUMIFS($H$6:$H$59,$A$6:$A$59,A43,$C$6:$C$59,C43)</x:f>
        <x:v>1</x:v>
      </x:c>
      <x:c r="K43" s="131" t="str">
        <x:f>IF(J43&gt;I43,"OVERBOOKED",IF(I43=0,"UNAVAILABLE","OK"))</x:f>
        <x:v>OK</x:v>
      </x:c>
      <x:c r="L43" s="131" t="str">
        <x:v>2026-09-21 AM</x:v>
      </x:c>
    </x:row>
    <x:row r="44" ht="60" customHeight="1">
      <x:c r="A44" s="134" t="n">
        <x:v>46286</x:v>
      </x:c>
      <x:c r="B44" s="130" t="str">
        <x:v>AM</x:v>
      </x:c>
      <x:c r="C44" s="130" t="str">
        <x:v>이재환</x:v>
      </x:c>
      <x:c r="D44" s="130" t="str">
        <x:v>시험</x:v>
      </x:c>
      <x:c r="E44" s="130" t="str">
        <x:v>Worker Drain→복구→E2E, Restore 동시 실행 금지</x:v>
      </x:c>
      <x:c r="F44" s="130" t="str">
        <x:v>P1-HA-01</x:v>
      </x:c>
      <x:c r="G44" s="130" t="str">
        <x:v>Initial E2E·보안·분산 배치 정상</x:v>
      </x:c>
      <x:c r="H44" s="138" t="n">
        <x:v>0.5</x:v>
      </x:c>
      <x:c r="I44" s="138" t="n">
        <x:v>1</x:v>
      </x:c>
      <x:c r="J44" s="138" t="n">
        <x:f>SUMIFS($H$6:$H$59,$A$6:$A$59,A44,$C$6:$C$59,C44)</x:f>
        <x:v>1</x:v>
      </x:c>
      <x:c r="K44" s="130" t="str">
        <x:f>IF(J44&gt;I44,"OVERBOOKED",IF(I44=0,"UNAVAILABLE","OK"))</x:f>
        <x:v>OK</x:v>
      </x:c>
      <x:c r="L44" s="130" t="str">
        <x:v>2026-09-21 AM</x:v>
      </x:c>
    </x:row>
    <x:row r="45" ht="60" customHeight="1">
      <x:c r="A45" s="135" t="n">
        <x:v>46286</x:v>
      </x:c>
      <x:c r="B45" s="131" t="str">
        <x:v>PM</x:v>
      </x:c>
      <x:c r="C45" s="131" t="str">
        <x:v>이권욱</x:v>
      </x:c>
      <x:c r="D45" s="131" t="str">
        <x:v>인수</x:v>
      </x:c>
      <x:c r="E45" s="131" t="str">
        <x:v>Restore 증적 대조·ICR 잔여·G2 인수 준비</x:v>
      </x:c>
      <x:c r="F45" s="131" t="str">
        <x:v>ICR-D-NET-01-01</x:v>
      </x:c>
      <x:c r="G45" s="131" t="str">
        <x:v>Drain 복구 확인·격리 Restore 승인 대상</x:v>
      </x:c>
      <x:c r="H45" s="139" t="n">
        <x:v>0.5</x:v>
      </x:c>
      <x:c r="I45" s="139" t="n">
        <x:v>1</x:v>
      </x:c>
      <x:c r="J45" s="139" t="n">
        <x:f>SUMIFS($H$6:$H$59,$A$6:$A$59,A45,$C$6:$C$59,C45)</x:f>
        <x:v>1</x:v>
      </x:c>
      <x:c r="K45" s="131" t="str">
        <x:f>IF(J45&gt;I45,"OVERBOOKED",IF(I45=0,"UNAVAILABLE","OK"))</x:f>
        <x:v>OK</x:v>
      </x:c>
      <x:c r="L45" s="131" t="str">
        <x:v>2026-09-21 PM</x:v>
      </x:c>
    </x:row>
    <x:row r="46" ht="60" customHeight="1">
      <x:c r="A46" s="134" t="n">
        <x:v>46286</x:v>
      </x:c>
      <x:c r="B46" s="130" t="str">
        <x:v>PM</x:v>
      </x:c>
      <x:c r="C46" s="130" t="str">
        <x:v>이하영</x:v>
      </x:c>
      <x:c r="D46" s="130" t="str">
        <x:v>인수</x:v>
      </x:c>
      <x:c r="E46" s="130" t="str">
        <x:v>Restore 후 보안 회귀·G2 인수 판단</x:v>
      </x:c>
      <x:c r="F46" s="130" t="str">
        <x:v>MS-G2-01</x:v>
      </x:c>
      <x:c r="G46" s="130" t="str">
        <x:v>Drain 복구 확인·격리 Restore 승인 대상</x:v>
      </x:c>
      <x:c r="H46" s="138" t="n">
        <x:v>0.5</x:v>
      </x:c>
      <x:c r="I46" s="138" t="n">
        <x:v>1</x:v>
      </x:c>
      <x:c r="J46" s="138" t="n">
        <x:f>SUMIFS($H$6:$H$59,$A$6:$A$59,A46,$C$6:$C$59,C46)</x:f>
        <x:v>1</x:v>
      </x:c>
      <x:c r="K46" s="130" t="str">
        <x:f>IF(J46&gt;I46,"OVERBOOKED",IF(I46=0,"UNAVAILABLE","OK"))</x:f>
        <x:v>OK</x:v>
      </x:c>
      <x:c r="L46" s="130" t="str">
        <x:v>2026-09-21 PM</x:v>
      </x:c>
    </x:row>
    <x:row r="47" ht="60" customHeight="1">
      <x:c r="A47" s="135" t="n">
        <x:v>46286</x:v>
      </x:c>
      <x:c r="B47" s="131" t="str">
        <x:v>PM</x:v>
      </x:c>
      <x:c r="C47" s="131" t="str">
        <x:v>이재환</x:v>
      </x:c>
      <x:c r="D47" s="131" t="str">
        <x:v>시험</x:v>
      </x:c>
      <x:c r="E47" s="131" t="str">
        <x:v>격리 Restore→최종 E2E·DB 정합성</x:v>
      </x:c>
      <x:c r="F47" s="131" t="str">
        <x:v>P1-DR-01</x:v>
      </x:c>
      <x:c r="G47" s="131" t="str">
        <x:v>Drain 복구 확인·격리 Restore 승인 대상</x:v>
      </x:c>
      <x:c r="H47" s="139" t="n">
        <x:v>0.5</x:v>
      </x:c>
      <x:c r="I47" s="139" t="n">
        <x:v>1</x:v>
      </x:c>
      <x:c r="J47" s="139" t="n">
        <x:f>SUMIFS($H$6:$H$59,$A$6:$A$59,A47,$C$6:$C$59,C47)</x:f>
        <x:v>1</x:v>
      </x:c>
      <x:c r="K47" s="131" t="str">
        <x:f>IF(J47&gt;I47,"OVERBOOKED",IF(I47=0,"UNAVAILABLE","OK"))</x:f>
        <x:v>OK</x:v>
      </x:c>
      <x:c r="L47" s="131" t="str">
        <x:v>2026-09-21 PM</x:v>
      </x:c>
    </x:row>
    <x:row r="48" ht="60" customHeight="1">
      <x:c r="A48" s="134" t="n">
        <x:v>46287</x:v>
      </x:c>
      <x:c r="B48" s="130" t="str">
        <x:v>AM</x:v>
      </x:c>
      <x:c r="C48" s="130" t="str">
        <x:v>이권욱</x:v>
      </x:c>
      <x:c r="D48" s="130" t="str">
        <x:v>동결</x:v>
      </x:c>
      <x:c r="E48" s="130" t="str">
        <x:v>Final Evidence/Runbook·Critical Issue·G3</x:v>
      </x:c>
      <x:c r="F48" s="130" t="str">
        <x:v>P1-DOC-01</x:v>
      </x:c>
      <x:c r="G48" s="130" t="str">
        <x:v>Restore 후 E2E·G2 통과</x:v>
      </x:c>
      <x:c r="H48" s="138" t="n">
        <x:v>0.5</x:v>
      </x:c>
      <x:c r="I48" s="138" t="n">
        <x:v>1</x:v>
      </x:c>
      <x:c r="J48" s="138" t="n">
        <x:f>SUMIFS($H$6:$H$59,$A$6:$A$59,A48,$C$6:$C$59,C48)</x:f>
        <x:v>1</x:v>
      </x:c>
      <x:c r="K48" s="130" t="str">
        <x:f>IF(J48&gt;I48,"OVERBOOKED",IF(I48=0,"UNAVAILABLE","OK"))</x:f>
        <x:v>OK</x:v>
      </x:c>
      <x:c r="L48" s="130" t="str">
        <x:v>2026-09-22 AM</x:v>
      </x:c>
    </x:row>
    <x:row r="49" ht="60" customHeight="1">
      <x:c r="A49" s="135" t="n">
        <x:v>46287</x:v>
      </x:c>
      <x:c r="B49" s="131" t="str">
        <x:v>AM</x:v>
      </x:c>
      <x:c r="C49" s="131" t="str">
        <x:v>이하영</x:v>
      </x:c>
      <x:c r="D49" s="131" t="str">
        <x:v>검토</x:v>
      </x:c>
      <x:c r="E49" s="131" t="str">
        <x:v>최종 회귀 및 보안·구성 Source 대조</x:v>
      </x:c>
      <x:c r="F49" s="131" t="str">
        <x:v>P1-SEC-01</x:v>
      </x:c>
      <x:c r="G49" s="131" t="str">
        <x:v>Restore 후 E2E·G2 통과</x:v>
      </x:c>
      <x:c r="H49" s="139" t="n">
        <x:v>0.5</x:v>
      </x:c>
      <x:c r="I49" s="139" t="n">
        <x:v>1</x:v>
      </x:c>
      <x:c r="J49" s="139" t="n">
        <x:f>SUMIFS($H$6:$H$59,$A$6:$A$59,A49,$C$6:$C$59,C49)</x:f>
        <x:v>1</x:v>
      </x:c>
      <x:c r="K49" s="131" t="str">
        <x:f>IF(J49&gt;I49,"OVERBOOKED",IF(I49=0,"UNAVAILABLE","OK"))</x:f>
        <x:v>OK</x:v>
      </x:c>
      <x:c r="L49" s="131" t="str">
        <x:v>2026-09-22 AM</x:v>
      </x:c>
    </x:row>
    <x:row r="50" ht="60" customHeight="1">
      <x:c r="A50" s="134" t="n">
        <x:v>46287</x:v>
      </x:c>
      <x:c r="B50" s="130" t="str">
        <x:v>AM</x:v>
      </x:c>
      <x:c r="C50" s="130" t="str">
        <x:v>이재환</x:v>
      </x:c>
      <x:c r="D50" s="130" t="str">
        <x:v>시험</x:v>
      </x:c>
      <x:c r="E50" s="130" t="str">
        <x:v>Final E2E/Regression·데모 재현</x:v>
      </x:c>
      <x:c r="F50" s="130" t="str">
        <x:v>P1-E2E-01</x:v>
      </x:c>
      <x:c r="G50" s="130" t="str">
        <x:v>Restore 후 E2E·G2 통과</x:v>
      </x:c>
      <x:c r="H50" s="138" t="n">
        <x:v>0.5</x:v>
      </x:c>
      <x:c r="I50" s="138" t="n">
        <x:v>1</x:v>
      </x:c>
      <x:c r="J50" s="138" t="n">
        <x:f>SUMIFS($H$6:$H$59,$A$6:$A$59,A50,$C$6:$C$59,C50)</x:f>
        <x:v>1</x:v>
      </x:c>
      <x:c r="K50" s="130" t="str">
        <x:f>IF(J50&gt;I50,"OVERBOOKED",IF(I50=0,"UNAVAILABLE","OK"))</x:f>
        <x:v>OK</x:v>
      </x:c>
      <x:c r="L50" s="130" t="str">
        <x:v>2026-09-22 AM</x:v>
      </x:c>
    </x:row>
    <x:row r="51" ht="60" customHeight="1">
      <x:c r="A51" s="135" t="n">
        <x:v>46287</x:v>
      </x:c>
      <x:c r="B51" s="131" t="str">
        <x:v>PM</x:v>
      </x:c>
      <x:c r="C51" s="131" t="str">
        <x:v>이권욱</x:v>
      </x:c>
      <x:c r="D51" s="131" t="str">
        <x:v>리뷰</x:v>
      </x:c>
      <x:c r="E51" s="131" t="str">
        <x:v>평일 Review 진행·Action 기록</x:v>
      </x:c>
      <x:c r="F51" s="131" t="str">
        <x:v>MS-P1-REVIEW-01</x:v>
      </x:c>
      <x:c r="G51" s="131" t="str">
        <x:v>G3 통과·참석자/시간 확정</x:v>
      </x:c>
      <x:c r="H51" s="139" t="n">
        <x:v>0.5</x:v>
      </x:c>
      <x:c r="I51" s="139" t="n">
        <x:v>1</x:v>
      </x:c>
      <x:c r="J51" s="139" t="n">
        <x:f>SUMIFS($H$6:$H$59,$A$6:$A$59,A51,$C$6:$C$59,C51)</x:f>
        <x:v>1</x:v>
      </x:c>
      <x:c r="K51" s="131" t="str">
        <x:f>IF(J51&gt;I51,"OVERBOOKED",IF(I51=0,"UNAVAILABLE","OK"))</x:f>
        <x:v>OK</x:v>
      </x:c>
      <x:c r="L51" s="131" t="str">
        <x:v>2026-09-22 PM</x:v>
      </x:c>
    </x:row>
    <x:row r="52" ht="60" customHeight="1">
      <x:c r="A52" s="134" t="n">
        <x:v>46287</x:v>
      </x:c>
      <x:c r="B52" s="130" t="str">
        <x:v>PM</x:v>
      </x:c>
      <x:c r="C52" s="130" t="str">
        <x:v>이하영</x:v>
      </x:c>
      <x:c r="D52" s="130" t="str">
        <x:v>리뷰</x:v>
      </x:c>
      <x:c r="E52" s="130" t="str">
        <x:v>Review·보안/플랫폼 질의 대응</x:v>
      </x:c>
      <x:c r="F52" s="130" t="str">
        <x:v>MS-P1-REVIEW-01</x:v>
      </x:c>
      <x:c r="G52" s="130" t="str">
        <x:v>G3 통과·참석자/시간 확정</x:v>
      </x:c>
      <x:c r="H52" s="138" t="n">
        <x:v>0.5</x:v>
      </x:c>
      <x:c r="I52" s="138" t="n">
        <x:v>1</x:v>
      </x:c>
      <x:c r="J52" s="138" t="n">
        <x:f>SUMIFS($H$6:$H$59,$A$6:$A$59,A52,$C$6:$C$59,C52)</x:f>
        <x:v>1</x:v>
      </x:c>
      <x:c r="K52" s="130" t="str">
        <x:f>IF(J52&gt;I52,"OVERBOOKED",IF(I52=0,"UNAVAILABLE","OK"))</x:f>
        <x:v>OK</x:v>
      </x:c>
      <x:c r="L52" s="130" t="str">
        <x:v>2026-09-22 PM</x:v>
      </x:c>
    </x:row>
    <x:row r="53" ht="60" customHeight="1">
      <x:c r="A53" s="135" t="n">
        <x:v>46287</x:v>
      </x:c>
      <x:c r="B53" s="131" t="str">
        <x:v>PM</x:v>
      </x:c>
      <x:c r="C53" s="131" t="str">
        <x:v>이재환</x:v>
      </x:c>
      <x:c r="D53" s="131" t="str">
        <x:v>리뷰</x:v>
      </x:c>
      <x:c r="E53" s="131" t="str">
        <x:v>Demo·앱/DB/모니터링 질의 대응</x:v>
      </x:c>
      <x:c r="F53" s="131" t="str">
        <x:v>MS-P1-REVIEW-01</x:v>
      </x:c>
      <x:c r="G53" s="131" t="str">
        <x:v>G3 통과·참석자/시간 확정</x:v>
      </x:c>
      <x:c r="H53" s="139" t="n">
        <x:v>0.5</x:v>
      </x:c>
      <x:c r="I53" s="139" t="n">
        <x:v>1</x:v>
      </x:c>
      <x:c r="J53" s="139" t="n">
        <x:f>SUMIFS($H$6:$H$59,$A$6:$A$59,A53,$C$6:$C$59,C53)</x:f>
        <x:v>1</x:v>
      </x:c>
      <x:c r="K53" s="131" t="str">
        <x:f>IF(J53&gt;I53,"OVERBOOKED",IF(I53=0,"UNAVAILABLE","OK"))</x:f>
        <x:v>OK</x:v>
      </x:c>
      <x:c r="L53" s="131" t="str">
        <x:v>2026-09-22 PM</x:v>
      </x:c>
    </x:row>
    <x:row r="54" ht="60" customHeight="1">
      <x:c r="A54" s="137" t="n">
        <x:v>46288</x:v>
      </x:c>
      <x:c r="B54" s="133" t="str">
        <x:v>AM</x:v>
      </x:c>
      <x:c r="C54" s="133" t="str">
        <x:v>이권욱</x:v>
      </x:c>
      <x:c r="D54" s="133" t="str">
        <x:v>버퍼</x:v>
      </x:c>
      <x:c r="E54" s="133" t="str">
        <x:v>Review Action·결함 보완/재시험 예비 창</x:v>
      </x:c>
      <x:c r="F54" s="133" t="str">
        <x:v>P1-REV-01</x:v>
      </x:c>
      <x:c r="G54" s="133" t="str">
        <x:v>Review Action 목록</x:v>
      </x:c>
      <x:c r="H54" s="141" t="n">
        <x:v>0.5</x:v>
      </x:c>
      <x:c r="I54" s="141" t="n">
        <x:v>1</x:v>
      </x:c>
      <x:c r="J54" s="141" t="n">
        <x:f>SUMIFS($H$6:$H$59,$A$6:$A$59,A54,$C$6:$C$59,C54)</x:f>
        <x:v>1</x:v>
      </x:c>
      <x:c r="K54" s="133" t="str">
        <x:f>IF(J54&gt;I54,"OVERBOOKED",IF(I54=0,"UNAVAILABLE","OK"))</x:f>
        <x:v>OK</x:v>
      </x:c>
      <x:c r="L54" s="133" t="str">
        <x:v>2026-09-23 AM</x:v>
      </x:c>
    </x:row>
    <x:row r="55" ht="60" customHeight="1">
      <x:c r="A55" s="137" t="n">
        <x:v>46288</x:v>
      </x:c>
      <x:c r="B55" s="133" t="str">
        <x:v>AM</x:v>
      </x:c>
      <x:c r="C55" s="133" t="str">
        <x:v>이하영</x:v>
      </x:c>
      <x:c r="D55" s="133" t="str">
        <x:v>버퍼</x:v>
      </x:c>
      <x:c r="E55" s="133" t="str">
        <x:v>Review Action·결함 보완/재시험 예비 창</x:v>
      </x:c>
      <x:c r="F55" s="133" t="str">
        <x:v>P1-REV-01</x:v>
      </x:c>
      <x:c r="G55" s="133" t="str">
        <x:v>Review Action 목록</x:v>
      </x:c>
      <x:c r="H55" s="141" t="n">
        <x:v>0.5</x:v>
      </x:c>
      <x:c r="I55" s="141" t="n">
        <x:v>1</x:v>
      </x:c>
      <x:c r="J55" s="141" t="n">
        <x:f>SUMIFS($H$6:$H$59,$A$6:$A$59,A55,$C$6:$C$59,C55)</x:f>
        <x:v>1</x:v>
      </x:c>
      <x:c r="K55" s="133" t="str">
        <x:f>IF(J55&gt;I55,"OVERBOOKED",IF(I55=0,"UNAVAILABLE","OK"))</x:f>
        <x:v>OK</x:v>
      </x:c>
      <x:c r="L55" s="133" t="str">
        <x:v>2026-09-23 AM</x:v>
      </x:c>
    </x:row>
    <x:row r="56" ht="60" customHeight="1">
      <x:c r="A56" s="137" t="n">
        <x:v>46288</x:v>
      </x:c>
      <x:c r="B56" s="133" t="str">
        <x:v>AM</x:v>
      </x:c>
      <x:c r="C56" s="133" t="str">
        <x:v>이재환</x:v>
      </x:c>
      <x:c r="D56" s="133" t="str">
        <x:v>버퍼</x:v>
      </x:c>
      <x:c r="E56" s="133" t="str">
        <x:v>Review Action·결함 보완/재시험 예비 창</x:v>
      </x:c>
      <x:c r="F56" s="133" t="str">
        <x:v>P1-REV-01</x:v>
      </x:c>
      <x:c r="G56" s="133" t="str">
        <x:v>Review Action 목록</x:v>
      </x:c>
      <x:c r="H56" s="141" t="n">
        <x:v>0.5</x:v>
      </x:c>
      <x:c r="I56" s="141" t="n">
        <x:v>1</x:v>
      </x:c>
      <x:c r="J56" s="141" t="n">
        <x:f>SUMIFS($H$6:$H$59,$A$6:$A$59,A56,$C$6:$C$59,C56)</x:f>
        <x:v>1</x:v>
      </x:c>
      <x:c r="K56" s="133" t="str">
        <x:f>IF(J56&gt;I56,"OVERBOOKED",IF(I56=0,"UNAVAILABLE","OK"))</x:f>
        <x:v>OK</x:v>
      </x:c>
      <x:c r="L56" s="133" t="str">
        <x:v>2026-09-23 AM</x:v>
      </x:c>
    </x:row>
    <x:row r="57" ht="60" customHeight="1">
      <x:c r="A57" s="135" t="n">
        <x:v>46288</x:v>
      </x:c>
      <x:c r="B57" s="131" t="str">
        <x:v>PM</x:v>
      </x:c>
      <x:c r="C57" s="131" t="str">
        <x:v>이권욱</x:v>
      </x:c>
      <x:c r="D57" s="131" t="str">
        <x:v>종료</x:v>
      </x:c>
      <x:c r="E57" s="131" t="str">
        <x:v>P0 Sign-off·P1 Owner/Due 이관·Phase 1 Close</x:v>
      </x:c>
      <x:c r="F57" s="131" t="str">
        <x:v>MS-P1-CLOSE-01</x:v>
      </x:c>
      <x:c r="G57" s="131" t="str">
        <x:v>P0 전부 충족·Critical 0·인수 승인</x:v>
      </x:c>
      <x:c r="H57" s="139" t="n">
        <x:v>0.5</x:v>
      </x:c>
      <x:c r="I57" s="139" t="n">
        <x:v>1</x:v>
      </x:c>
      <x:c r="J57" s="139" t="n">
        <x:f>SUMIFS($H$6:$H$59,$A$6:$A$59,A57,$C$6:$C$59,C57)</x:f>
        <x:v>1</x:v>
      </x:c>
      <x:c r="K57" s="131" t="str">
        <x:f>IF(J57&gt;I57,"OVERBOOKED",IF(I57=0,"UNAVAILABLE","OK"))</x:f>
        <x:v>OK</x:v>
      </x:c>
      <x:c r="L57" s="131" t="str">
        <x:v>2026-09-23 PM</x:v>
      </x:c>
    </x:row>
    <x:row r="58" ht="60" customHeight="1">
      <x:c r="A58" s="134" t="n">
        <x:v>46288</x:v>
      </x:c>
      <x:c r="B58" s="130" t="str">
        <x:v>PM</x:v>
      </x:c>
      <x:c r="C58" s="130" t="str">
        <x:v>이하영</x:v>
      </x:c>
      <x:c r="D58" s="130" t="str">
        <x:v>종료</x:v>
      </x:c>
      <x:c r="E58" s="130" t="str">
        <x:v>보안/플랫폼 Runbook·Known Issue 인계</x:v>
      </x:c>
      <x:c r="F58" s="130" t="str">
        <x:v>MS-P1-CLOSE-01</x:v>
      </x:c>
      <x:c r="G58" s="130" t="str">
        <x:v>P0 전부 충족·Critical 0·인수 승인</x:v>
      </x:c>
      <x:c r="H58" s="138" t="n">
        <x:v>0.5</x:v>
      </x:c>
      <x:c r="I58" s="138" t="n">
        <x:v>1</x:v>
      </x:c>
      <x:c r="J58" s="138" t="n">
        <x:f>SUMIFS($H$6:$H$59,$A$6:$A$59,A58,$C$6:$C$59,C58)</x:f>
        <x:v>1</x:v>
      </x:c>
      <x:c r="K58" s="130" t="str">
        <x:f>IF(J58&gt;I58,"OVERBOOKED",IF(I58=0,"UNAVAILABLE","OK"))</x:f>
        <x:v>OK</x:v>
      </x:c>
      <x:c r="L58" s="130" t="str">
        <x:v>2026-09-23 PM</x:v>
      </x:c>
    </x:row>
    <x:row r="59" ht="60" customHeight="1">
      <x:c r="A59" s="135" t="n">
        <x:v>46288</x:v>
      </x:c>
      <x:c r="B59" s="131" t="str">
        <x:v>PM</x:v>
      </x:c>
      <x:c r="C59" s="131" t="str">
        <x:v>이재환</x:v>
      </x:c>
      <x:c r="D59" s="131" t="str">
        <x:v>종료</x:v>
      </x:c>
      <x:c r="E59" s="131" t="str">
        <x:v>APP/DB/MON Runbook·Known Issue 인계</x:v>
      </x:c>
      <x:c r="F59" s="131" t="str">
        <x:v>MS-P1-CLOSE-01</x:v>
      </x:c>
      <x:c r="G59" s="131" t="str">
        <x:v>P0 전부 충족·Critical 0·인수 승인</x:v>
      </x:c>
      <x:c r="H59" s="139" t="n">
        <x:v>0.5</x:v>
      </x:c>
      <x:c r="I59" s="139" t="n">
        <x:v>1</x:v>
      </x:c>
      <x:c r="J59" s="139" t="n">
        <x:f>SUMIFS($H$6:$H$59,$A$6:$A$59,A59,$C$6:$C$59,C59)</x:f>
        <x:v>1</x:v>
      </x:c>
      <x:c r="K59" s="131" t="str">
        <x:f>IF(J59&gt;I59,"OVERBOOKED",IF(I59=0,"UNAVAILABLE","OK"))</x:f>
        <x:v>OK</x:v>
      </x:c>
      <x:c r="L59" s="131" t="str">
        <x:v>2026-09-23 PM</x:v>
      </x:c>
    </x:row>
  </x:sheetData>
  <x:mergeCells>
    <x:mergeCell ref="A1:L1"/>
    <x:mergeCell ref="A2:L2"/>
    <x:mergeCell ref="A3:L3"/>
  </x:mergeCells>
  <x:conditionalFormatting sqref="K6:K59">
    <x:cfRule type="containsText" dxfId="39" priority="1" operator="containsText" text="OVERBOOKED"/>
  </x:conditionalFormatting>
  <x:pageMargins left="0.7" right="0.7" top="0.75" bottom="0.75" header="0.3" footer="0.3"/>
</x:worksheet>
</file>