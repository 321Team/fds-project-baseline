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a4fa70db4840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e9742af802054c0e"/>
    <x:sheet xmlns:r="http://schemas.openxmlformats.org/officeDocument/2006/relationships" name="WBS" sheetId="2" r:id="R3dfa9ac6f5154811"/>
    <x:sheet xmlns:r="http://schemas.openxmlformats.org/officeDocument/2006/relationships" name="Phase 1 Gantt" sheetId="3" r:id="R9826e58b1396464a"/>
    <x:sheet xmlns:r="http://schemas.openxmlformats.org/officeDocument/2006/relationships" name="Phase 2 Gantt" sheetId="4" r:id="Re8fbbbb693534c60"/>
    <x:sheet xmlns:r="http://schemas.openxmlformats.org/officeDocument/2006/relationships" name="Milestones &amp; Decisions" sheetId="5" r:id="R8728a883d9a84d64"/>
    <x:sheet xmlns:r="http://schemas.openxmlformats.org/officeDocument/2006/relationships" name="Risks &amp; Assumptions" sheetId="6" r:id="Reb3d61ce8c4f4e82"/>
    <x:sheet xmlns:r="http://schemas.openxmlformats.org/officeDocument/2006/relationships" name="Sources &amp; Change Log" sheetId="7" r:id="R813d69e850af455f"/>
    <x:sheet xmlns:r="http://schemas.openxmlformats.org/officeDocument/2006/relationships" name="Team Calendar" sheetId="8" r:id="Reca0554af1334ead"/>
    <x:sheet xmlns:r="http://schemas.openxmlformats.org/officeDocument/2006/relationships" name="Fast Track Plan" sheetId="9" r:id="R6602224478724a7e"/>
    <x:sheet xmlns:r="http://schemas.openxmlformats.org/officeDocument/2006/relationships" name="Test Strategy" sheetId="10" r:id="R1e07e56eeb3c4a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8EADC4"/>
        </x:patternFill>
      </x:fill>
    </x:dxf>
    <x:dxf>
      <x:fill>
        <x:patternFill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50ed1b27104afc" /><Relationship Type="http://schemas.openxmlformats.org/officeDocument/2006/relationships/theme" Target="/xl/theme/theme1.xml" Id="R008f5d99279c4835" /><Relationship Type="http://schemas.openxmlformats.org/officeDocument/2006/relationships/sharedStrings" Target="/xl/sharedStrings.xml" Id="R01bea212a4654a91" /><Relationship Type="http://schemas.openxmlformats.org/officeDocument/2006/relationships/worksheet" Target="/xl/worksheets/sheet1.xml" Id="Re9742af802054c0e" /><Relationship Type="http://schemas.openxmlformats.org/officeDocument/2006/relationships/worksheet" Target="/xl/worksheets/sheet2.xml" Id="R3dfa9ac6f5154811" /><Relationship Type="http://schemas.openxmlformats.org/officeDocument/2006/relationships/worksheet" Target="/xl/worksheets/sheet3.xml" Id="R9826e58b1396464a" /><Relationship Type="http://schemas.openxmlformats.org/officeDocument/2006/relationships/worksheet" Target="/xl/worksheets/sheet4.xml" Id="Re8fbbbb693534c60" /><Relationship Type="http://schemas.openxmlformats.org/officeDocument/2006/relationships/worksheet" Target="/xl/worksheets/sheet5.xml" Id="R8728a883d9a84d64" /><Relationship Type="http://schemas.openxmlformats.org/officeDocument/2006/relationships/worksheet" Target="/xl/worksheets/sheet6.xml" Id="Reb3d61ce8c4f4e82" /><Relationship Type="http://schemas.openxmlformats.org/officeDocument/2006/relationships/worksheet" Target="/xl/worksheets/sheet7.xml" Id="R813d69e850af455f" /><Relationship Type="http://schemas.openxmlformats.org/officeDocument/2006/relationships/worksheet" Target="/xl/worksheets/sheet8.xml" Id="Reca0554af1334ead" /><Relationship Type="http://schemas.openxmlformats.org/officeDocument/2006/relationships/worksheet" Target="/xl/worksheets/sheet9.xml" Id="R6602224478724a7e" /><Relationship Type="http://schemas.openxmlformats.org/officeDocument/2006/relationships/worksheet" Target="/xl/worksheets/sheet10.xml" Id="R1e07e56eeb3c4a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f270c219a54f50" /><Relationship Type="http://schemas.openxmlformats.org/officeDocument/2006/relationships/chart" Target="/xl/drawings/charts/chart2.xml" Id="R0afa5321836a4e2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f270c219a54f50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fa5321836a4e2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409e5d48684c0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ba67dac05554f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전체 WBS · Phase1·2 정본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>
      <x:c r="A2" t="str">
        <x:v>78건 현재 GitHub 상태 반영. Phase2 사양 확정과 Runtime 인수 구분. 계획일은 승인된 이력이며 실제 완료일은 R열. 미발행 후보.</x:v>
      </x:c>
    </x:row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d">
        <x:v>2026-10-19T00:00:00.000Z</x:v>
      </x:c>
      <x:c r="D4" s="13" t="str">
        <x:v>P1 Close</x:v>
      </x:c>
      <x:c r="E4" s="199" t="str">
        <x:v>Review 채택 완료 · Signoff 잔여</x:v>
      </x:c>
    </x:row>
    <x:row r="5" ht="32" customHeight="1">
      <x:c r="A5" s="13" t="inlineStr">
        <x:is>
          <x:t xml:space="preserve">Canonical version</x:t>
        </x:is>
      </x:c>
      <x:c r="B5" s="195" t="str">
        <x:v>v3.1.21 기반 · 미발행 후보</x:v>
      </x:c>
      <x:c r="D5" s="13" t="str">
        <x:v>D21 decision</x:v>
      </x:c>
      <x:c r="E5" s="199" t="str">
        <x:v>FINAL · AWS EC2 Relay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사양 후보 편입 · 새 Release 없음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P1 문서 한정 / P2 설계 Freeze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당시 NOT_READY · 현재 GO 미판정</x:v>
      </x:c>
    </x:row>
    <x:row r="9">
      <x:c r="A9" t="str">
        <x:v>Phase 1 / Phase 2</x:v>
      </x:c>
      <x:c r="B9" t="str">
        <x:v>42 / 31</x:v>
      </x:c>
      <x:c r="D9" s="67" t="str">
        <x:v>G4 / G5 / G6 targets</x:v>
      </x:c>
      <x:c r="E9" s="200" t="str">
        <x:v>원 계획 유지 · 실제 인수 별도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43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12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20</x:v>
      </x:c>
    </x:row>
    <x:row r="16">
      <x:c r="A16" t="str">
        <x:v>Cancelled</x:v>
      </x:c>
      <x:c r="B16" t="n">
        <x:f>COUNTIF(WBS!$G$4:$G$81,A16)</x:f>
        <x:v>3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#34 Freeze 사양38a6512 확정. actual G4·ROSA·앱 인수는 별도.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모듈·G1~G3·#31 조건부 Review 인수 완료. #30 Signoff/#32 Close 잔여.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D21 확정 사양 편입. 과거 raw intake HOLD를 현재 설계 미결로 사용하지 않음.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D22 선택A·추가DNS 보류 유지. 실제 CA/Registry/VPN 검증은 각 티켓.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기존 예산 경계 유지. 10/19 사용액 보고를 총예상액으로 확대하지 않음.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P1 기존4/4 인수 유지. P2 Runtime은 해당RUN 별도 증적.</x:v>
      </x:c>
      <x:c r="D26" s="202" t="str">
        <x:v>#16/#13</x:v>
      </x:c>
    </x:row>
    <x:row r="27" ht="44" customHeight="1">
      <x:c r="A27" t="str">
        <x:v>P0</x:v>
      </x:c>
      <x:c r="B27" t="str">
        <x:v>Publication</x:v>
      </x:c>
      <x:c r="C27" s="67" t="str">
        <x:v>Content merged; finalization and GitHub Asset verification tracked separately.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d5409e5d48684c0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d">
        <x:v>2026-10-19T00:00:00.000Z</x:v>
      </x:c>
      <x:c r="C2" s="17" t="inlineStr">
        <x:is>
          <x:t xml:space="preserve">Canonical</x:t>
        </x:is>
      </x:c>
      <x:c r="D2" s="17" t="str">
        <x:v>v3.1.21 RELEASED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 · 조회 2026-10-19T19:25 KST · body SHA d6e428e32ba8 · 실제종결 2026-09-09T18:39:09+09:00 (completed)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 · 조회 2026-10-19T19:25 KST · body SHA 3efc970807fb · 실제종결 2026-09-09T18:40:02+09:00 (completed)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Done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 · 조회 2026-10-19T19:25 KST · body SHA e2ca980d59d1 · 실제종결 2026-10-05T21:47:24+09:00 (completed)</x:v>
      </x:c>
      <x:c r="S6" s="13" t="str">
        <x:f>IF(G6="Done","Done",IF(I6="","End TBD",IF(I6&lt;'Executive Summary'!$B$4,"Target elapsed",IF(H6&gt;'Executive Summary'!$B$4,"Upcoming","Active window"))))</x:f>
        <x:v>Done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Done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</x:v>
      </x:c>
      <x:c r="R7" s="13" t="str">
        <x:v>https://github.com/321Team/fds-project-baseline/issues/10 · 조회 2026-10-19T19:25 KST · body SHA fb8ece4e98d1 · 실제종결 2026-10-19T18:03:58+09:00 (completed)</x:v>
      </x:c>
      <x:c r="S7" s="13" t="str">
        <x:f>IF(G7="Done","Done",IF(I7="","End TBD",IF(I7&lt;'Executive Summary'!$B$4,"Target elapsed",IF(H7&gt;'Executive Summary'!$B$4,"Upcoming","Active window"))))</x:f>
        <x:v>Done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Done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 · 조회 2026-10-19T19:25 KST · body SHA 410534fa4edd · 실제종결 2026-10-14T11:07:34+09:00 (completed)</x:v>
      </x:c>
      <x:c r="S8" s="13" t="str">
        <x:f>IF(G8="Done","Done",IF(I8="","End TBD",IF(I8&lt;'Executive Summary'!$B$4,"Target elapsed",IF(H8&gt;'Executive Summary'!$B$4,"Upcoming","Active window"))))</x:f>
        <x:v>Done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 · 조회 2026-10-19T19:25 KST · body SHA 03eb461ade12 · 실제종결 2026-09-09T18:41:10+09:00 (completed)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Done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</x:v>
      </x:c>
      <x:c r="R10" s="13" t="str">
        <x:v>https://github.com/321Team/fds-project-baseline/issues/13 · 조회 2026-10-19T19:25 KST · body SHA b70bf46a22d4 · 실제종결 2026-10-19T18:04:15+09:00 (completed)</x:v>
      </x:c>
      <x:c r="S10" s="13" t="str">
        <x:f>IF(G10="Done","Done",IF(I10="","End TBD",IF(I10&lt;'Executive Summary'!$B$4,"Target elapsed",IF(H10&gt;'Executive Summary'!$B$4,"Upcoming","Active window"))))</x:f>
        <x:v>Done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Done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</x:v>
      </x:c>
      <x:c r="R11" s="13" t="str">
        <x:v>https://github.com/321Team/fds-project-baseline/issues/14 · 조회 2026-10-19T19:25 KST · body SHA 2da95da77c70 · 실제종결 2026-10-19T19:05:24+09:00 (completed)</x:v>
      </x:c>
      <x:c r="S11" s="13" t="str">
        <x:f>IF(G11="Done","Done",IF(I11="","End TBD",IF(I11&lt;'Executive Summary'!$B$4,"Target elapsed",IF(H11&gt;'Executive Summary'!$B$4,"Upcoming","Active window"))))</x:f>
        <x:v>Done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 · 조회 2026-10-19T19:25 KST · body SHA 871283ea4135 · 실제종결 2026-09-09T18:52:36+09:00 (completed)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Done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</x:v>
      </x:c>
      <x:c r="R13" s="13" t="str">
        <x:v>https://github.com/321Team/fds-project-baseline/issues/15 · 조회 2026-10-19T19:25 KST · body SHA 139c96c3100e · 실제종결 2026-10-19T18:04:23+09:00 (completed)</x:v>
      </x:c>
      <x:c r="S13" s="13" t="str">
        <x:f>IF(G13="Done","Done",IF(I13="","End TBD",IF(I13&lt;'Executive Summary'!$B$4,"Target elapsed",IF(H13&gt;'Executive Summary'!$B$4,"Upcoming","Active window"))))</x:f>
        <x:v>Done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Done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 · 조회 2026-10-19T19:25 KST · body SHA a67524165c36 · 실제종결 2026-10-15T19:47:58+09:00 (completed)</x:v>
      </x:c>
      <x:c r="S14" s="13" t="str">
        <x:f>IF(G14="Done","Done",IF(I14="","End TBD",IF(I14&lt;'Executive Summary'!$B$4,"Target elapsed",IF(H14&gt;'Executive Summary'!$B$4,"Upcoming","Active window"))))</x:f>
        <x:v>Done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Done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</x:v>
      </x:c>
      <x:c r="R15" s="13" t="str">
        <x:v>https://github.com/321Team/fds-project-baseline/issues/17 · 조회 2026-10-19T19:25 KST · body SHA 59e50b43a836 · 실제종결 2026-10-19T18:04:31+09:00 (completed)</x:v>
      </x:c>
      <x:c r="S15" s="13" t="str">
        <x:f>IF(G15="Done","Done",IF(I15="","End TBD",IF(I15&lt;'Executive Summary'!$B$4,"Target elapsed",IF(H15&gt;'Executive Summary'!$B$4,"Upcoming","Active window"))))</x:f>
        <x:v>Done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Done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</x:v>
      </x:c>
      <x:c r="R16" s="13" t="str">
        <x:v>https://github.com/321Team/fds-project-baseline/issues/18 · 조회 2026-10-19T19:25 KST · body SHA 2586f4364edf · 실제종결 2026-10-19T19:05:40+09:00 (completed)</x:v>
      </x:c>
      <x:c r="S16" s="13" t="str">
        <x:f>IF(G16="Done","Done",IF(I16="","End TBD",IF(I16&lt;'Executive Summary'!$B$4,"Target elapsed",IF(H16&gt;'Executive Summary'!$B$4,"Upcoming","Active window"))))</x:f>
        <x:v>Done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Done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</x:v>
      </x:c>
      <x:c r="R17" s="13" t="str">
        <x:v>https://github.com/321Team/fds-project-baseline/issues/19 · 조회 2026-10-19T19:25 KST · body SHA 04ff69e4cc83 · 실제종결 2026-10-19T18:04:07+09:00 (completed)</x:v>
      </x:c>
      <x:c r="S17" s="13" t="str">
        <x:f>IF(G17="Done","Done",IF(I17="","End TBD",IF(I17&lt;'Executive Summary'!$B$4,"Target elapsed",IF(H17&gt;'Executive Summary'!$B$4,"Upcoming","Active window"))))</x:f>
        <x:v>Done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Done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</x:v>
      </x:c>
      <x:c r="R18" s="13" t="str">
        <x:v>https://github.com/321Team/fds-project-baseline/issues/20 · 조회 2026-10-19T19:25 KST · body SHA 71009256c529 · 실제종결 2026-10-19T18:04:40+09:00 (completed)</x:v>
      </x:c>
      <x:c r="S18" s="13" t="str">
        <x:f>IF(G18="Done","Done",IF(I18="","End TBD",IF(I18&lt;'Executive Summary'!$B$4,"Target elapsed",IF(H18&gt;'Executive Summary'!$B$4,"Upcoming","Active window"))))</x:f>
        <x:v>Done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Done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 · 조회 2026-10-19T19:25 KST · body SHA eb16fbacd6ad · 실제종결 2026-10-13T13:46:59+09:00 (completed)</x:v>
      </x:c>
      <x:c r="S19" s="13" t="str">
        <x:f>IF(G19="Done","Done",IF(I19="","End TBD",IF(I19&lt;'Executive Summary'!$B$4,"Target elapsed",IF(H19&gt;'Executive Summary'!$B$4,"Upcoming","Active window"))))</x:f>
        <x:v>Done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Done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 · 조회 2026-10-19T19:25 KST · body SHA f6d54730794b · 실제종결 2026-10-18T05:05:16+09:00 (completed)</x:v>
      </x:c>
      <x:c r="S20" s="13" t="str">
        <x:f>IF(G20="Done","Done",IF(I20="","End TBD",IF(I20&lt;'Executive Summary'!$B$4,"Target elapsed",IF(H20&gt;'Executive Summary'!$B$4,"Upcoming","Active window"))))</x:f>
        <x:v>Done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Done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</x:v>
      </x:c>
      <x:c r="R21" s="13" t="str">
        <x:v>https://github.com/321Team/fds-project-baseline/issues/23 · 조회 2026-10-19T19:25 KST · body SHA cd8820fb19c0 · 실제종결 2026-10-19T19:05:48+09:00 (completed)</x:v>
      </x:c>
      <x:c r="S21" s="13" t="str">
        <x:f>IF(G21="Done","Done",IF(I21="","End TBD",IF(I21&lt;'Executive Summary'!$B$4,"Target elapsed",IF(H21&gt;'Executive Summary'!$B$4,"Upcoming","Active window"))))</x:f>
        <x:v>Done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Done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</x:v>
      </x:c>
      <x:c r="R22" s="13" t="str">
        <x:v>https://github.com/321Team/fds-project-baseline/issues/24 · 조회 2026-10-19T19:25 KST · body SHA cf96de6b835a · 실제종결 2026-10-19T18:12:54+09:00 (completed)</x:v>
      </x:c>
      <x:c r="S22" s="13" t="str">
        <x:f>IF(G22="Done","Done",IF(I22="","End TBD",IF(I22&lt;'Executive Summary'!$B$4,"Target elapsed",IF(H22&gt;'Executive Summary'!$B$4,"Upcoming","Active window"))))</x:f>
        <x:v>Done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2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 · 조회 2026-10-19T19:25 KST · body SHA 1e1ce4b45278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2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 · 조회 2026-10-19T19:25 KST · body SHA 29da57d4e92b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2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 · 조회 2026-10-19T19:25 KST · body SHA e052bb42c701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 · 조회 2026-10-19T19:25 KST · body SHA baaa15a37335 · 실제종결 2026-09-16T17:53:19+09:00 (completed)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Done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R27" s="13" t="str">
        <x:v>https://github.com/321Team/fds-project-baseline/issues/29 · 조회 2026-10-19T19:25 KST · body SHA 33376af922bc · 실제종결 2026-10-19T19:05:55+09:00 (completed)</x:v>
      </x:c>
      <x:c r="S27" s="13" t="str">
        <x:f>IF(G27="Done","Done",IF(I27="","End TBD",IF(I27&lt;'Executive Summary'!$B$4,"Target elapsed",IF(H27&gt;'Executive Summary'!$B$4,"Upcoming","Active window"))))</x:f>
        <x:v>Done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In Progress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 · 조회 2026-10-19T19:25 KST · body SHA adae54557399</x:v>
      </x:c>
      <x:c r="S28" s="13" t="str">
        <x:f>IF(G28="Done","Done",IF(I28="","End TBD",IF(I28&lt;'Executive Summary'!$B$4,"Target elapsed",IF(H28&gt;'Executive Summary'!$B$4,"Upcoming","Active window"))))</x:f>
        <x:v>Target elapsed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Done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R29" s="13" t="str">
        <x:v>https://github.com/321Team/fds-project-baseline/issues/31 · 실제종결 2026-10-19T19:45:18+09:00 · body SHA 74b462cf3f0a · 실제Review채택 https://github.com/321Team/fds-project-baseline/issues/31#issuecomment-6265340124</x:v>
      </x:c>
      <x:c r="S29" s="13" t="str">
        <x:f>IF(G29="Done","Done",IF(I29="","End TBD",IF(I29&lt;'Executive Summary'!$B$4,"Target elapsed",IF(H29&gt;'Executive Summary'!$B$4,"Upcoming","Active window"))))</x:f>
        <x:v>Done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 · 조회 2026-10-19T19:25 KST · body SHA be9aebeff65a</x:v>
      </x:c>
      <x:c r="S30" s="13" t="str">
        <x:f>IF(G30="Done","Done",IF(I30="","End TBD",IF(I30&lt;'Executive Summary'!$B$4,"Target elapsed",IF(H30&gt;'Executive Summary'!$B$4,"Upcoming","Active window"))))</x:f>
        <x:v>Target elapsed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 · 조회 2026-10-19T19:25 KST · body SHA d3b53a69ea62</x:v>
      </x:c>
      <x:c r="S31" s="13" t="str">
        <x:f>IF(G31="Done","Done",IF(I31="","End TBD",IF(I31&lt;'Executive Summary'!$B$4,"Target elapsed",IF(H31&gt;'Executive Summary'!$B$4,"Upcoming","Active window"))))</x:f>
        <x:v>Target elapsed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Done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 · 조회 2026-10-19T19:25 KST · body SHA 2dbc6ac6e298 · 실제종결 2026-10-19T18:38:16+09:00 (completed)</x:v>
      </x:c>
      <x:c r="S32" s="13" t="str">
        <x:f>IF(G32="Done","Done",IF(I32="","End TBD",IF(I32&lt;'Executive Summary'!$B$4,"Target elapsed",IF(H32&gt;'Executive Summary'!$B$4,"Upcoming","Active window"))))</x:f>
        <x:v>Done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In Progress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 · 조회 2026-10-19T19:25 KST · body SHA 677720e9b9fc</x:v>
      </x:c>
      <x:c r="S33" s="13" t="str">
        <x:f>IF(G33="Done","Done",IF(I33="","End TBD",IF(I33&lt;'Executive Summary'!$B$4,"Target elapsed",IF(H33&gt;'Executive Summary'!$B$4,"Upcoming","Active window"))))</x:f>
        <x:v>Target elapsed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In Progress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 · 조회 2026-10-19T19:25 KST · body SHA f70908ecded8</x:v>
      </x:c>
      <x:c r="S34" s="13" t="str">
        <x:f>IF(G34="Done","Done",IF(I34="","End TBD",IF(I34&lt;'Executive Summary'!$B$4,"Target elapsed",IF(H34&gt;'Executive Summary'!$B$4,"Upcoming","Active window"))))</x:f>
        <x:v>Target elapsed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In Progress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 · 조회 2026-10-19T19:25 KST · body SHA 2b32f927a8fe</x:v>
      </x:c>
      <x:c r="S35" s="13" t="str">
        <x:f>IF(G35="Done","Done",IF(I35="","End TBD",IF(I35&lt;'Executive Summary'!$B$4,"Target elapsed",IF(H35&gt;'Executive Summary'!$B$4,"Upcoming","Active window"))))</x:f>
        <x:v>Target elapsed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In Progress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 · 조회 2026-10-19T19:25 KST · body SHA 525d74d322a0</x:v>
      </x:c>
      <x:c r="S36" s="13" t="str">
        <x:f>IF(G36="Done","Done",IF(I36="","End TBD",IF(I36&lt;'Executive Summary'!$B$4,"Target elapsed",IF(H36&gt;'Executive Summary'!$B$4,"Upcoming","Active window"))))</x:f>
        <x:v>Active window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 · 조회 2026-10-19T19:25 KST · body SHA da58acabefb5</x:v>
      </x:c>
      <x:c r="S37" s="13" t="str">
        <x:f>IF(G37="Done","Done",IF(I37="","End TBD",IF(I37&lt;'Executive Summary'!$B$4,"Target elapsed",IF(H37&gt;'Executive Summary'!$B$4,"Upcoming","Active window"))))</x:f>
        <x:v>Target elapsed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R38" s="13" t="str">
        <x:v>https://github.com/321Team/fds-project-baseline/issues/40 · 조회 2026-10-19T19:25 KST · body SHA 40ce4afdd023</x:v>
      </x:c>
      <x:c r="S38" s="13" t="str">
        <x:f>IF(G38="Done","Done",IF(I38="","End TBD",IF(I38&lt;'Executive Summary'!$B$4,"Target elapsed",IF(H38&gt;'Executive Summary'!$B$4,"Upcoming","Active window"))))</x:f>
        <x:v>Target elapsed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 · 조회 2026-10-19T19:25 KST · body SHA 70621b661bde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In Progress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 · 조회 2026-10-19T19:25 KST · body SHA 56c124765e65</x:v>
      </x:c>
      <x:c r="S40" s="13" t="str">
        <x:f>IF(G40="Done","Done",IF(I40="","End TBD",IF(I40&lt;'Executive Summary'!$B$4,"Target elapsed",IF(H40&gt;'Executive Summary'!$B$4,"Upcoming","Active window"))))</x:f>
        <x:v>Target elapsed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In Progress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 · 조회 2026-10-19T19:25 KST · body SHA 449a971a44a4</x:v>
      </x:c>
      <x:c r="S41" s="13" t="str">
        <x:f>IF(G41="Done","Done",IF(I41="","End TBD",IF(I41&lt;'Executive Summary'!$B$4,"Target elapsed",IF(H41&gt;'Executive Summary'!$B$4,"Upcoming","Active window"))))</x:f>
        <x:v>Active window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 · 조회 2026-10-19T19:25 KST · body SHA 1cee52911729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 · 조회 2026-10-19T19:25 KST · body SHA 3b700affe8cb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In Progress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 · 조회 2026-10-19T19:25 KST · body SHA 071fdb0ed2a2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In Progress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 · 조회 2026-10-19T19:25 KST · body SHA c7b87656feb9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보류(Deferred) — 2026-10-14 이권욱 결정. 추가 Hybrid DNS 구현을 보류하며 OPEN 유지; Cancelled/완료 아님. Owner 이권욱. D23 Go와 P0 잔여 capacity 및 이권욱의 별도 재개 판단 전 구현하지 않는다. 기존 계획 기준: P1 Conditional. D23가 Hybrid DNS Go이고 P0 일정 여유가 있을 때만 실행한다. 그렇지 않으면 Cancelled/Deferred 근거를 남기고 IP Endpoint로 P0 E2E를 진행한다.</x:v>
      </x:c>
      <x:c r="R46" s="13" t="str">
        <x:v>https://github.com/321Team/fds-project-baseline/issues/48 · 조회 2026-10-19T19:25 KST · body SHA 15ae082d9a00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In Progress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 · 조회 2026-10-19T19:25 KST · body SHA 0df84e2a05a4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 · 조회 2026-10-19T19:25 KST · body SHA ce799b772f77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 · 조회 2026-10-19T19:25 KST · body SHA de786af55724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In Progress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 · 조회 2026-10-19T19:25 KST · body SHA 0bfffefa3778</x:v>
      </x:c>
      <x:c r="S50" s="13" t="str">
        <x:f>IF(G50="Done","Done",IF(I50="","End TBD",IF(I50&lt;'Executive Summary'!$B$4,"Target elapsed",IF(H50&gt;'Executive Summary'!$B$4,"Upcoming","Active window"))))</x:f>
        <x:v>Target elapsed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 · 조회 2026-10-19T19:25 KST · body SHA bd76c074cec2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 · 조회 2026-10-19T19:25 KST · body SHA 6feb7b1fdc14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In Progress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 · 조회 2026-10-19T19:25 KST · body SHA 855e8842396a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 · 조회 2026-10-19T19:25 KST · body SHA f799554206c2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 · 조회 2026-10-19T19:25 KST · body SHA 0f90761d5ed3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 · 조회 2026-10-19T19:25 KST · body SHA 46c9744cb01d · 실제종결 2026-09-09T15:37:02+09:00 (completed)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 · 조회 2026-10-19T19:25 KST · body SHA ebf035d43ba3 · 실제종결 2026-09-09T15:37:13+09:00 (completed)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 · 조회 2026-10-19T19:25 KST · body SHA bbf7b122c229 · 실제종결 2026-09-09T15:37:24+09:00 (completed)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 · 조회 2026-10-19T19:25 KST · body SHA 8032fb1c24b4 · 실제종결 2026-09-26T11:29:06+09:00 (completed)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 · 조회 2026-10-19T19:25 KST · body SHA 5e48969d31bc · 실제종결 2026-09-26T19:51:24+09:00 (completed)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 · 조회 2026-10-19T19:25 KST · body SHA 3f09efe53d1f · 실제종결 2026-09-16T18:59:17+09:00 (completed)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 · 조회 2026-10-19T19:25 KST · body SHA c5bc3af88a9d · 실제종결 2026-09-09T18:53:09+09:00 (completed)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 · 조회 2026-10-19T19:25 KST · body SHA ea2f55c13ab4 · 실제종결 2026-09-09T18:53:40+09:00 (completed)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 · 조회 2026-10-19T19:25 KST · body SHA 5f950130e0e4 · 실제종결 2026-09-09T18:54:09+09:00 (completed)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 · 조회 2026-10-19T19:25 KST · body SHA e8cd2a9b4633 · 실제종결 2026-09-09T18:54:41+09:00 (completed)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 · 조회 2026-10-19T19:25 KST · body SHA 61ab60f5943c · 실제종결 2026-09-09T18:55:13+09:00 (completed)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 · 조회 2026-10-19T19:25 KST · body SHA 6d924b398a84 · 실제종결 2026-09-09T18:55:52+09:00 (completed)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 · 조회 2026-10-19T19:25 KST · body SHA fbd2014c6a5b · 실제종결 2026-09-09T18:56:22+09:00 (completed)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 · 조회 2026-10-19T19:25 KST · body SHA 1625eba7ec3e · 실제종결 2026-09-09T18:56:50+09:00 (completed)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 · 조회 2026-10-19T19:25 KST · body SHA f9af2a1aa0b4 · 실제종결 2026-09-09T18:57:19+09:00 (completed)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 · 조회 2026-10-19T19:25 KST · body SHA af713f524931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 · 조회 2026-10-19T19:25 KST · body SHA 446bd362c4cc · 실제종결 2026-09-26T19:51:17+09:00 (completed)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 · 조회 2026-10-19T19:25 KST · body SHA 4b4697034576 · 실제종결 2026-09-27T23:20:19+09:00 (completed)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 · 조회 2026-10-19T19:25 KST · body SHA a7fa8c646d0b · 실제종결 2026-10-01T21:11:06+09:00 (completed)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R75" t="str">
        <x:v>https://github.com/321Team/fds-project-baseline/issues/120 · 조회 2026-10-19T19:25 KST · body SHA f623c98cb566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 · 조회 2026-10-19T19:25 KST · body SHA c709fd2b10dd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 · 조회 2026-10-19T19:25 KST · body SHA 9c54cbf64586 · 실제종결 2026-10-02T12:11:23+09:00 (completed)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Cancelled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 · 조회 2026-10-19T19:25 KST · body SHA 9dd15bd6c419 · 실제종결 2026-10-02T10:30:26+09:00 (not_planned)</x:v>
      </x:c>
      <x:c r="S78" t="str">
        <x:f>IF(G78="Done","Done",IF(I78="","End TBD",IF(I78&lt;'Executive Summary'!$B$4,"Target elapsed",IF(H78&gt;'Executive Summary'!$B$4,"Upcoming","Active window"))))</x:f>
        <x:v>Target elapsed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Cancelled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 · 조회 2026-10-19T19:25 KST · body SHA 9fc5e2163bea · 실제종결 2026-10-02T10:34:19+09:00 (not_planned)</x:v>
      </x:c>
      <x:c r="S79" t="str">
        <x:f>IF(G79="Done","Done",IF(I79="","End TBD",IF(I79&lt;'Executive Summary'!$B$4,"Target elapsed",IF(H79&gt;'Executive Summary'!$B$4,"Upcoming","Active window"))))</x:f>
        <x:v>Target elapsed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Cancelled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이권욱</x:v>
      </x:c>
      <x:c r="N80" t="str">
        <x:v>D34</x:v>
      </x:c>
      <x:c r="O80" t="str">
        <x:v>R1; R2 (본 티켓의 복구·MTU 위험 식별자; 후속 판정은 #10에서 추적)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기존 계획 2026-09-30~2026-10-02(양끝 포함 3일/3근무일) 유지. 2026-10-02 WITHDRAWN / NO AC CHANGE로 종결. Support 이권욱은 기존 Review Owner 및 #10 Support 역할의 운영 표기이며 신규 실행 책임 배정이 아니다. T19 실행 일정·AC는 #10에서 별도 추적.</x:v>
      </x:c>
      <x:c r="R80" t="str">
        <x:v>https://github.com/321Team/fds-project-baseline/issues/128 · 조회 2026-10-19T19:25 KST · body SHA 5d0558b81e86 · 실제종결 2026-10-02T09:58:57+09:00 (not_planned)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</x:v>
      </x:c>
      <x:c r="N81" t="str">
        <x:v>D19; D-SEC-01; [2026-09-14 Robot 유한 30일 결정](https://github.com/321Team/fds-project-baseline/issues/13#issuecomment-5659049448)</x:v>
      </x:c>
      <x:c r="O81" t="str">
        <x:v>별도 CR 위험 ID 미지정; 관련 원 티켓 #13의 RISK-04; RISK-06; RISK-07 참조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기존 계획 2026-09-30~2026-10-02(양끝 포함 3일/3근무일) 유지. 실제 CR 완료일은 기존 Completion Record의 2026-10-03이며 계획 End와 구분. Support 이권욱: #16 Lead — AC-05B 인수 구조 확인. Harbor·4/4·Rollback Runtime 일정과 인수는 #13/#16에서 별도 추적.</x:v>
      </x:c>
      <x:c r="R81" t="str">
        <x:v>https://github.com/321Team/fds-project-baseline/issues/130 · 조회 2026-10-19T19:25 KST · body SHA 60ed458edeef · 실제종결 2026-10-03T11:13:21+09:00 (completed)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a67dac05554f8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Phase1 계획 이력. #25~27 현재 Phase2 이월이며 구현 To Do·Due 미정. 현행 분류는 WBS C열을 따른다.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Done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Done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Done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Done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Done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Done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Done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Done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Done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Done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Done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Done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Done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Done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Done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Done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In Progress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Done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Cancelled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Cancelled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Cancelled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원 Phase2 계획 창. 이월 #25~27도 현재 Phase2이며 WBS에서 추적. 막대는 Runtime 완료율이 아니다.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Done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In Progress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In Progress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In Progress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In Progress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In Progress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In Progress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In Progress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In Progress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In Progress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In Progress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In Progress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Done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Done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Done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Done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 · 10/19 사용자 비동기 증적 Review 방식/최종결과 한정 채택. 실제 기록 https://github.com/321Team/fds-project-baseline/issues/31#issuecomment-6265340124 · 실제 closed(completed) 2026-10-19T19:45:18+09:00. #30 Signoff/#32 Close 별도.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In Progress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보류(Deferred) — 2026-10-14 이권욱 결정. D23 추가 Hybrid DNS 도입 보류 확정; 기존 DB/Harbor IP 및 ROSA public API/Route DNS·엄격 TLS 기준 유지. Owner 이권욱. 기존10/16은 보류 재검토 기준일이며 자동 재개 승인이 아니다. 재개는 이권욱의 별도 판단 후 결정. 기존 계획 기준: P0 Hybrid 경로 차단을 피하기 위해 10-16 단일 Decision window에서 IP Endpoint 유지 또는 DNS P1 적용을 확정한다. 구현(#48)은 Go이면서 P0 잔여 capacity가 있을 때만 별도 착수한다.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In Progress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In Progress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보류(Deferred) — 2026-10-14 이권욱 결정. GitOps 도입 결정·구현을 보류하며 기존 Runner direct ROSA Delivery Contract 유지. Owner 이권욱. G5 이후 P0 잔여 capacity와 별도 재개 판단 시에만 재검토; 10/26 이전 착수·완료를 강제하지 않는다. 기존 계획 기준: P1/non-blocking. #42/#46 P0 Registry/Delivery와 겹치지 않도록 G5 이후 capacity가 있을 때만 Go/No-Go를 판단한다. Go 전에는 기존 Runner direct ROSA Delivery Contract를 유지한다.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기반 후속 후보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기반 후속 후보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RELEASED</x:v>
      </x:c>
      <x:c r="D4" s="13" t="str">
        <x:v>2026-10-03</x:v>
      </x:c>
      <x:c r="E4" s="13" t="str">
        <x:v>v3.1.21 원본 보존. 현재78건은 10/19 GitHub 조회와 후속 승인 반영 후보.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str">
        <x:v>v3.1.20 RELEASED</x:v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str">
        <x:v>FDS v3.1.21 · Team Availability Calendar 기반 후속 후보</x:v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