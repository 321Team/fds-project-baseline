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0626996454f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a7e91e0e4d14e9d"/>
    <x:sheet xmlns:r="http://schemas.openxmlformats.org/officeDocument/2006/relationships" name="WBS" sheetId="2" r:id="Rd9aa271479dc4c51"/>
    <x:sheet xmlns:r="http://schemas.openxmlformats.org/officeDocument/2006/relationships" name="Phase 1 Gantt" sheetId="3" r:id="R26d74f51abaf449e"/>
    <x:sheet xmlns:r="http://schemas.openxmlformats.org/officeDocument/2006/relationships" name="Phase 2 Gantt" sheetId="4" r:id="R88e4dac23fa14b62"/>
    <x:sheet xmlns:r="http://schemas.openxmlformats.org/officeDocument/2006/relationships" name="Milestones &amp; Decisions" sheetId="5" r:id="R79d3bd8f1a0844b5"/>
    <x:sheet xmlns:r="http://schemas.openxmlformats.org/officeDocument/2006/relationships" name="Risks &amp; Assumptions" sheetId="6" r:id="Rafa31320d2404be2"/>
    <x:sheet xmlns:r="http://schemas.openxmlformats.org/officeDocument/2006/relationships" name="Sources &amp; Change Log" sheetId="7" r:id="R47ad5dcc595442ae"/>
    <x:sheet xmlns:r="http://schemas.openxmlformats.org/officeDocument/2006/relationships" name="Team Calendar" sheetId="8" r:id="R5fb07c33f51544f4"/>
    <x:sheet xmlns:r="http://schemas.openxmlformats.org/officeDocument/2006/relationships" name="Fast Track Plan" sheetId="9" r:id="Rc1cde953e3e747fa"/>
    <x:sheet xmlns:r="http://schemas.openxmlformats.org/officeDocument/2006/relationships" name="Test Strategy" sheetId="10" r:id="R3376edab031b4f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4b2a0d16e648c9" /><Relationship Type="http://schemas.openxmlformats.org/officeDocument/2006/relationships/theme" Target="/xl/theme/theme1.xml" Id="R43c9bb9ea2be45e1" /><Relationship Type="http://schemas.openxmlformats.org/officeDocument/2006/relationships/sharedStrings" Target="/xl/sharedStrings.xml" Id="Rbd6beb3f0cf84392" /><Relationship Type="http://schemas.openxmlformats.org/officeDocument/2006/relationships/worksheet" Target="/xl/worksheets/sheet1.xml" Id="R4a7e91e0e4d14e9d" /><Relationship Type="http://schemas.openxmlformats.org/officeDocument/2006/relationships/worksheet" Target="/xl/worksheets/sheet2.xml" Id="Rd9aa271479dc4c51" /><Relationship Type="http://schemas.openxmlformats.org/officeDocument/2006/relationships/worksheet" Target="/xl/worksheets/sheet3.xml" Id="R26d74f51abaf449e" /><Relationship Type="http://schemas.openxmlformats.org/officeDocument/2006/relationships/worksheet" Target="/xl/worksheets/sheet4.xml" Id="R88e4dac23fa14b62" /><Relationship Type="http://schemas.openxmlformats.org/officeDocument/2006/relationships/worksheet" Target="/xl/worksheets/sheet5.xml" Id="R79d3bd8f1a0844b5" /><Relationship Type="http://schemas.openxmlformats.org/officeDocument/2006/relationships/worksheet" Target="/xl/worksheets/sheet6.xml" Id="Rafa31320d2404be2" /><Relationship Type="http://schemas.openxmlformats.org/officeDocument/2006/relationships/worksheet" Target="/xl/worksheets/sheet7.xml" Id="R47ad5dcc595442ae" /><Relationship Type="http://schemas.openxmlformats.org/officeDocument/2006/relationships/worksheet" Target="/xl/worksheets/sheet8.xml" Id="R5fb07c33f51544f4" /><Relationship Type="http://schemas.openxmlformats.org/officeDocument/2006/relationships/worksheet" Target="/xl/worksheets/sheet9.xml" Id="Rc1cde953e3e747fa" /><Relationship Type="http://schemas.openxmlformats.org/officeDocument/2006/relationships/worksheet" Target="/xl/worksheets/sheet10.xml" Id="R3376edab031b4f9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381e022574406c" /><Relationship Type="http://schemas.openxmlformats.org/officeDocument/2006/relationships/chart" Target="/xl/drawings/charts/chart2.xml" Id="Rcb63c149bd574b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381e022574406c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63c149bd574b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f122c3516e45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7b5bf640a84d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v3.1.21 · Executive Summary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10/19 종결 7건만 반영. 다른 기록·계획은 10/03 기준 이력이며 전체 현행 WBS/새 정본이 아닙니다.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n">
        <x:v>46298</x:v>
      </x:c>
      <x:c r="D4" s="13" t="str">
        <x:v>P1 Close</x:v>
      </x:c>
      <x:c r="E4" s="199" t="str">
        <x:v>HOLD · 10/6 review</x:v>
      </x:c>
    </x:row>
    <x:row r="5" ht="32" customHeight="1">
      <x:c r="A5" s="13" t="inlineStr">
        <x:is>
          <x:t xml:space="preserve">Canonical version</x:t>
        </x:is>
      </x:c>
      <x:c r="B5" s="195" t="str">
        <x:v>v3.1.21 RELEASED</x:v>
      </x:c>
      <x:c r="D5" s="13" t="str">
        <x:v>D21 decision</x:v>
      </x:c>
      <x:c r="E5" s="199" t="str">
        <x:v>FINAL · 10/3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HOLD · raw intake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HOLD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NOT_READY</x:v>
      </x:c>
    </x:row>
    <x:row r="9">
      <x:c r="A9" t="str">
        <x:v>Rows / Milestone</x:v>
      </x:c>
      <x:c r="B9" t="str">
        <x:v>78 / 76</x:v>
      </x:c>
      <x:c r="D9" s="67" t="str">
        <x:v>G4 / G5 / G6 targets</x:v>
      </x:c>
      <x:c r="E9" s="200" t="str">
        <x:v>10/14 · 10/20 · 10/22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34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6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37</x:v>
      </x:c>
    </x:row>
    <x:row r="16">
      <x:c r="A16" t="str">
        <x:v>Todo (source drift)</x:v>
      </x:c>
      <x:c r="B16" t="n">
        <x:f>COUNTIF(WBS!$G$4:$G$81,"Todo")</x:f>
        <x:v>1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10/8 goal; capacity before first Freeze. 10/12 proposal not adopted.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#15 endpoint, #16 delivery, #19 rollback unresolved.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Final raw 8706 B; received rehash / publication pending.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Model, reconciliation SLA, bilateral DNS and trust pending.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Education limit / full resource cost / daily report pending.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Producer #16 / consumer #13; retain 4/4 acceptance.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62f122c3516e453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n">
        <x:v>46298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</x:v>
      </x:c>
      <x:c r="S6" s="13" t="str">
        <x:f>IF(G6="Done","Done",IF(I6="","End TBD",IF(I6&lt;'Executive Summary'!$B$4,"Target elapsed",IF(H6&gt;'Executive Summary'!$B$4,"Upcoming","Active window"))))</x:f>
        <x:v>Target elapsed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10/19 조건부 종결. 실제 완료 2026-10-19T18:03:58+09:00. 원 AC/계획일·Owner 보존. 근거 https://github.com/321Team/fds-project-baseline/issues/10#issuecomment-6263610419. 상세 조건은 동봉 Ticket Pack.
[기존 계획/관측]
09-11 CP1, 09-14 CP2/3·Worker, 09-15 NTP·Calico, 09-17 증적 인수를 조건부 목표로 둔다. 실제 상태·완료 판정은 유지한다. 세부 배정: Fast Track Plan 시트.
GitHub open/-</x:v>
      </x:c>
      <x:c r="R7" s="13" t="str">
        <x:v>https://github.com/321Team/fds-project-baseline/issues/10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</x:v>
      </x:c>
      <x:c r="S8" s="13" t="str">
        <x:f>IF(G8="Done","Done",IF(I8="","End TBD",IF(I8&lt;'Executive Summary'!$B$4,"Target elapsed",IF(H8&gt;'Executive Summary'!$B$4,"Upcoming","Active window"))))</x:f>
        <x:v>Target elapsed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10/19 조건부 종결. 실제 완료 2026-10-19T18:04:15+09:00. 원 AC/계획일·Owner 보존. 근거 https://github.com/321Team/fds-project-baseline/issues/13#issuecomment-6263615041. 상세 조건은 동봉 Ticket Pack.
[기존 계획/관측]
Harbor 준비는 CP 후속과 병행하고 09-16 CI Scan Digest까지 4/4 대조 후 09-17 인수 목표다. 실제 상태·완료 판정은 유지한다. 세부 배정: Fast Track Plan 시트.
GitHub open/-</x:v>
      </x:c>
      <x:c r="R10" s="13" t="str">
        <x:v>https://github.com/321Team/fds-project-baseline/issues/13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
GitHub open/-</x:v>
      </x:c>
      <x:c r="R11" s="13" t="str">
        <x:v>https://github.com/321Team/fds-project-baseline/issues/14</x:v>
      </x:c>
      <x:c r="S11" s="13" t="str">
        <x:f>IF(G11="Done","Done",IF(I11="","End TBD",IF(I11&lt;'Executive Summary'!$B$4,"Target elapsed",IF(H11&gt;'Executive Summary'!$B$4,"Upcoming","Active window"))))</x:f>
        <x:v>Target elapsed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10/19 조건부 종결. 실제 완료 2026-10-19T18:04:23+09:00. 원 AC/계획일·Owner 보존. 근거 https://github.com/321Team/fds-project-baseline/issues/15#issuecomment-6263617401. 상세 조건은 동봉 Ticket Pack.
[기존 계획/관측]
09-11 인계 및 사전 검증, 09-18 복귀 후 정본 Runtime 통합. 휴가 중 미승인 업무 계약·Schema 변경은 중단한다. 실제 상태·완료 판정은 유지한다. 세부 배정: Fast Track Plan 시트.
TS12; local endpoint 보장 NOT MET.
GitHub open/-</x:v>
      </x:c>
      <x:c r="R13" s="13" t="str">
        <x:v>https://github.com/321Team/fds-project-baseline/issues/15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</x:v>
      </x:c>
      <x:c r="S14" s="13" t="str">
        <x:f>IF(G14="Done","Done",IF(I14="","End TBD",IF(I14&lt;'Executive Summary'!$B$4,"Target elapsed",IF(H14&gt;'Executive Summary'!$B$4,"Upcoming","Active window"))))</x:f>
        <x:v>Target elapsed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10/19 조건부 종결. 실제 완료 2026-10-19T18:04:31+09:00. 원 AC/계획일·Owner 보존. 근거 https://github.com/321Team/fds-project-baseline/issues/17#issuecomment-6263619666. 상세 조건은 동봉 Ticket Pack.
[기존 계획/관측]
09-11 Monitoring 인계, 부재 중 기존 Support의 준비·구현, 09-18 복귀 후 14개 AC+2개 보조통제 검증을 목표로 한다. 실제 상태·완료 판정은 유지한다. 세부 배정: Fast Track Plan 시트.
GitHub open/-</x:v>
      </x:c>
      <x:c r="R15" s="13" t="str">
        <x:v>https://github.com/321Team/fds-project-baseline/issues/17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
GitHub open/-</x:v>
      </x:c>
      <x:c r="R16" s="13" t="str">
        <x:v>https://github.com/321Team/fds-project-baseline/issues/18</x:v>
      </x:c>
      <x:c r="S16" s="13" t="str">
        <x:f>IF(G16="Done","Done",IF(I16="","End TBD",IF(I16&lt;'Executive Summary'!$B$4,"Target elapsed",IF(H16&gt;'Executive Summary'!$B$4,"Upcoming","Active window"))))</x:f>
        <x:v>Target elapsed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10/19 조건부 종결. 실제 완료 2026-10-19T18:04:07+09:00. 원 AC/계획일·Owner 보존. 근거 https://github.com/321Team/fds-project-baseline/issues/19#issuecomment-6263612875. 상세 조건은 동봉 Ticket Pack.
[기존 계획/관측]
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
TS13; rollback 4 blockers / 변경창 HOLD. rotation NOT MET/RISK ACCEPTED.
GitHub open/-</x:v>
      </x:c>
      <x:c r="R17" s="13" t="str">
        <x:v>https://github.com/321Team/fds-project-baseline/issues/19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10/19 조건부 종결. 실제 완료 2026-10-19T18:04:40+09:00. 원 AC/계획일·Owner 보존. 근거 https://github.com/321Team/fds-project-baseline/issues/20#issuecomment-6263622038. 상세 조건은 동봉 Ticket Pack.
[기존 계획/관측]
10-05 공휴일/비근무를 반영해 Phase 1 최종 Runtime 회귀·증적 보강 목표를 10-02(금)로 고정한다. 10-06은 Review/Close 전용이며 신규 대규모 구현을 배정하지 않는다.
GitHub open/-</x:v>
      </x:c>
      <x:c r="R18" s="13" t="str">
        <x:v>https://github.com/321Team/fds-project-baseline/issues/20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In Progress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</x:v>
      </x:c>
      <x:c r="S19" s="13" t="str">
        <x:f>IF(G19="Done","Done",IF(I19="","End TBD",IF(I19&lt;'Executive Summary'!$B$4,"Target elapsed",IF(H19&gt;'Executive Summary'!$B$4,"Upcoming","Active window"))))</x:f>
        <x:v>Target elapsed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In Progress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</x:v>
      </x:c>
      <x:c r="S20" s="13" t="str">
        <x:f>IF(G20="Done","Done",IF(I20="","End TBD",IF(I20&lt;'Executive Summary'!$B$4,"Target elapsed",IF(H20&gt;'Executive Summary'!$B$4,"Upcoming","Active window"))))</x:f>
        <x:v>Target elapsed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
GitHub open/-</x:v>
      </x:c>
      <x:c r="R21" s="13" t="str">
        <x:v>https://github.com/321Team/fds-project-baseline/issues/23</x:v>
      </x:c>
      <x:c r="S21" s="13" t="str">
        <x:f>IF(G21="Done","Done",IF(I21="","End TBD",IF(I21&lt;'Executive Summary'!$B$4,"Target elapsed",IF(H21&gt;'Executive Summary'!$B$4,"Upcoming","Active window"))))</x:f>
        <x:v>Target elapsed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10/19 조건부 종결. 실제 완료 2026-10-19T18:12:54+09:00. 원 AC/계획일·Owner 보존. 근거 https://github.com/321Team/fds-project-baseline/issues/24#issuecomment-6263765512. 상세 조건은 동봉 Ticket Pack.
[기존 계획/관측]
Phase 1 Review package 동결 목표를 10-02(금)로 조정한다. 10-05는 비근무일, 10-06은 Review/Close 전용이다. Source/Evidence 미완료는 Known Issue 또는 잔여 Action으로 명시한다.
GitHub open/-</x:v>
      </x:c>
      <x:c r="R22" s="13" t="str">
        <x:v>https://github.com/321Team/fds-project-baseline/issues/24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R27" s="13" t="str">
        <x:v>https://github.com/321Team/fds-project-baseline/issues/29</x:v>
      </x:c>
      <x:c r="S27" s="13" t="str">
        <x:f>IF(G27="Done","Done",IF(I27="","End TBD",IF(I27&lt;'Executive Summary'!$B$4,"Target elapsed",IF(H27&gt;'Executive Summary'!$B$4,"Upcoming","Active window"))))</x:f>
        <x:v>Target elapsed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</x:v>
      </x:c>
      <x:c r="S28" s="13" t="str">
        <x:f>IF(G28="Done","Done",IF(I28="","End TBD",IF(I28&lt;'Executive Summary'!$B$4,"Target elapsed",IF(H28&gt;'Executive Summary'!$B$4,"Upcoming","Active window"))))</x:f>
        <x:v>Upcoming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R29" s="13" t="str">
        <x:v>https://github.com/321Team/fds-project-baseline/issues/31</x:v>
      </x:c>
      <x:c r="S29" s="13" t="str">
        <x:f>IF(G29="Done","Done",IF(I29="","End TBD",IF(I29&lt;'Executive Summary'!$B$4,"Target elapsed",IF(H29&gt;'Executive Summary'!$B$4,"Upcoming","Active window"))))</x:f>
        <x:v>Upcoming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</x:v>
      </x:c>
      <x:c r="S30" s="13" t="str">
        <x:f>IF(G30="Done","Done",IF(I30="","End TBD",IF(I30&lt;'Executive Summary'!$B$4,"Target elapsed",IF(H30&gt;'Executive Summary'!$B$4,"Upcoming","Active window"))))</x:f>
        <x:v>Upcoming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</x:v>
      </x:c>
      <x:c r="S31" s="13" t="str">
        <x:f>IF(G31="Done","Done",IF(I31="","End TBD",IF(I31&lt;'Executive Summary'!$B$4,"Target elapsed",IF(H31&gt;'Executive Summary'!$B$4,"Upcoming","Active window"))))</x:f>
        <x:v>Upcoming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</x:v>
      </x:c>
      <x:c r="S32" s="13" t="str">
        <x:f>IF(G32="Done","Done",IF(I32="","End TBD",IF(I32&lt;'Executive Summary'!$B$4,"Target elapsed",IF(H32&gt;'Executive Summary'!$B$4,"Upcoming","Active window"))))</x:f>
        <x:v>Upcoming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</x:v>
      </x:c>
      <x:c r="S33" s="13" t="str">
        <x:f>IF(G33="Done","Done",IF(I33="","End TBD",IF(I33&lt;'Executive Summary'!$B$4,"Target elapsed",IF(H33&gt;'Executive Summary'!$B$4,"Upcoming","Active window"))))</x:f>
        <x:v>Upcoming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</x:v>
      </x:c>
      <x:c r="S34" s="13" t="str">
        <x:f>IF(G34="Done","Done",IF(I34="","End TBD",IF(I34&lt;'Executive Summary'!$B$4,"Target elapsed",IF(H34&gt;'Executive Summary'!$B$4,"Upcoming","Active window"))))</x:f>
        <x:v>Upcoming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</x:v>
      </x:c>
      <x:c r="S35" s="13" t="str">
        <x:f>IF(G35="Done","Done",IF(I35="","End TBD",IF(I35&lt;'Executive Summary'!$B$4,"Target elapsed",IF(H35&gt;'Executive Summary'!$B$4,"Upcoming","Active window"))))</x:f>
        <x:v>Upcoming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</x:v>
      </x:c>
      <x:c r="S36" s="13" t="str">
        <x:f>IF(G36="Done","Done",IF(I36="","End TBD",IF(I36&lt;'Executive Summary'!$B$4,"Target elapsed",IF(H36&gt;'Executive Summary'!$B$4,"Upcoming","Active window"))))</x:f>
        <x:v>Upcoming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</x:v>
      </x:c>
      <x:c r="S37" s="13" t="str">
        <x:f>IF(G37="Done","Done",IF(I37="","End TBD",IF(I37&lt;'Executive Summary'!$B$4,"Target elapsed",IF(H37&gt;'Executive Summary'!$B$4,"Upcoming","Active window"))))</x:f>
        <x:v>Upcoming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R38" s="13" t="str">
        <x:v>https://github.com/321Team/fds-project-baseline/issues/40</x:v>
      </x:c>
      <x:c r="S38" s="13" t="str">
        <x:f>IF(G38="Done","Done",IF(I38="","End TBD",IF(I38&lt;'Executive Summary'!$B$4,"Target elapsed",IF(H38&gt;'Executive Summary'!$B$4,"Upcoming","Active window"))))</x:f>
        <x:v>Upcoming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</x:v>
      </x:c>
      <x:c r="S40" s="13" t="str">
        <x:f>IF(G40="Done","Done",IF(I40="","End TBD",IF(I40&lt;'Executive Summary'!$B$4,"Target elapsed",IF(H40&gt;'Executive Summary'!$B$4,"Upcoming","Active window"))))</x:f>
        <x:v>Upcoming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</x:v>
      </x:c>
      <x:c r="S41" s="13" t="str">
        <x:f>IF(G41="Done","Done",IF(I41="","End TBD",IF(I41&lt;'Executive Summary'!$B$4,"Target elapsed",IF(H41&gt;'Executive Summary'!$B$4,"Upcoming","Active window"))))</x:f>
        <x:v>Upcoming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P1 Conditional. D23가 Hybrid DNS Go이고 P0 일정 여유가 있을 때만 실행한다. 그렇지 않으면 Cancelled/Deferred 근거를 남기고 IP Endpoint로 P0 E2E를 진행한다.
GitHub open/-
원문 일정: TBD — D23 Go + P0 잔여 capacity 시 / TBD — 10-26 이전 강제하지 않음</x:v>
      </x:c>
      <x:c r="R46" s="13" t="str">
        <x:v>https://github.com/321Team/fds-project-baseline/issues/48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</x:v>
      </x:c>
      <x:c r="S50" s="13" t="str">
        <x:f>IF(G50="Done","Done",IF(I50="","End TBD",IF(I50&lt;'Executive Summary'!$B$4,"Target elapsed",IF(H50&gt;'Executive Summary'!$B$4,"Upcoming","Active window"))))</x:f>
        <x:v>Upcoming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R75" t="str">
        <x:v>https://github.com/321Team/fds-project-baseline/issues/120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Done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</x:v>
      </x:c>
      <x:c r="S78" t="str">
        <x:f>IF(G78="Done","Done",IF(I78="","End TBD",IF(I78&lt;'Executive Summary'!$B$4,"Target elapsed",IF(H78&gt;'Executive Summary'!$B$4,"Upcoming","Active window"))))</x:f>
        <x:v>Done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Done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</x:v>
      </x:c>
      <x:c r="S79" t="str">
        <x:f>IF(G79="Done","Done",IF(I79="","End TBD",IF(I79&lt;'Executive Summary'!$B$4,"Target elapsed",IF(H79&gt;'Executive Summary'!$B$4,"Upcoming","Active window"))))</x:f>
        <x:v>Done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Todo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미기재</x:v>
      </x:c>
      <x:c r="N80" t="str">
        <x:v>D34</x:v>
      </x:c>
      <x:c r="O80" t="str">
        <x:v>미기재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원문 Schedule Note 미기재
WITHDRAWN_NO_AC_CHANGE; body Todo / closed not_planned 차이 보존.
GitHub closed/not_planned</x:v>
      </x:c>
      <x:c r="R80" t="str">
        <x:v>https://github.com/321Team/fds-project-baseline/issues/128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 (#16 Lead — AC-05B 인수 구조 확인)</x:v>
      </x:c>
      <x:c r="N81" t="str">
        <x:v>D19; D-SEC-01; [2026-09-14 Robot 유한 30일 결정](https://github.com/321Team/fds-project-baseline/issues/13#issuecomment-5659049448)</x:v>
      </x:c>
      <x:c r="O81" t="str">
        <x:v>미기재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원문 Schedule Note 미기재
CHG01/02 구조 승인; #16 생산/#13 05B 인수 유지.
GitHub closed/completed</x:v>
      </x:c>
      <x:c r="R81" t="str">
        <x:v>https://github.com/321Team/fds-project-baseline/issues/130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7b5bf640a84d6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In Progress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In Progress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In Progress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In Progress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To Do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In Progress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In Progress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To Do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To Do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To Do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To Do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Done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Done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Todo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To Do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To Do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To Do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To Do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To Do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To Do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To Do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To Do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To Do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To Do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To Do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To Do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To Do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
GitHub open/-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To Do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
GitHub open/-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To Do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To Do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To Do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To Do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To Do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78 Issue snapshot; historical rows remain dated.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