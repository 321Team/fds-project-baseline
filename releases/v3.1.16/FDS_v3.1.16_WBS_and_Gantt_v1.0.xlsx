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ed16c379094a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780d07e12bec4ebf"/>
    <x:sheet xmlns:r="http://schemas.openxmlformats.org/officeDocument/2006/relationships" name="WBS" sheetId="2" r:id="R2be4e4b0059d41bc"/>
    <x:sheet xmlns:r="http://schemas.openxmlformats.org/officeDocument/2006/relationships" name="Phase 1 Gantt" sheetId="3" r:id="R836df9538e07462f"/>
    <x:sheet xmlns:r="http://schemas.openxmlformats.org/officeDocument/2006/relationships" name="Phase 2 Gantt" sheetId="4" r:id="Rc9b5e7da65d743a9"/>
    <x:sheet xmlns:r="http://schemas.openxmlformats.org/officeDocument/2006/relationships" name="Milestones &amp; Decisions" sheetId="5" r:id="Rf2b0713e3e9a480a"/>
    <x:sheet xmlns:r="http://schemas.openxmlformats.org/officeDocument/2006/relationships" name="Risks &amp; Assumptions" sheetId="6" r:id="Rf2fba2387b604d20"/>
    <x:sheet xmlns:r="http://schemas.openxmlformats.org/officeDocument/2006/relationships" name="Sources &amp; Change Log" sheetId="7" r:id="R923e202bdc594918"/>
    <x:sheet xmlns:r="http://schemas.openxmlformats.org/officeDocument/2006/relationships" name="Team Calendar" sheetId="8" r:id="Rcf931736112d42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m/d"/>
    <x:numFmt numFmtId="202" formatCode=";;;"/>
    <x:numFmt numFmtId="203" formatCode="0"/>
    <x:numFmt numFmtId="204" formatCode="@"/>
  </x:numFmts>
  <x:fonts count="14">
    <x:font>
      <x:sz val="11"/>
      <x:name val="Carlito"/>
    </x:font>
    <x:font>
      <x:b/>
      <x:sz val="20"/>
      <x:color rgb="FFFFFFFF"/>
      <x:name val="NanumGothic"/>
    </x:font>
    <x:font>
      <x:b/>
      <x:sz val="10"/>
      <x:color rgb="FFFFFFFF"/>
      <x:name val="NanumGothic"/>
    </x:font>
    <x:font>
      <x:sz val="9"/>
      <x:color rgb="FF16283A"/>
      <x:name val="NanumGothic"/>
    </x:font>
    <x:font>
      <x:b/>
      <x:sz val="9"/>
      <x:color rgb="FF16283A"/>
      <x:name val="NanumGothic"/>
    </x:font>
    <x:font>
      <x:b/>
      <x:sz val="11"/>
      <x:color rgb="FFFFFFFF"/>
      <x:name val="NanumGothic"/>
    </x:font>
    <x:font>
      <x:i/>
      <x:sz val="9"/>
      <x:color rgb="FF5E7184"/>
      <x:name val="NanumGothic"/>
    </x:font>
    <x:font>
      <x:b/>
      <x:sz val="16"/>
      <x:color rgb="FFFFFFFF"/>
      <x:name val="Carlito"/>
    </x:font>
    <x:font>
      <x:i/>
      <x:sz val="9"/>
      <x:color rgb="FF16283A"/>
      <x:name val="Carlito"/>
    </x:font>
    <x:font>
      <x:b/>
      <x:sz val="9"/>
      <x:color rgb="FFFFFFFF"/>
      <x:name val="Carlito"/>
    </x:font>
    <x:font>
      <x:sz val="9"/>
      <x:color rgb="FF16283A"/>
      <x:name val="Carlito"/>
    </x:font>
    <x:font>
      <x:b/>
      <x:sz val="9"/>
      <x:color rgb="FF16283A"/>
      <x:name val="Carlito"/>
    </x:font>
    <x:font>
      <x:b/>
      <x:sz val="9"/>
      <x:color rgb="FF7F6000"/>
      <x:name val="Carlito"/>
    </x:font>
    <x:font>
      <x:b/>
      <x:sz val="9"/>
      <x:color rgb="FF7F6000"/>
      <x:name val="NanumGothic"/>
    </x:font>
  </x:fonts>
  <x:fills count="12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63A5F"/>
      </x:patternFill>
    </x:fill>
    <x:fill>
      <x:patternFill patternType="solid">
        <x:fgColor rgb="FFEEF7FB"/>
      </x:patternFill>
    </x:fill>
    <x:fill>
      <x:patternFill patternType="solid">
        <x:fgColor rgb="FFF3F6F8"/>
      </x:patternFill>
    </x:fill>
    <x:fill>
      <x:patternFill patternType="solid">
        <x:fgColor rgb="FF0B1F33"/>
      </x:patternFill>
    </x:fill>
    <x:fill>
      <x:patternFill patternType="solid">
        <x:fgColor rgb="FFEAF2F8"/>
      </x:patternFill>
    </x:fill>
    <x:fill>
      <x:patternFill patternType="solid">
        <x:fgColor rgb="FF163A5F"/>
      </x:patternFill>
    </x:fill>
    <x:fill>
      <x:patternFill patternType="solid">
        <x:fgColor rgb="FFFFFFFF"/>
      </x:patternFill>
    </x:fill>
    <x:fill>
      <x:patternFill patternType="solid">
        <x:fgColor rgb="FFFFF3CD"/>
      </x:patternFill>
    </x:fill>
    <x:fill>
      <x:patternFill patternType="solid">
        <x:fgColor rgb="FFF4B740"/>
      </x:patternFill>
    </x:fill>
  </x:fills>
  <x:borders count="3">
    <x:border/>
    <x:border>
      <x:left style="thin">
        <x:color rgb="FFCCD8E2"/>
      </x:left>
      <x:right style="thin">
        <x:color rgb="FFCCD8E2"/>
      </x:right>
      <x:top style="thin">
        <x:color rgb="FFCCD8E2"/>
      </x:top>
      <x:bottom style="thin">
        <x:color rgb="FFCCD8E2"/>
      </x:bottom>
    </x:border>
    <x:border>
      <x:left style="medium">
        <x:color rgb="FF3D8DFF"/>
      </x:left>
      <x:right style="medium">
        <x:color rgb="FF3D8DFF"/>
      </x:right>
      <x:top style="thin">
        <x:color rgb="FFCCD8E2"/>
      </x:top>
      <x:bottom style="thin">
        <x:color rgb="FFCCD8E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200" fontId="4" fillId="4" borderId="0" xfId="0" applyNumberFormat="1" applyFont="1" applyFill="1" applyBorder="1"/>
    <x:xf numFmtId="200" fontId="3" fillId="0" borderId="1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6" fillId="4" borderId="0" xfId="0" applyNumberFormat="1" applyFont="1" applyFill="1" applyBorder="1"/>
    <x:xf numFmtId="201" fontId="2" fillId="3" borderId="1" xfId="0" applyNumberFormat="1" applyFont="1" applyFill="1" applyBorder="1" applyAlignment="1">
      <x:alignment horizontal="center" vertical="center" wrapText="1"/>
    </x:xf>
    <x:xf numFmtId="202" fontId="3" fillId="0" borderId="1" xfId="0" applyNumberFormat="1" applyFont="1" applyFill="1" applyBorder="1" applyAlignment="1">
      <x:alignment vertical="top" wrapText="1"/>
    </x:xf>
    <x:xf numFmtId="201" fontId="2" fillId="5" borderId="1" xfId="0" applyNumberFormat="1" applyFont="1" applyFill="1" applyBorder="1" applyAlignment="1">
      <x:alignment horizontal="center" vertical="center" wrapText="1"/>
    </x:xf>
    <x:xf numFmtId="202" fontId="3" fillId="5" borderId="1" xfId="0" applyNumberFormat="1" applyFont="1" applyFill="1" applyBorder="1" applyAlignment="1">
      <x:alignment vertical="top" wrapText="1"/>
    </x:xf>
    <x:xf numFmtId="201" fontId="2" fillId="3" borderId="2" xfId="0" applyNumberFormat="1" applyFont="1" applyFill="1" applyBorder="1" applyAlignment="1">
      <x:alignment horizontal="center" vertical="center" wrapText="1"/>
    </x:xf>
    <x:xf numFmtId="202" fontId="3" fillId="0" borderId="2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xfId="0" applyNumberFormat="1" applyFont="1" applyFill="1" applyBorder="0"/>
    <x:xf numFmtId="0" fontId="9" fillId="8" xfId="0" applyNumberFormat="1" applyFont="1" applyFill="1" applyBorder="0" applyAlignment="1">
      <x:alignment wrapText="1"/>
    </x:xf>
    <x:xf numFmtId="0" fontId="9" fillId="8" xfId="0" applyNumberFormat="1" applyFont="1" applyFill="1" applyBorder="0" applyAlignment="1">
      <x:alignment horizontal="center" wrapText="1"/>
    </x:xf>
    <x:xf numFmtId="0" fontId="9" fillId="8" xfId="0" applyNumberFormat="1" applyFont="1" applyFill="1" applyBorder="0" applyAlignment="1">
      <x:alignment horizontal="center" vertical="center" wrapText="1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xfId="0" applyNumberFormat="1" applyFont="1" applyFill="1" applyBorder="0"/>
    <x:xf numFmtId="0" fontId="10" fillId="9" xfId="0" applyNumberFormat="1" applyFont="1" applyFill="1" applyBorder="0" applyAlignment="1">
      <x:alignment wrapText="1"/>
    </x:xf>
    <x:xf numFmtId="0" fontId="10" fillId="9" xfId="0" applyNumberFormat="1" applyFont="1" applyFill="1" applyBorder="0" applyAlignment="1">
      <x:alignment vertical="center" wrapText="1"/>
    </x:xf>
    <x:xf numFmtId="0" fontId="10" fillId="10" xfId="0" applyNumberFormat="1" applyFont="1" applyFill="1" applyBorder="0" applyAlignment="1">
      <x:alignment vertical="center" wrapText="1"/>
    </x:xf>
    <x:xf numFmtId="200" fontId="10" fillId="9" xfId="0" applyNumberFormat="1" applyFont="1" applyFill="1" applyBorder="0" applyAlignment="1">
      <x:alignment vertical="center" wrapText="1"/>
    </x:xf>
    <x:xf numFmtId="200" fontId="10" fillId="10" xfId="0" applyNumberFormat="1" applyFont="1" applyFill="1" applyBorder="0" applyAlignment="1">
      <x:alignment vertical="center" wrapText="1"/>
    </x:xf>
    <x:xf numFmtId="0" fontId="10" fillId="0" borderId="0" xfId="0" applyNumberFormat="1" applyFont="1" applyFill="1" applyBorder="1"/>
    <x:xf numFmtId="0" fontId="10" fillId="0" xfId="0" applyNumberFormat="1" applyFont="1" applyFill="1" applyBorder="0"/>
    <x:xf numFmtId="0" fontId="10" fillId="0" xfId="0" applyNumberFormat="1" applyFont="1" applyFill="1" applyBorder="0" applyAlignment="1">
      <x:alignment wrapText="1"/>
    </x:xf>
    <x:xf numFmtId="0" fontId="10" fillId="0" xfId="0" applyNumberFormat="1" applyFont="1" applyFill="1" applyBorder="0" applyAlignment="1">
      <x:alignment vertical="center" wrapText="1"/>
    </x:xf>
    <x:xf numFmtId="0" fontId="11" fillId="7" borderId="0" xfId="0" applyNumberFormat="1" applyFont="1" applyFill="1" applyBorder="1"/>
    <x:xf numFmtId="0" fontId="11" fillId="7" xfId="0" applyNumberFormat="1" applyFont="1" applyFill="1" applyBorder="0"/>
    <x:xf numFmtId="0" fontId="11" fillId="7" xfId="0" applyNumberFormat="1" applyFont="1" applyFill="1" applyBorder="0" applyAlignment="1">
      <x:alignment wrapText="1"/>
    </x:xf>
    <x:xf numFmtId="200" fontId="11" fillId="7" xfId="0" applyNumberFormat="1" applyFont="1" applyFill="1" applyBorder="0" applyAlignment="1">
      <x:alignment wrapText="1"/>
    </x:xf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xfId="0" applyNumberFormat="1" applyFont="1" applyFill="1" applyBorder="0"/>
    <x:xf numFmtId="0" fontId="10" fillId="10" xfId="0" applyNumberFormat="1" applyFont="1" applyFill="1" applyBorder="0" applyAlignment="1">
      <x:alignment wrapText="1"/>
    </x:xf>
    <x:xf numFmtId="0" fontId="12" fillId="10" xfId="0" applyNumberFormat="1" applyFont="1" applyFill="1" applyBorder="0" applyAlignment="1">
      <x:alignment vertical="center" wrapText="1"/>
    </x:xf>
    <x:xf numFmtId="203" fontId="3" fillId="0" borderId="1" xfId="0" applyNumberFormat="1" applyFont="1" applyFill="1" applyBorder="1" applyAlignment="1">
      <x:alignment vertical="top" wrapText="1"/>
    </x:xf>
    <x:xf numFmtId="202" fontId="3" fillId="11" borderId="1" xfId="0" applyNumberFormat="1" applyFont="1" applyFill="1" applyBorder="1" applyAlignment="1">
      <x:alignment vertical="top" wrapText="1"/>
    </x:xf>
    <x:xf numFmtId="202" fontId="13" fillId="11" borderId="1" xfId="0" applyNumberFormat="1" applyFont="1" applyFill="1" applyBorder="1" applyAlignment="1">
      <x:alignment vertical="top" wrapText="1"/>
    </x:xf>
    <x:xf numFmtId="204" fontId="13" fillId="11" borderId="1" xfId="0" applyNumberFormat="1" applyFont="1" applyFill="1" applyBorder="1" applyAlignment="1">
      <x:alignment vertical="top" wrapText="1"/>
    </x:xf>
    <x:xf numFmtId="204" fontId="13" fillId="11" borderId="1" xfId="0" applyNumberFormat="1" applyFont="1" applyFill="1" applyBorder="1" applyAlignment="1">
      <x:alignment horizontal="center" vertical="top" wrapText="1"/>
    </x:xf>
    <x:xf numFmtId="204" fontId="13" fillId="11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3">
    <x:dxf>
      <x:font>
        <x:b/>
        <x:color rgb="FF167A52"/>
      </x:font>
      <x:fill>
        <x:patternFill>
          <x:bgColor rgb="FFDDF5E8"/>
        </x:patternFill>
      </x:fill>
    </x:dxf>
    <x:dxf>
      <x:font>
        <x:b/>
      </x:font>
      <x:fill>
        <x:patternFill>
          <x:bgColor rgb="FFDDF4FF"/>
        </x:patternFill>
      </x:fill>
    </x:dxf>
    <x:dxf>
      <x:font>
        <x:b/>
        <x:color rgb="FFA86400"/>
      </x:font>
      <x:fill>
        <x:patternFill>
          <x:bgColor rgb="FFFFF1CC"/>
        </x:patternFill>
      </x:fill>
    </x:dxf>
    <x:dxf>
      <x:font>
        <x:b/>
        <x:color rgb="FFB4233D"/>
      </x:font>
      <x:fill>
        <x:patternFill>
          <x:bgColor rgb="FFFDE3E7"/>
        </x:patternFill>
      </x:fill>
    </x:dxf>
    <x:dxf>
      <x:font>
        <x:b/>
        <x:color rgb="FFB4233D"/>
      </x:font>
      <x:fill>
        <x:patternFill>
          <x:bgColor rgb="FFFDE3E7"/>
        </x:patternFill>
      </x:fill>
    </x:dxf>
    <x:dxf>
      <x:font>
        <x:b/>
        <x:color rgb="FFA86400"/>
      </x:font>
      <x:fill>
        <x:patternFill>
          <x:bgColor rgb="FFFFF1CC"/>
        </x:patternFill>
      </x:fill>
    </x:dxf>
    <x:dxf>
      <x:fill>
        <x:patternFill>
          <x:bgColor rgb="FF40B883"/>
        </x:patternFill>
      </x:fill>
    </x:dxf>
    <x:dxf>
      <x:fill>
        <x:patternFill>
          <x:bgColor rgb="FF3D8DFF"/>
        </x:patternFill>
      </x:fill>
    </x:dxf>
    <x:dxf>
      <x:fill>
        <x:patternFill>
          <x:bgColor rgb="FFF4B740"/>
        </x:patternFill>
      </x:fill>
    </x:dxf>
    <x:dxf>
      <x:fill>
        <x:patternFill>
          <x:bgColor rgb="FF9CB0C3"/>
        </x:patternFill>
      </x:fill>
    </x:dxf>
    <x:dxf>
      <x:fill>
        <x:patternFill>
          <x:bgColor rgb="FFE45C72"/>
        </x:patternFill>
      </x:fill>
    </x:dxf>
    <x:dxf>
      <x:font>
        <x:b/>
        <x:color rgb="FF167A52"/>
      </x:font>
      <x:fill>
        <x:patternFill>
          <x:bgColor rgb="FFDDF5E8"/>
        </x:patternFill>
      </x:fill>
    </x:dxf>
    <x:dxf>
      <x:font>
        <x:b/>
      </x:font>
      <x:fill>
        <x:patternFill>
          <x:bgColor rgb="FFDDF4FF"/>
        </x:patternFill>
      </x:fill>
    </x:dxf>
    <x:dxf>
      <x:font>
        <x:b/>
        <x:color rgb="FFA86400"/>
      </x:font>
      <x:fill>
        <x:patternFill>
          <x:bgColor rgb="FFFFF1CC"/>
        </x:patternFill>
      </x:fill>
    </x:dxf>
    <x:dxf>
      <x:fill>
        <x:patternFill>
          <x:bgColor rgb="FF40B883"/>
        </x:patternFill>
      </x:fill>
    </x:dxf>
    <x:dxf>
      <x:fill>
        <x:patternFill>
          <x:bgColor rgb="FF3D8DFF"/>
        </x:patternFill>
      </x:fill>
    </x:dxf>
    <x:dxf>
      <x:fill>
        <x:patternFill>
          <x:bgColor rgb="FFF4B740"/>
        </x:patternFill>
      </x:fill>
    </x:dxf>
    <x:dxf>
      <x:fill>
        <x:patternFill>
          <x:bgColor rgb="FF9CB0C3"/>
        </x:patternFill>
      </x:fill>
    </x:dxf>
    <x:dxf>
      <x:fill>
        <x:patternFill>
          <x:bgColor rgb="FFE45C72"/>
        </x:patternFill>
      </x:fill>
    </x:dxf>
    <x:dxf>
      <x:font>
        <x:b/>
        <x:color rgb="FF167A52"/>
      </x:font>
      <x:fill>
        <x:patternFill>
          <x:bgColor rgb="FFDDF5E8"/>
        </x:patternFill>
      </x:fill>
    </x:dxf>
    <x:dxf>
      <x:font>
        <x:b/>
      </x:font>
      <x:fill>
        <x:patternFill>
          <x:bgColor rgb="FFDDF4FF"/>
        </x:patternFill>
      </x:fill>
    </x:dxf>
    <x:dxf>
      <x:font>
        <x:b/>
        <x:color rgb="FFA86400"/>
      </x:font>
      <x:fill>
        <x:patternFill>
          <x:bgColor rgb="FFFFF1CC"/>
        </x:patternFill>
      </x:fill>
    </x:dxf>
    <x:dxf>
      <x:font>
        <x:b/>
        <x:color rgb="FFA86400"/>
      </x:font>
      <x:fill>
        <x:patternFill>
          <x:bgColor rgb="FFFFF1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84b19bff8849b3" /><Relationship Type="http://schemas.openxmlformats.org/officeDocument/2006/relationships/theme" Target="/xl/theme/theme1.xml" Id="R334f74158ee749e2" /><Relationship Type="http://schemas.openxmlformats.org/officeDocument/2006/relationships/sharedStrings" Target="/xl/sharedStrings.xml" Id="R89cbdeeb0e1c4e6d" /><Relationship Type="http://schemas.openxmlformats.org/officeDocument/2006/relationships/worksheet" Target="/xl/worksheets/sheet1.xml" Id="R780d07e12bec4ebf" /><Relationship Type="http://schemas.openxmlformats.org/officeDocument/2006/relationships/worksheet" Target="/xl/worksheets/sheet2.xml" Id="R2be4e4b0059d41bc" /><Relationship Type="http://schemas.openxmlformats.org/officeDocument/2006/relationships/worksheet" Target="/xl/worksheets/sheet3.xml" Id="R836df9538e07462f" /><Relationship Type="http://schemas.openxmlformats.org/officeDocument/2006/relationships/worksheet" Target="/xl/worksheets/sheet4.xml" Id="Rc9b5e7da65d743a9" /><Relationship Type="http://schemas.openxmlformats.org/officeDocument/2006/relationships/worksheet" Target="/xl/worksheets/sheet5.xml" Id="Rf2b0713e3e9a480a" /><Relationship Type="http://schemas.openxmlformats.org/officeDocument/2006/relationships/worksheet" Target="/xl/worksheets/sheet6.xml" Id="Rf2fba2387b604d20" /><Relationship Type="http://schemas.openxmlformats.org/officeDocument/2006/relationships/worksheet" Target="/xl/worksheets/sheet7.xml" Id="R923e202bdc594918" /><Relationship Type="http://schemas.openxmlformats.org/officeDocument/2006/relationships/worksheet" Target="/xl/worksheets/sheet8.xml" Id="Rcf931736112d42e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f3a7e8bb142414f" /><Relationship Type="http://schemas.openxmlformats.org/officeDocument/2006/relationships/chart" Target="/xl/drawings/charts/chart2.xml" Id="Rf85cb7224c64404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Status distribution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'Executive Summary'!$A$12:$A$15</c:f>
              <c:strCache>
                <c:ptCount val="0"/>
              </c:strCache>
            </c:strRef>
          </c:cat>
          <c:val>
            <c:numRef>
              <c:f>'Executive Summary'!$B$12:$B$15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Lead record load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'Executive Summary'!$D$12:$D$14</c:f>
              <c:strCache>
                <c:ptCount val="0"/>
              </c:strCache>
            </c:strRef>
          </c:cat>
          <c:val>
            <c:numRef>
              <c:f>'Executive Summary'!$E$12:$E$14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f3a7e8bb142414f"/>
        </a:graphicData>
      </a:graphic>
    </xdr:graphicFrame>
    <xdr:clientData/>
  </xdr:twoCellAnchor>
  <xdr:twoCellAnchor>
    <xdr:from>
      <xdr:col>15</xdr:col>
      <xdr:colOff>0</xdr:colOff>
      <xdr:row>2</xdr:row>
      <xdr:rowOff>0</xdr:rowOff>
    </xdr:from>
    <xdr:to>
      <xdr:col>22</xdr:col>
      <xdr:colOff>0</xdr:colOff>
      <xdr:row>15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85cb7224c64404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DSWBS" displayName="FDSWBS" ref="A3:S54" headerRowCount="1" totalsRowCount="0" totalsRowShown="0">
  <x:autoFilter ref="A3:S54"/>
  <x:tableColumns count="19">
    <x:tableColumn id="1" name="WBS ID"/>
    <x:tableColumn id="2" name="Title"/>
    <x:tableColumn id="3" name="Phase"/>
    <x:tableColumn id="4" name="Category"/>
    <x:tableColumn id="5" name="Type"/>
    <x:tableColumn id="6" name="Priority"/>
    <x:tableColumn id="7" name="Status"/>
    <x:tableColumn id="8" name="Plan Start"/>
    <x:tableColumn id="9" name="Plan End"/>
    <x:tableColumn id="10" name="Calendar Days"/>
    <x:tableColumn id="11" name="Working Days"/>
    <x:tableColumn id="12" name="Lead"/>
    <x:tableColumn id="13" name="Support"/>
    <x:tableColumn id="14" name="Dependencies / Decisions"/>
    <x:tableColumn id="15" name="Risks"/>
    <x:tableColumn id="16" name="Description / Exit Criteria"/>
    <x:tableColumn id="17" name="Schedule Note"/>
    <x:tableColumn id="18" name="Source"/>
    <x:tableColumn id="19" name="Schedule Healt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5aa1c35f7bd480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f0011134ae747a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58" hidden="0" customWidth="1"/>
    <x:col min="4" max="4" width="16" hidden="0" customWidth="1"/>
    <x:col min="5" max="5" width="32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</x:cols>
  <x:sheetData>
    <x:row r="1" ht="34" customHeight="1">
      <x:c r="A1" s="3" t="str">
        <x:v>FDS v3.1.16 · Executive Schedule Summary</x:v>
      </x:c>
      <x:c r="B1" s="3" t="str">
        <x:v>FDS v3.1.14 · Executive Schedule Summary</x:v>
      </x:c>
      <x:c r="C1" s="3" t="str">
        <x:v>FDS v3.1.14 · Executive Schedule Summary</x:v>
      </x:c>
      <x:c r="D1" s="3" t="str">
        <x:v>FDS v3.1.14 · Executive Schedule Summary</x:v>
      </x:c>
      <x:c r="E1" s="3" t="str">
        <x:v>FDS v3.1.14 · Executive Schedule Summary</x:v>
      </x:c>
      <x:c r="F1" s="3" t="str">
        <x:v>FDS v3.1.14 · Executive Schedule Summary</x:v>
      </x:c>
      <x:c r="G1" s="3" t="str">
        <x:v>FDS v3.1.14 · Executive Schedule Summary</x:v>
      </x:c>
      <x:c r="H1" s="3" t="str">
        <x:v>FDS v3.1.14 · Executive Schedule Summary</x:v>
      </x:c>
      <x:c r="I1" s="3" t="str">
        <x:v>FDS v3.1.14 · Executive Schedule Summary</x:v>
      </x:c>
      <x:c r="J1" s="3" t="str">
        <x:v>FDS v3.1.14 · Executive Schedule Summary</x:v>
      </x:c>
      <x:c r="K1" s="3" t="str">
        <x:v>FDS v3.1.14 · Executive Schedule Summary</x:v>
      </x:c>
      <x:c r="L1" s="3" t="str">
        <x:v>FDS v3.1.14 · Executive Schedule Summary</x:v>
      </x:c>
      <x:c r="M1" s="3" t="str">
        <x:v>FDS v3.1.14 · Executive Schedule Summary</x:v>
      </x:c>
      <x:c r="N1" s="3" t="str">
        <x:v>FDS v3.1.14 · Executive Schedule Summary</x:v>
      </x:c>
      <x:c r="O1" s="3" t="str">
        <x:v>FDS v3.1.14 · Executive Schedule Summary</x:v>
      </x:c>
      <x:c r="P1" s="3" t="str">
        <x:v>FDS v3.1.14 · Executive Schedule Summary</x:v>
      </x:c>
      <x:c r="Q1" s="3" t="str">
        <x:v>FDS v3.1.14 · Executive Schedule Summary</x:v>
      </x:c>
      <x:c r="R1" s="3" t="str">
        <x:v>FDS v3.1.14 · Executive Schedule Summary</x:v>
      </x:c>
      <x:c r="S1" s="3" t="str">
        <x:v>FDS v3.1.14 · Executive Schedule Summary</x:v>
      </x:c>
      <x:c r="T1" s="3" t="str">
        <x:v>FDS v3.1.14 · Executive Schedule Summary</x:v>
      </x:c>
      <x:c r="U1" s="3" t="str">
        <x:v>FDS v3.1.14 · Executive Schedule Summary</x:v>
      </x:c>
      <x:c r="V1" s="3" t="str">
        <x:v>FDS v3.1.14 · Executive Schedule Summary</x:v>
      </x:c>
    </x:row>
    <x:row r="3">
      <x:c r="A3" s="9" t="str">
        <x:v>Metric</x:v>
      </x:c>
      <x:c r="B3" s="9" t="str">
        <x:v>Value</x:v>
      </x:c>
      <x:c r="D3" s="9" t="str">
        <x:v>Current gate / control</x:v>
      </x:c>
      <x:c r="E3" s="9" t="str">
        <x:v>Result</x:v>
      </x:c>
    </x:row>
    <x:row r="4">
      <x:c r="A4" s="13" t="str">
        <x:v>As of</x:v>
      </x:c>
      <x:c r="B4" s="19" t="n">
        <x:v>46268</x:v>
      </x:c>
      <x:c r="D4" s="13" t="str">
        <x:v>G0 Design Freeze</x:v>
      </x:c>
      <x:c r="E4" s="13" t="str">
        <x:v>FULL PASS / Done</x:v>
      </x:c>
    </x:row>
    <x:row r="5">
      <x:c r="A5" s="13" t="str">
        <x:v>Canonical version</x:v>
      </x:c>
      <x:c r="B5" s="13" t="str">
        <x:v>3.1.16</x:v>
      </x:c>
      <x:c r="D5" s="13" t="str">
        <x:v>G1 Target</x:v>
      </x:c>
      <x:c r="E5" s="13" t="str">
        <x:v>2026-09-07</x:v>
      </x:c>
    </x:row>
    <x:row r="6">
      <x:c r="A6" s="13" t="str">
        <x:v>Planning records</x:v>
      </x:c>
      <x:c r="B6" s="13" t="n">
        <x:v>51</x:v>
      </x:c>
      <x:c r="D6" s="13" t="str">
        <x:v>G2 Target</x:v>
      </x:c>
      <x:c r="E6" s="13" t="str">
        <x:v>2026-09-11</x:v>
      </x:c>
    </x:row>
    <x:row r="7">
      <x:c r="A7" s="13" t="str">
        <x:v>Tasks + ICR</x:v>
      </x:c>
      <x:c r="B7" s="13" t="n">
        <x:v>31</x:v>
      </x:c>
      <x:c r="D7" s="13" t="str">
        <x:v>G3 Target</x:v>
      </x:c>
      <x:c r="E7" s="13" t="str">
        <x:v>2026-09-18</x:v>
      </x:c>
    </x:row>
    <x:row r="8">
      <x:c r="A8" s="13" t="str">
        <x:v>Milestones</x:v>
      </x:c>
      <x:c r="B8" s="13" t="n">
        <x:v>13</x:v>
      </x:c>
      <x:c r="D8" s="13" t="str">
        <x:v>ICR-D-NET-01-01</x:v>
      </x:c>
      <x:c r="E8" s="13" t="str">
        <x:v>In Progress / End TBD</x:v>
      </x:c>
    </x:row>
    <x:row r="11">
      <x:c r="A11" s="9" t="str">
        <x:v>Status</x:v>
      </x:c>
      <x:c r="B11" s="9" t="str">
        <x:v>Count</x:v>
      </x:c>
      <x:c r="D11" s="9" t="str">
        <x:v>Lead</x:v>
      </x:c>
      <x:c r="E11" s="9" t="str">
        <x:v>Records</x:v>
      </x:c>
    </x:row>
    <x:row r="12">
      <x:c r="A12" s="13" t="str">
        <x:v>Done</x:v>
      </x:c>
      <x:c r="B12" s="13" t="n">
        <x:f>COUNTIF(WBS!$G$4:$G$54,A12)</x:f>
        <x:v>3</x:v>
      </x:c>
      <x:c r="D12" s="13" t="str">
        <x:v>이권욱</x:v>
      </x:c>
      <x:c r="E12" s="13" t="n">
        <x:f>COUNTIF(WBS!$L$4:$L$54,D12)</x:f>
        <x:v>28</x:v>
      </x:c>
    </x:row>
    <x:row r="13">
      <x:c r="A13" s="13" t="str">
        <x:v>In Progress</x:v>
      </x:c>
      <x:c r="B13" s="13" t="n">
        <x:f>COUNTIF(WBS!$G$4:$G$54,A13)</x:f>
        <x:v>6</x:v>
      </x:c>
      <x:c r="D13" s="13" t="str">
        <x:v>이하영</x:v>
      </x:c>
      <x:c r="E13" s="13" t="n">
        <x:f>COUNTIF(WBS!$L$4:$L$54,D13)</x:f>
        <x:v>13</x:v>
      </x:c>
    </x:row>
    <x:row r="14">
      <x:c r="A14" s="13" t="str">
        <x:v>In Review</x:v>
      </x:c>
      <x:c r="B14" s="13" t="n">
        <x:f>COUNTIF(WBS!$G$4:$G$54,A14)</x:f>
        <x:v>0</x:v>
      </x:c>
      <x:c r="D14" s="13" t="str">
        <x:v>이재환</x:v>
      </x:c>
      <x:c r="E14" s="13" t="n">
        <x:f>COUNTIF(WBS!$L$4:$L$54,D14)</x:f>
        <x:v>10</x:v>
      </x:c>
    </x:row>
    <x:row r="15">
      <x:c r="A15" s="13" t="str">
        <x:v>To Do</x:v>
      </x:c>
      <x:c r="B15" s="13" t="n">
        <x:f>COUNTIF(WBS!$G$4:$G$54,A15)</x:f>
        <x:v>42</x:v>
      </x:c>
    </x:row>
    <x:row r="18">
      <x:c r="A18" s="20" t="str">
        <x:v>Lead decisions / schedule alerts</x:v>
      </x:c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  <x:c r="O18" s="20"/>
      <x:c r="P18" s="20"/>
      <x:c r="Q18" s="20"/>
      <x:c r="R18" s="20"/>
      <x:c r="S18" s="20"/>
      <x:c r="T18" s="20"/>
      <x:c r="U18" s="20"/>
      <x:c r="V18" s="20"/>
    </x:row>
    <x:row r="19">
      <x:c r="A19" s="9" t="str">
        <x:v>Priority</x:v>
      </x:c>
      <x:c r="B19" s="9" t="str">
        <x:v>Decision / Alert</x:v>
      </x:c>
      <x:c r="C19" s="9" t="str">
        <x:v>Impact</x:v>
      </x:c>
      <x:c r="D19" s="9" t="str">
        <x:v>Owner</x:v>
      </x:c>
    </x:row>
    <x:row r="20" ht="38" customHeight="1">
      <x:c r="A20" s="13" t="str">
        <x:v>P0</x:v>
      </x:c>
      <x:c r="B20" s="13" t="str">
        <x:v>ICR-D-NET-01-01 end date</x:v>
      </x:c>
      <x:c r="C20" s="13" t="str">
        <x:v>End TBD; G2 impact requires Lead approval</x:v>
      </x:c>
      <x:c r="D20" s="13" t="str">
        <x:v>이권욱</x:v>
      </x:c>
    </x:row>
    <x:row r="21" ht="38" customHeight="1">
      <x:c r="A21" s="13" t="str">
        <x:v>P0</x:v>
      </x:c>
      <x:c r="B21" s="13" t="str">
        <x:v>Management return route</x:v>
      </x:c>
      <x:c r="C21" s="13" t="str">
        <x:v>monitor01/db01/harbor01/edge01 path evidence pending</x:v>
      </x:c>
      <x:c r="D21" s="13" t="str">
        <x:v>이권욱</x:v>
      </x:c>
    </x:row>
    <x:row r="22" ht="38" customHeight="1">
      <x:c r="A22" s="13" t="str">
        <x:v>P0</x:v>
      </x:c>
      <x:c r="B22" s="13" t="str">
        <x:v>Phase 1 review calendar</x:v>
      </x:c>
      <x:c r="C22" s="13" t="str">
        <x:v>2026-09-20 is Sunday; D20 pending</x:v>
      </x:c>
      <x:c r="D22" s="13" t="str">
        <x:v>이권욱</x:v>
      </x:c>
    </x:row>
    <x:row r="23" ht="38" customHeight="1">
      <x:c r="A23" s="13" t="str">
        <x:v>P1</x:v>
      </x:c>
      <x:c r="B23" s="13" t="str">
        <x:v>Phase 2 review calendar</x:v>
      </x:c>
      <x:c r="C23" s="13" t="str">
        <x:v>2026-10-24 is Saturday; D24 pending</x:v>
      </x:c>
      <x:c r="D23" s="13" t="str">
        <x:v>이권욱</x:v>
      </x:c>
    </x:row>
    <x:row r="24" ht="38" customHeight="1">
      <x:c r="A24" s="13" t="str">
        <x:v>P1</x:v>
      </x:c>
      <x:c r="B24" s="13" t="str">
        <x:v>Evidence placeholders</x:v>
      </x:c>
      <x:c r="C24" s="13" t="str">
        <x:v>Slides 11/12 are not completion evidence</x:v>
      </x:c>
      <x:c r="D24" s="13" t="str">
        <x:v>이재환</x:v>
      </x:c>
    </x:row>
    <x:row r="25" ht="34" customHeight="1">
      <x:c r="A25" s="60" t="str">
        <x:v>P0</x:v>
      </x:c>
      <x:c r="B25" s="45" t="str">
        <x:v>JH LEE personal leave · 2026-09-04</x:v>
      </x:c>
      <x:c r="C25" s="45" t="str">
        <x:v>P1-DB/G1 → 09-07; P1-APP → 09-10; P1-MON starts 09-07; G2 unchanged</x:v>
      </x:c>
      <x:c r="D25" s="45" t="str">
        <x:v>이권욱</x:v>
      </x:c>
    </x:row>
  </x:sheetData>
  <x:mergeCells>
    <x:mergeCell ref="A1:V1"/>
    <x:mergeCell ref="A18:V18"/>
  </x:mergeCells>
  <x:pageMargins left="0.7" right="0.7" top="0.75" bottom="0.75" header="0.3" footer="0.3"/>
  <x:drawing xmlns:r="http://schemas.openxmlformats.org/officeDocument/2006/relationships" r:id="R85aa1c35f7bd480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13" hidden="0" customWidth="1"/>
    <x:col min="4" max="4" width="28" hidden="0" customWidth="1"/>
    <x:col min="5" max="5" width="16" hidden="0" customWidth="1"/>
    <x:col min="6" max="6" width="10" hidden="0" customWidth="1"/>
    <x:col min="7" max="7" width="16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4" hidden="0" customWidth="1"/>
    <x:col min="13" max="13" width="20" hidden="0" customWidth="1"/>
    <x:col min="14" max="14" width="30" hidden="0" customWidth="1"/>
    <x:col min="15" max="15" width="22" hidden="0" customWidth="1"/>
    <x:col min="16" max="16" width="55" hidden="0" customWidth="1"/>
    <x:col min="17" max="17" width="56" hidden="0" customWidth="1"/>
    <x:col min="18" max="18" width="46" hidden="0" customWidth="1"/>
    <x:col min="19" max="19" width="16" hidden="0" customWidth="1"/>
  </x:cols>
  <x:sheetData>
    <x:row r="1" ht="34" customHeight="1">
      <x:c r="A1" s="3" t="str">
        <x:v>FDS v3.1.16 · Canonical WBS</x:v>
      </x:c>
      <x:c r="B1" s="3" t="str">
        <x:v>FDS v3.1.14 · Work Breakdown Structure</x:v>
      </x:c>
      <x:c r="C1" s="3" t="str">
        <x:v>FDS v3.1.14 · Work Breakdown Structure</x:v>
      </x:c>
      <x:c r="D1" s="3" t="str">
        <x:v>FDS v3.1.14 · Work Breakdown Structure</x:v>
      </x:c>
      <x:c r="E1" s="3" t="str">
        <x:v>FDS v3.1.14 · Work Breakdown Structure</x:v>
      </x:c>
      <x:c r="F1" s="3" t="str">
        <x:v>FDS v3.1.14 · Work Breakdown Structure</x:v>
      </x:c>
      <x:c r="G1" s="3" t="str">
        <x:v>FDS v3.1.14 · Work Breakdown Structure</x:v>
      </x:c>
      <x:c r="H1" s="3" t="str">
        <x:v>FDS v3.1.14 · Work Breakdown Structure</x:v>
      </x:c>
      <x:c r="I1" s="3" t="str">
        <x:v>FDS v3.1.14 · Work Breakdown Structure</x:v>
      </x:c>
      <x:c r="J1" s="3" t="str">
        <x:v>FDS v3.1.14 · Work Breakdown Structure</x:v>
      </x:c>
      <x:c r="K1" s="3" t="str">
        <x:v>FDS v3.1.14 · Work Breakdown Structure</x:v>
      </x:c>
      <x:c r="L1" s="3" t="str">
        <x:v>FDS v3.1.14 · Work Breakdown Structure</x:v>
      </x:c>
      <x:c r="M1" s="3" t="str">
        <x:v>FDS v3.1.14 · Work Breakdown Structure</x:v>
      </x:c>
      <x:c r="N1" s="3" t="str">
        <x:v>FDS v3.1.14 · Work Breakdown Structure</x:v>
      </x:c>
      <x:c r="O1" s="3" t="str">
        <x:v>FDS v3.1.14 · Work Breakdown Structure</x:v>
      </x:c>
      <x:c r="P1" s="3" t="str">
        <x:v>FDS v3.1.14 · Work Breakdown Structure</x:v>
      </x:c>
      <x:c r="Q1" s="3" t="str">
        <x:v>FDS v3.1.14 · Work Breakdown Structure</x:v>
      </x:c>
      <x:c r="R1" s="3" t="str">
        <x:v>FDS v3.1.14 · Work Breakdown Structure</x:v>
      </x:c>
      <x:c r="S1" s="3" t="str">
        <x:v>FDS v3.1.14 · Work Breakdown Structure</x:v>
      </x:c>
    </x:row>
    <x:row r="2">
      <x:c r="A2" s="17" t="str">
        <x:v>As of</x:v>
      </x:c>
      <x:c r="B2" s="18" t="n">
        <x:v>46268</x:v>
      </x:c>
      <x:c r="C2" s="17" t="str">
        <x:v>Canonical</x:v>
      </x:c>
      <x:c r="D2" s="17" t="str">
        <x:v>3.1.16</x:v>
      </x:c>
      <x:c r="E2" s="17" t="str">
        <x:v>Records</x:v>
      </x:c>
      <x:c r="F2" s="17" t="n">
        <x:v>51</x:v>
      </x:c>
      <x:c r="G2" s="17" t="str"/>
      <x:c r="H2" s="17" t="str"/>
      <x:c r="I2" s="17" t="str"/>
      <x:c r="J2" s="17" t="str"/>
      <x:c r="K2" s="17" t="str"/>
      <x:c r="L2" s="17" t="str"/>
      <x:c r="M2" s="17" t="str"/>
      <x:c r="N2" s="17" t="str"/>
      <x:c r="O2" s="17" t="str"/>
      <x:c r="P2" s="17" t="str"/>
      <x:c r="Q2" s="17" t="str"/>
      <x:c r="R2" s="17" t="str"/>
      <x:c r="S2" s="17" t="str"/>
    </x:row>
    <x:row r="3">
      <x:c r="A3" s="9" t="str">
        <x:v>WBS ID</x:v>
      </x:c>
      <x:c r="B3" s="9" t="str">
        <x:v>Title</x:v>
      </x:c>
      <x:c r="C3" s="9" t="str">
        <x:v>Phase</x:v>
      </x:c>
      <x:c r="D3" s="9" t="str">
        <x:v>Category</x:v>
      </x:c>
      <x:c r="E3" s="9" t="str">
        <x:v>Type</x:v>
      </x:c>
      <x:c r="F3" s="9" t="str">
        <x:v>Priority</x:v>
      </x:c>
      <x:c r="G3" s="9" t="str">
        <x:v>Status</x:v>
      </x:c>
      <x:c r="H3" s="9" t="str">
        <x:v>Plan Start</x:v>
      </x:c>
      <x:c r="I3" s="9" t="str">
        <x:v>Plan End</x:v>
      </x:c>
      <x:c r="J3" s="9" t="str">
        <x:v>Calendar Days</x:v>
      </x:c>
      <x:c r="K3" s="9" t="str">
        <x:v>Lead Workdays</x:v>
      </x:c>
      <x:c r="L3" s="9" t="str">
        <x:v>Lead</x:v>
      </x:c>
      <x:c r="M3" s="9" t="str">
        <x:v>Support</x:v>
      </x:c>
      <x:c r="N3" s="9" t="str">
        <x:v>Dependencies / Decisions</x:v>
      </x:c>
      <x:c r="O3" s="9" t="str">
        <x:v>Risks</x:v>
      </x:c>
      <x:c r="P3" s="9" t="str">
        <x:v>Description / Exit Criteria</x:v>
      </x:c>
      <x:c r="Q3" s="9" t="str">
        <x:v>Schedule Note</x:v>
      </x:c>
      <x:c r="R3" s="9" t="str">
        <x:v>Source</x:v>
      </x:c>
      <x:c r="S3" s="9" t="str">
        <x:v>Schedule Health</x:v>
      </x:c>
    </x:row>
    <x:row r="4" ht="44" customHeight="1">
      <x:c r="A4" s="13" t="str">
        <x:v>D-SEC-01</x:v>
      </x:c>
      <x:c r="B4" s="13" t="str">
        <x:v>Security Design Scope / Approval Review</x:v>
      </x:c>
      <x:c r="C4" s="13" t="str">
        <x:v>Design</x:v>
      </x:c>
      <x:c r="D4" s="13" t="str">
        <x:v>Security / Governance</x:v>
      </x:c>
      <x:c r="E4" s="13" t="str">
        <x:v>Decision</x:v>
      </x:c>
      <x:c r="F4" s="13" t="str">
        <x:v>P0</x:v>
      </x:c>
      <x:c r="G4" s="13" t="str">
        <x:v>Done</x:v>
      </x:c>
      <x:c r="H4" s="19" t="n">
        <x:v>46260</x:v>
      </x:c>
      <x:c r="I4" s="19" t="n">
        <x:v>46266</x:v>
      </x:c>
      <x:c r="J4" s="61" t="n">
        <x:f>IF(OR(H4="",I4=""),"",I4-H4+1)</x:f>
        <x:v>7</x:v>
      </x:c>
      <x:c r="K4" s="61" t="n">
        <x:f>IF(OR(H4="",I4=""),"",NETWORKDAYS(H4,I4,'Sources &amp; Change Log'!$J$2:$J$5)-COUNTIFS('Team Calendar'!$A$5:$A$10,L4,'Team Calendar'!$C$5:$C$10,"&gt;="&amp;H4,'Team Calendar'!$C$5:$C$10,"&lt;="&amp;I4,'Team Calendar'!$F$5:$F$10,"Personal absence"))</x:f>
        <x:v>4</x:v>
      </x:c>
      <x:c r="L4" s="13" t="str">
        <x:v>이하영</x:v>
      </x:c>
      <x:c r="M4" s="13" t="str">
        <x:v>이권욱, 이재환</x:v>
      </x:c>
      <x:c r="N4" s="13" t="str">
        <x:v>D17; D28</x:v>
      </x:c>
      <x:c r="O4" s="13" t="str">
        <x:v>RISK-05; RISK-07</x:v>
      </x:c>
      <x:c r="P4" s="13" t="str">
        <x:v>승인권자 지정, D-SEC-01 검토 범위·산출물·Exit Criteria 승인, P1-SEC-01과의 경계 승인, 요구사항과 검증 증적 연결 후 Done 판정</x:v>
      </x:c>
      <x:c r="Q4" s="13" t="str">
        <x:v>v3.1.14 최종 승인·정본 반영 완료. 구현은 P1-SEC-01로 이관.</x:v>
      </x:c>
      <x:c r="R4" s="13" t="str">
        <x:v>FDS_Project_Implementation_Baseline_v3.1.14; D-SEC-01_Kubernetes_Security_Design_Baseline_v1.0</x:v>
      </x:c>
      <x:c r="S4" s="13" t="str">
        <x:f>IF(G4="Done","Complete",IF(OR(H4="",I4=""),"TBD",IF(I4&lt;'Executive Summary'!$B$4,"Past Due",IF(H4&lt;='Executive Summary'!$B$4,"Active Window","Planned"))))</x:f>
        <x:v>Complete</x:v>
      </x:c>
    </x:row>
    <x:row r="5" ht="44" customHeight="1">
      <x:c r="A5" s="13" t="str">
        <x:v>MS-G0-01</x:v>
      </x:c>
      <x:c r="B5" s="13" t="str">
        <x:v>G0 Design Freeze</x:v>
      </x:c>
      <x:c r="C5" s="13" t="str">
        <x:v>Design</x:v>
      </x:c>
      <x:c r="D5" s="13" t="str">
        <x:v>Milestone / Design Freeze</x:v>
      </x:c>
      <x:c r="E5" s="13" t="str">
        <x:v>Milestone</x:v>
      </x:c>
      <x:c r="F5" s="13" t="str">
        <x:v>P0</x:v>
      </x:c>
      <x:c r="G5" s="13" t="str">
        <x:v>Done</x:v>
      </x:c>
      <x:c r="H5" s="19" t="n">
        <x:v>46260</x:v>
      </x:c>
      <x:c r="I5" s="19" t="n">
        <x:v>46266</x:v>
      </x:c>
      <x:c r="J5" s="61" t="n">
        <x:f>IF(OR(H5="",I5=""),"",I5-H5+1)</x:f>
        <x:v>7</x:v>
      </x:c>
      <x:c r="K5" s="61" t="n">
        <x:f>IF(OR(H5="",I5=""),"",NETWORKDAYS(H5,I5,'Sources &amp; Change Log'!$J$2:$J$5)-COUNTIFS('Team Calendar'!$A$5:$A$10,L5,'Team Calendar'!$C$5:$C$10,"&gt;="&amp;H5,'Team Calendar'!$C$5:$C$10,"&lt;="&amp;I5,'Team Calendar'!$F$5:$F$10,"Personal absence"))</x:f>
        <x:v>5</x:v>
      </x:c>
      <x:c r="L5" s="13" t="str">
        <x:v>이권욱</x:v>
      </x:c>
      <x:c r="M5" s="13" t="str">
        <x:v>이하영, 이재환</x:v>
      </x:c>
      <x:c r="N5" s="13" t="str">
        <x:v>D17; D28; D32</x:v>
      </x:c>
      <x:c r="O5" s="13" t="str">
        <x:v>RISK-05; RISK-07</x:v>
      </x:c>
      <x:c r="P5" s="13" t="str">
        <x:v>D-ARC-01·D-NET-01·D-WBS-01·D-SEC-01의 승인 상태와 Evidence를 확인하고 Architecture·Network·WBS·Security Scope/Owner/Exit Criteria를 동결한 뒤 G0 Full PASS 승인 기록 확보</x:v>
      </x:c>
      <x:c r="Q5" s="13" t="str">
        <x:v>G0 Design Freeze FULL PASS (2026-09-01).</x:v>
      </x:c>
      <x:c r="R5" s="13" t="str">
        <x:v>FDS_Project_Implementation_Baseline_v3.1.14; FDS_v3.1.14_Canonical_Ticket_Update_Pack_v1.0</x:v>
      </x:c>
      <x:c r="S5" s="13" t="str">
        <x:f>IF(G5="Done","Complete",IF(OR(H5="",I5=""),"TBD",IF(I5&lt;'Executive Summary'!$B$4,"Past Due",IF(H5&lt;='Executive Summary'!$B$4,"Active Window","Planned"))))</x:f>
        <x:v>Complete</x:v>
      </x:c>
    </x:row>
    <x:row r="6" ht="44" customHeight="1">
      <x:c r="A6" s="13" t="str">
        <x:v>P1-LB-01</x:v>
      </x:c>
      <x:c r="B6" s="13" t="str">
        <x:v>Kubernetes API Load Balancer</x:v>
      </x:c>
      <x:c r="C6" s="13" t="str">
        <x:v>Phase 1</x:v>
      </x:c>
      <x:c r="D6" s="13" t="str">
        <x:v>Infrastructure / Load Balancer</x:v>
      </x:c>
      <x:c r="E6" s="13" t="str">
        <x:v>Task</x:v>
      </x:c>
      <x:c r="F6" s="13" t="str">
        <x:v>P0</x:v>
      </x:c>
      <x:c r="G6" s="13" t="str">
        <x:v>In Progress</x:v>
      </x:c>
      <x:c r="H6" s="19" t="n">
        <x:v>46261</x:v>
      </x:c>
      <x:c r="I6" s="19" t="n">
        <x:v>46268</x:v>
      </x:c>
      <x:c r="J6" s="61" t="n">
        <x:f>IF(OR(H6="",I6=""),"",I6-H6+1)</x:f>
        <x:v>8</x:v>
      </x:c>
      <x:c r="K6" s="61" t="n">
        <x:f>IF(OR(H6="",I6=""),"",NETWORKDAYS(H6,I6,'Sources &amp; Change Log'!$J$2:$J$5)-COUNTIFS('Team Calendar'!$A$5:$A$10,L6,'Team Calendar'!$C$5:$C$10,"&gt;="&amp;H6,'Team Calendar'!$C$5:$C$10,"&lt;="&amp;I6,'Team Calendar'!$F$5:$F$10,"Personal absence"))</x:f>
        <x:v>6</x:v>
      </x:c>
      <x:c r="L6" s="13" t="str">
        <x:v>이권욱</x:v>
      </x:c>
      <x:c r="M6" s="13" t="str">
        <x:v>이하영</x:v>
      </x:c>
      <x:c r="N6" s="13" t="str">
        <x:v>HO-ANS-04B 전달 경로의 Positive/Negative Test, Health Check, Backout Evidence가 승인된다.</x:v>
      </x:c>
      <x:c r="O6" s="13" t="str">
        <x:v>RISK-02; RISK-03; RISK-04</x:v>
      </x:c>
      <x:c r="P6" s="13" t="str">
        <x:v>API LB .109:6443에서 control-plane .102~.104:6443으로 전달하는 HO-ANS-04B를 Stage A/B, Health Check, Rollback Gate와 함께 검증한다.</x:v>
      </x:c>
      <x:c r="Q6" s="13" t="str">
        <x:v>Stage A Listener/allowlist/positive·negative/secure-transfer Evidence PASS (2026-09-03). Stage B bootstrap·backend-UP·failover 검증은 Pending이므로 Status는 In Progress 유지.</x:v>
      </x:c>
      <x:c r="R6" s="13" t="str">
        <x:v>FDS_Project_Implementation_Baseline_v3.1.16; P1-LB-01 Stage A Evidence 01-18c; D35; IF-11/IF-11A/IF-12</x:v>
      </x:c>
      <x:c r="S6" s="13" t="str">
        <x:f>IF(G6="Done","Complete",IF(OR(H6="",I6=""),"TBD",IF(I6&lt;'Executive Summary'!$B$4,"Past Due",IF(H6&lt;='Executive Summary'!$B$4,"Active Window","Planned"))))</x:f>
        <x:v>Active Window</x:v>
      </x:c>
    </x:row>
    <x:row r="7" ht="44" customHeight="1">
      <x:c r="A7" s="13" t="str">
        <x:v>P1-K8S-01</x:v>
      </x:c>
      <x:c r="B7" s="13" t="str">
        <x:v>kubeadm 3CP + 3Worker / Calico</x:v>
      </x:c>
      <x:c r="C7" s="13" t="str">
        <x:v>Phase 1</x:v>
      </x:c>
      <x:c r="D7" s="13" t="str">
        <x:v>Kubernetes / Platform</x:v>
      </x:c>
      <x:c r="E7" s="13" t="str">
        <x:v>Task</x:v>
      </x:c>
      <x:c r="F7" s="13" t="str">
        <x:v>P0</x:v>
      </x:c>
      <x:c r="G7" s="13" t="str">
        <x:v>In Progress</x:v>
      </x:c>
      <x:c r="H7" s="19" t="n">
        <x:v>46261</x:v>
      </x:c>
      <x:c r="I7" s="19" t="n">
        <x:v>46269</x:v>
      </x:c>
      <x:c r="J7" s="61" t="n">
        <x:f>IF(OR(H7="",I7=""),"",I7-H7+1)</x:f>
        <x:v>9</x:v>
      </x:c>
      <x:c r="K7" s="61" t="n">
        <x:f>IF(OR(H7="",I7=""),"",NETWORKDAYS(H7,I7,'Sources &amp; Change Log'!$J$2:$J$5)-COUNTIFS('Team Calendar'!$A$5:$A$10,L7,'Team Calendar'!$C$5:$C$10,"&gt;="&amp;H7,'Team Calendar'!$C$5:$C$10,"&lt;="&amp;I7,'Team Calendar'!$F$5:$F$10,"Personal absence"))</x:f>
        <x:v>6</x:v>
      </x:c>
      <x:c r="L7" s="13" t="str">
        <x:v>이하영</x:v>
      </x:c>
      <x:c r="M7" s="13" t="str">
        <x:v>이권욱</x:v>
      </x:c>
      <x:c r="N7" s="13" t="str">
        <x:v>HO-ANS-01/02A/03/04A의 6대 노드 Preflight, Runtime·kubelet·Calico 호환성 및 필수 포트 결과가 PASS하고 증적이 승인된다.</x:v>
      </x:c>
      <x:c r="O7" s="13" t="str">
        <x:v>RISK-02; RISK-03; RISK-04; RISK-07; RISK-14</x:v>
      </x:c>
      <x:c r="P7" s="13" t="str">
        <x:v>HO-ANS-01 cgroup driver, HO-ANS-02A SELinux Enforcing Runtime/kubelet/Calico, HO-ANS-03 hostname/MAC/product_uuid 고유성, HO-ANS-04A Kubernetes/Calico 필수 포트를 Preflight와 Cluster Apply Gate에서 검증한다.</x:v>
      </x:c>
      <x:c r="Q7" s="13" t="str">
        <x:v>2026-09-03 착수. P1-LB-01 Stage A PASS를 인계받아 Gate 0~2 수행 중. SELinux Enforcing 유지, firewalld→Calico HostEndpoint 전환, D34 확정값 적용.</x:v>
      </x:c>
      <x:c r="R7" s="13" t="str">
        <x:v>FDS_Project_Implementation_Baseline_v3.1.16; FDS_P1-K8S-01_Preflight_Review_v1.0; P1-LB-01 Stage A Evidence</x:v>
      </x:c>
      <x:c r="S7" s="13" t="str">
        <x:f>IF(G7="Done","Complete",IF(OR(H7="",I7=""),"TBD",IF(I7&lt;'Executive Summary'!$B$4,"Past Due",IF(H7&lt;='Executive Summary'!$B$4,"Active Window","Planned"))))</x:f>
        <x:v>Active Window</x:v>
      </x:c>
    </x:row>
    <x:row r="8" ht="44" customHeight="1">
      <x:c r="A8" s="13" t="str">
        <x:v>P1-DB-01</x:v>
      </x:c>
      <x:c r="B8" s="13" t="str">
        <x:v>PostgreSQL External VM</x:v>
      </x:c>
      <x:c r="C8" s="13" t="str">
        <x:v>Phase 1</x:v>
      </x:c>
      <x:c r="D8" s="13" t="str">
        <x:v>Data / Database</x:v>
      </x:c>
      <x:c r="E8" s="13" t="str">
        <x:v>Task</x:v>
      </x:c>
      <x:c r="F8" s="13" t="str">
        <x:v>P0</x:v>
      </x:c>
      <x:c r="G8" s="13" t="str">
        <x:v>In Progress</x:v>
      </x:c>
      <x:c r="H8" s="19" t="n">
        <x:v>46262</x:v>
      </x:c>
      <x:c r="I8" s="19" t="n">
        <x:v>46272</x:v>
      </x:c>
      <x:c r="J8" s="61" t="n">
        <x:f>IF(OR(H8="",I8=""),"",I8-H8+1)</x:f>
        <x:v>11</x:v>
      </x:c>
      <x:c r="K8" s="61" t="n">
        <x:f>IF(OR(H8="",I8=""),"",NETWORKDAYS(H8,I8,'Sources &amp; Change Log'!$J$2:$J$5)-COUNTIFS('Team Calendar'!$A$5:$A$10,L8,'Team Calendar'!$C$5:$C$10,"&gt;="&amp;H8,'Team Calendar'!$C$5:$C$10,"&lt;="&amp;I8,'Team Calendar'!$F$5:$F$10,"Personal absence"))</x:f>
        <x:v>6</x:v>
      </x:c>
      <x:c r="L8" s="13" t="str">
        <x:v>이재환</x:v>
      </x:c>
      <x:c r="M8" s="13" t="str">
        <x:v>이권욱</x:v>
      </x:c>
      <x:c r="N8" s="13" t="str">
        <x:v>D04; D05</x:v>
      </x:c>
      <x:c r="O8" s="13" t="str">
        <x:v>RISK-04; RISK-07; RISK-09</x:v>
      </x:c>
      <x:c r="P8" s="13" t="str">
        <x:v>db01 10.1.93.55:5432 구축, Schema/Migration 적용, transaction-api 승인 Source 접속·저장·조회 및 접근차단 Evidence 확보</x:v>
      </x:c>
      <x:c r="Q8" s="13" t="str">
        <x:v>이재환 2026-09-04 개인 휴가로 당일 작업·단독 종료를 배치하지 않는다. 09-07 복귀 후 완료하여 Lead 가용 작업일 6일을 보존한다. PostgreSQL HA는 Scope Out.</x:v>
      </x:c>
      <x:c r="R8" s="13" t="str">
        <x:v>FDS_Project_Implementation_Baseline_v3.1.16; D36 Team Availability and Status Update</x:v>
      </x:c>
      <x:c r="S8" s="13" t="str">
        <x:f>IF(G8="Done","Complete",IF(OR(H8="",I8=""),"TBD",IF(I8&lt;'Executive Summary'!$B$4,"Past Due",IF(H8&lt;='Executive Summary'!$B$4,"Active Window","Planned"))))</x:f>
        <x:v>Active Window</x:v>
      </x:c>
    </x:row>
    <x:row r="9" ht="44" customHeight="1">
      <x:c r="A9" s="13" t="str">
        <x:v>P1-DNS-01</x:v>
      </x:c>
      <x:c r="B9" s="13" t="str">
        <x:v>BIND Primary / Secondary</x:v>
      </x:c>
      <x:c r="C9" s="13" t="str">
        <x:v>Phase 1</x:v>
      </x:c>
      <x:c r="D9" s="13" t="str">
        <x:v>DNS / Supporting Service</x:v>
      </x:c>
      <x:c r="E9" s="13" t="str">
        <x:v>Task</x:v>
      </x:c>
      <x:c r="F9" s="13" t="str">
        <x:v>P1</x:v>
      </x:c>
      <x:c r="G9" s="13" t="str">
        <x:v>Done</x:v>
      </x:c>
      <x:c r="H9" s="19" t="n">
        <x:v>46262</x:v>
      </x:c>
      <x:c r="I9" s="19" t="n">
        <x:v>46268</x:v>
      </x:c>
      <x:c r="J9" s="61" t="n">
        <x:f>IF(OR(H9="",I9=""),"",I9-H9+1)</x:f>
        <x:v>7</x:v>
      </x:c>
      <x:c r="K9" s="61" t="n">
        <x:f>IF(OR(H9="",I9=""),"",NETWORKDAYS(H9,I9,'Sources &amp; Change Log'!$J$2:$J$5)-COUNTIFS('Team Calendar'!$A$5:$A$10,L9,'Team Calendar'!$C$5:$C$10,"&gt;="&amp;H9,'Team Calendar'!$C$5:$C$10,"&lt;="&amp;I9,'Team Calendar'!$F$5:$F$10,"Personal absence"))</x:f>
        <x:v>5</x:v>
      </x:c>
      <x:c r="L9" s="13" t="str">
        <x:v>이권욱</x:v>
      </x:c>
      <x:c r="M9" s="13" t="str">
        <x:v>이하영</x:v>
      </x:c>
      <x:c r="N9" s="13" t="str">
        <x:v>D08; D09</x:v>
      </x:c>
      <x:c r="O9" s="13" t="str">
        <x:v>RISK-02; RISK-04; RISK-07</x:v>
      </x:c>
      <x:c r="P9" s="13" t="str">
        <x:v>dns01 .52/dns02 .53의 fds.internal Forward Zone, 제한 Query·Forward, TSIG 기반 Zone Transfer, Primary 장애 Resolution Test 및 Reverse/PTR N/A 기록</x:v>
      </x:c>
      <x:c r="Q9" s="13" t="str">
        <x:v>기술 검증·Support Review·.109 ACL/Resolver/Failover Delta 확인 완료. 2026-09-03 Done 승인.</x:v>
      </x:c>
      <x:c r="R9" s="13" t="str">
        <x:v>FDS_Project_Implementation_Baseline_v3.1.16; P1-DNS-01 approved Evidence; D36</x:v>
      </x:c>
      <x:c r="S9" s="13" t="str">
        <x:f>IF(G9="Done","Complete",IF(OR(H9="",I9=""),"TBD",IF(I9&lt;'Executive Summary'!$B$4,"Past Due",IF(H9&lt;='Executive Summary'!$B$4,"Active Window","Planned"))))</x:f>
        <x:v>Complete</x:v>
      </x:c>
    </x:row>
    <x:row r="10" ht="44" customHeight="1">
      <x:c r="A10" s="13" t="str">
        <x:v>P1-HBR-01</x:v>
      </x:c>
      <x:c r="B10" s="13" t="str">
        <x:v>Harbor / Trivy Registry</x:v>
      </x:c>
      <x:c r="C10" s="13" t="str">
        <x:v>Phase 1</x:v>
      </x:c>
      <x:c r="D10" s="13" t="str">
        <x:v>Registry / Supply Chain</x:v>
      </x:c>
      <x:c r="E10" s="13" t="str">
        <x:v>Task</x:v>
      </x:c>
      <x:c r="F10" s="13" t="str">
        <x:v>P0</x:v>
      </x:c>
      <x:c r="G10" s="13" t="str">
        <x:v>To Do</x:v>
      </x:c>
      <x:c r="H10" s="19" t="n">
        <x:v>46265</x:v>
      </x:c>
      <x:c r="I10" s="19" t="n">
        <x:v>46269</x:v>
      </x:c>
      <x:c r="J10" s="61" t="n">
        <x:f>IF(OR(H10="",I10=""),"",I10-H10+1)</x:f>
        <x:v>5</x:v>
      </x:c>
      <x:c r="K10" s="61" t="n">
        <x:f>IF(OR(H10="",I10=""),"",NETWORKDAYS(H10,I10,'Sources &amp; Change Log'!$J$2:$J$5)-COUNTIFS('Team Calendar'!$A$5:$A$10,L10,'Team Calendar'!$C$5:$C$10,"&gt;="&amp;H10,'Team Calendar'!$C$5:$C$10,"&lt;="&amp;I10,'Team Calendar'!$F$5:$F$10,"Personal absence"))</x:f>
        <x:v>5</x:v>
      </x:c>
      <x:c r="L10" s="13" t="str">
        <x:v>이하영</x:v>
      </x:c>
      <x:c r="M10" s="13" t="str">
        <x:v>이권욱</x:v>
      </x:c>
      <x:c r="N10" s="13" t="str">
        <x:v>D04; D05; D19</x:v>
      </x:c>
      <x:c r="O10" s="13" t="str">
        <x:v>RISK-02; RISK-06; RISK-08</x:v>
      </x:c>
      <x:c r="P10" s="13" t="str">
        <x:v>harbor01 10.1.93.54:443 구축, Project/User 권한, Runner Push·Worker Pull, Trivy Scan Gate와 Evidence 확보</x:v>
      </x:c>
      <x:c r="Q10" s="13" t="str">
        <x:v>이하영 08-28 휴가를 반영해 08-31 시작한다. TLS 결정 D19를 선행하고 Harbor HA/실제 Restore는 P1이다.</x:v>
      </x:c>
      <x:c r="R10" s="13" t="str">
        <x:v>FDS_Project_Implementation_Baseline_v3.1.12; FDS_Network_Baseline_v2.3; FDS_Phase1_Logical_Architecture_v3.1.2</x:v>
      </x:c>
      <x:c r="S10" s="13" t="str">
        <x:f>IF(G10="Done","Complete",IF(OR(H10="",I10=""),"TBD",IF(I10&lt;'Executive Summary'!$B$4,"Past Due",IF(H10&lt;='Executive Summary'!$B$4,"Active Window","Planned"))))</x:f>
        <x:v>Active Window</x:v>
      </x:c>
    </x:row>
    <x:row r="11" ht="44" customHeight="1">
      <x:c r="A11" s="13" t="str">
        <x:v>ICR-D-NET-01-01</x:v>
      </x:c>
      <x:c r="B11" s="13" t="str">
        <x:v>Kubernetes Node Host Firewall &amp; Monitoring Route</x:v>
      </x:c>
      <x:c r="C11" s="13" t="str">
        <x:v>Phase 1</x:v>
      </x:c>
      <x:c r="D11" s="13" t="str">
        <x:v>Network / Change Control</x:v>
      </x:c>
      <x:c r="E11" s="13" t="str">
        <x:v>Change Request</x:v>
      </x:c>
      <x:c r="F11" s="13" t="str">
        <x:v>P0</x:v>
      </x:c>
      <x:c r="G11" s="13" t="str">
        <x:v>In Progress</x:v>
      </x:c>
      <x:c r="H11" s="19" t="n">
        <x:v>46266</x:v>
      </x:c>
      <x:c r="I11" s="19"/>
      <x:c r="J11" s="61" t="str">
        <x:f>IF(OR(H11="",I11=""),"",I11-H11+1)</x:f>
      </x:c>
      <x:c r="K11" s="61" t="str">
        <x:f>IF(OR(H11="",I11=""),"",NETWORKDAYS(H11,I11,'Sources &amp; Change Log'!$J$2:$J$5)-COUNTIFS('Team Calendar'!$A$5:$A$10,L11,'Team Calendar'!$C$5:$C$10,"&gt;="&amp;H11,'Team Calendar'!$C$5:$C$10,"&lt;="&amp;I11,'Team Calendar'!$F$5:$F$10,"Personal absence"))</x:f>
      </x:c>
      <x:c r="L11" s="13" t="str">
        <x:v>이권욱</x:v>
      </x:c>
      <x:c r="M11" s="13" t="str">
        <x:v>이하영, 이재환</x:v>
      </x:c>
      <x:c r="N11" s="13" t="str">
        <x:v>D-NET-01 §15.2; P1-LB Stage A; P1-MON-01</x:v>
      </x:c>
      <x:c r="O11" s="13" t="str">
        <x:v>RISK-02; RISK-04; RISK-07</x:v>
      </x:c>
      <x:c r="P11" s="13" t="str">
        <x:v>Worker/Control Plane Host Firewall 대안과 Node Exporter 9100·kubelet 10250 최소 허용, Alertmanager/Prometheus↔monitor01 관리망 경로를 변경 통제로 구현·검증한다.</x:v>
      </x:c>
      <x:c r="Q11" s="13" t="str">
        <x:v>종료일은 Lead 승인 후 확정(TBD). mgmt-gw01 경유 Return Route와 9100/10250 최소 허용 Evidence가 필요.</x:v>
      </x:c>
      <x:c r="R11" s="13" t="str">
        <x:v>ICR-D-NET-01-01_Kubernetes_Node_Host_Firewall_및_Monitoring_Route_변경요청_v1.3; FDS_Project_Implementation_Baseline_v3.1.14</x:v>
      </x:c>
      <x:c r="S11" s="13" t="str">
        <x:f>IF(G11="Done","Complete",IF(OR(H11="",I11=""),"TBD",IF(I11&lt;'Executive Summary'!$B$4,"Past Due",IF(H11&lt;='Executive Summary'!$B$4,"Active Window","Planned"))))</x:f>
        <x:v>TBD</x:v>
      </x:c>
    </x:row>
    <x:row r="12" ht="44" customHeight="1">
      <x:c r="A12" s="13" t="str">
        <x:v>P1-APP-01</x:v>
      </x:c>
      <x:c r="B12" s="13" t="str">
        <x:v>transaction-api / fds-engine</x:v>
      </x:c>
      <x:c r="C12" s="13" t="str">
        <x:v>Phase 1</x:v>
      </x:c>
      <x:c r="D12" s="13" t="str">
        <x:v>Application / MSA</x:v>
      </x:c>
      <x:c r="E12" s="13" t="str">
        <x:v>Task</x:v>
      </x:c>
      <x:c r="F12" s="13" t="str">
        <x:v>P0</x:v>
      </x:c>
      <x:c r="G12" s="13" t="str">
        <x:v>In Progress</x:v>
      </x:c>
      <x:c r="H12" s="19" t="n">
        <x:v>46266</x:v>
      </x:c>
      <x:c r="I12" s="19" t="n">
        <x:v>46275</x:v>
      </x:c>
      <x:c r="J12" s="61" t="n">
        <x:f>IF(OR(H12="",I12=""),"",I12-H12+1)</x:f>
        <x:v>10</x:v>
      </x:c>
      <x:c r="K12" s="61" t="n">
        <x:f>IF(OR(H12="",I12=""),"",NETWORKDAYS(H12,I12,'Sources &amp; Change Log'!$J$2:$J$5)-COUNTIFS('Team Calendar'!$A$5:$A$10,L12,'Team Calendar'!$C$5:$C$10,"&gt;="&amp;H12,'Team Calendar'!$C$5:$C$10,"&lt;="&amp;I12,'Team Calendar'!$F$5:$F$10,"Personal absence"))</x:f>
        <x:v>7</x:v>
      </x:c>
      <x:c r="L12" s="13" t="str">
        <x:v>이재환</x:v>
      </x:c>
      <x:c r="M12" s="13" t="str">
        <x:v>이하영</x:v>
      </x:c>
      <x:c r="N12" s="13" t="str">
        <x:v>Service 80→8000, readiness /readyz, liveness /livez가 배포·호출·복구 시험에서 PASS하고 증적이 승인된다.</x:v>
      </x:c>
      <x:c r="O12" s="13" t="str">
        <x:v>RISK-07; RISK-09</x:v>
      </x:c>
      <x:c r="P12" s="13" t="str">
        <x:v>transaction-api Service 80→8000과 /readyz·/livez Probe를 구현하고 P1-LB-01·P1-SEC-01의 Entry/Policy 검증 입력으로 제공한다.</x:v>
      </x:c>
      <x:c r="Q12" s="13" t="str">
        <x:v>이재환 09-04 개인 휴가를 owner-specific 비가용일로 반영해 종료를 09-10으로 조정한다. 이하영이 기술 지원하며 G2 09-11 목표는 유지한다.</x:v>
      </x:c>
      <x:c r="R12" s="13" t="str">
        <x:v>FDS_Project_Implementation_Baseline_v3.1.16; D36 Team Availability and Status Update</x:v>
      </x:c>
      <x:c r="S12" s="13" t="str">
        <x:f>IF(G12="Done","Complete",IF(OR(H12="",I12=""),"TBD",IF(I12&lt;'Executive Summary'!$B$4,"Past Due",IF(H12&lt;='Executive Summary'!$B$4,"Active Window","Planned"))))</x:f>
        <x:v>Active Window</x:v>
      </x:c>
    </x:row>
    <x:row r="13" ht="44" customHeight="1">
      <x:c r="A13" s="13" t="str">
        <x:v>P1-CICD-01</x:v>
      </x:c>
      <x:c r="B13" s="13" t="str">
        <x:v>GitHub Actions / Self-hosted Runner Delivery</x:v>
      </x:c>
      <x:c r="C13" s="13" t="str">
        <x:v>Phase 1</x:v>
      </x:c>
      <x:c r="D13" s="13" t="str">
        <x:v>CI/CD / Supply Chain</x:v>
      </x:c>
      <x:c r="E13" s="13" t="str">
        <x:v>Task</x:v>
      </x:c>
      <x:c r="F13" s="13" t="str">
        <x:v>P0</x:v>
      </x:c>
      <x:c r="G13" s="13" t="str">
        <x:v>To Do</x:v>
      </x:c>
      <x:c r="H13" s="19" t="n">
        <x:v>46266</x:v>
      </x:c>
      <x:c r="I13" s="19" t="n">
        <x:v>46274</x:v>
      </x:c>
      <x:c r="J13" s="61" t="n">
        <x:f>IF(OR(H13="",I13=""),"",I13-H13+1)</x:f>
        <x:v>9</x:v>
      </x:c>
      <x:c r="K13" s="61" t="n">
        <x:f>IF(OR(H13="",I13=""),"",NETWORKDAYS(H13,I13,'Sources &amp; Change Log'!$J$2:$J$5)-COUNTIFS('Team Calendar'!$A$5:$A$10,L13,'Team Calendar'!$C$5:$C$10,"&gt;="&amp;H13,'Team Calendar'!$C$5:$C$10,"&lt;="&amp;I13,'Team Calendar'!$F$5:$F$10,"Personal absence"))</x:f>
        <x:v>7</x:v>
      </x:c>
      <x:c r="L13" s="13" t="str">
        <x:v>이권욱</x:v>
      </x:c>
      <x:c r="M13" s="13" t="str">
        <x:v>이하영</x:v>
      </x:c>
      <x:c r="N13" s="13" t="str">
        <x:v>D03; D04; D19</x:v>
      </x:c>
      <x:c r="O13" s="13" t="str">
        <x:v>RISK-06; RISK-08</x:v>
      </x:c>
      <x:c r="P13" s="13" t="str">
        <x:v>GitHub→Runner→Test→Build→Trivy→Harbor→Kubernetes Deploy→Health/E2E 흐름과 실패 시 Deploy 차단 Evidence 확보</x:v>
      </x:c>
      <x:c r="Q13" s="13" t="str">
        <x:v>G1에는 Runner 연결·Harbor Push/Pull까지만 중간검증하고, 전체 Delivery Gate는 G2 전 09-09 완료한다.</x:v>
      </x:c>
      <x:c r="R13" s="13" t="str">
        <x:v>FDS_Project_Implementation_Baseline_v3.1.12; FDS_Network_Baseline_v2.3; FDS_Phase1_Logical_Architecture_v3.1.2</x:v>
      </x:c>
      <x:c r="S13" s="13" t="str">
        <x:f>IF(G13="Done","Complete",IF(OR(H13="",I13=""),"TBD",IF(I13&lt;'Executive Summary'!$B$4,"Past Due",IF(H13&lt;='Executive Summary'!$B$4,"Active Window","Planned"))))</x:f>
        <x:v>Active Window</x:v>
      </x:c>
    </x:row>
    <x:row r="14" ht="44" customHeight="1">
      <x:c r="A14" s="13" t="str">
        <x:v>P1-MON-01</x:v>
      </x:c>
      <x:c r="B14" s="13" t="str">
        <x:v>Prometheus / Node / App Metrics</x:v>
      </x:c>
      <x:c r="C14" s="13" t="str">
        <x:v>Phase 1</x:v>
      </x:c>
      <x:c r="D14" s="13" t="str">
        <x:v>Monitoring / Observability</x:v>
      </x:c>
      <x:c r="E14" s="13" t="str">
        <x:v>Task</x:v>
      </x:c>
      <x:c r="F14" s="13" t="str">
        <x:v>P0</x:v>
      </x:c>
      <x:c r="G14" s="13" t="str">
        <x:v>In Progress</x:v>
      </x:c>
      <x:c r="H14" s="19" t="n">
        <x:v>46272</x:v>
      </x:c>
      <x:c r="I14" s="19" t="n">
        <x:v>46276</x:v>
      </x:c>
      <x:c r="J14" s="61" t="n">
        <x:f>IF(OR(H14="",I14=""),"",I14-H14+1)</x:f>
        <x:v>5</x:v>
      </x:c>
      <x:c r="K14" s="61" t="n">
        <x:f>IF(OR(H14="",I14=""),"",NETWORKDAYS(H14,I14,'Sources &amp; Change Log'!$J$2:$J$5)-COUNTIFS('Team Calendar'!$A$5:$A$10,L14,'Team Calendar'!$C$5:$C$10,"&gt;="&amp;H14,'Team Calendar'!$C$5:$C$10,"&lt;="&amp;I14,'Team Calendar'!$F$5:$F$10,"Personal absence"))</x:f>
        <x:v>5</x:v>
      </x:c>
      <x:c r="L14" s="13" t="str">
        <x:v>이재환</x:v>
      </x:c>
      <x:c r="M14" s="13" t="str">
        <x:v>이권욱</x:v>
      </x:c>
      <x:c r="N14" s="13" t="str">
        <x:v>D05; D14</x:v>
      </x:c>
      <x:c r="O14" s="13" t="str">
        <x:v>RISK-04; RISK-07</x:v>
      </x:c>
      <x:c r="P14" s="13" t="str">
        <x:v>monitor01 Prometheus가 Node 9100/Kubelet 10250/App 8000/8001을 수집하고 거래·FDS·오류·상태 지표 조회 Evidence 확보</x:v>
      </x:c>
      <x:c r="Q14" s="13" t="str">
        <x:v>이재환 09-04 개인 휴가로 실행 착수를 09-07로 이동한다. 사전 Metrics/Target 설계는 유지하고, 이권욱 지원 아래 K8S/APP 준비 후 통합한다. G2 09-11 목표 유지.</x:v>
      </x:c>
      <x:c r="R14" s="13" t="str">
        <x:v>FDS_Project_Implementation_Baseline_v3.1.16; D36 Team Availability and Status Update</x:v>
      </x:c>
      <x:c r="S14" s="13" t="str">
        <x:f>IF(G14="Done","Complete",IF(OR(H14="",I14=""),"TBD",IF(I14&lt;'Executive Summary'!$B$4,"Past Due",IF(H14&lt;='Executive Summary'!$B$4,"Active Window","Planned"))))</x:f>
        <x:v>Planned</x:v>
      </x:c>
    </x:row>
    <x:row r="15" ht="44" customHeight="1">
      <x:c r="A15" s="13" t="str">
        <x:v>MS-G1-01</x:v>
      </x:c>
      <x:c r="B15" s="13" t="str">
        <x:v>G1 Infrastructure Ready</x:v>
      </x:c>
      <x:c r="C15" s="13" t="str">
        <x:v>Phase 1</x:v>
      </x:c>
      <x:c r="D15" s="13" t="str">
        <x:v>Milestone / Infrastructure</x:v>
      </x:c>
      <x:c r="E15" s="13" t="str">
        <x:v>Milestone</x:v>
      </x:c>
      <x:c r="F15" s="13" t="str">
        <x:v>P0</x:v>
      </x:c>
      <x:c r="G15" s="13" t="str">
        <x:v>To Do</x:v>
      </x:c>
      <x:c r="H15" s="19" t="n">
        <x:v>46272</x:v>
      </x:c>
      <x:c r="I15" s="19" t="n">
        <x:v>46272</x:v>
      </x:c>
      <x:c r="J15" s="61" t="n">
        <x:f>IF(OR(H15="",I15=""),"",I15-H15+1)</x:f>
        <x:v>1</x:v>
      </x:c>
      <x:c r="K15" s="61" t="n">
        <x:f>IF(OR(H15="",I15=""),"",NETWORKDAYS(H15,I15,'Sources &amp; Change Log'!$J$2:$J$5)-COUNTIFS('Team Calendar'!$A$5:$A$10,L15,'Team Calendar'!$C$5:$C$10,"&gt;="&amp;H15,'Team Calendar'!$C$5:$C$10,"&lt;="&amp;I15,'Team Calendar'!$F$5:$F$10,"Personal absence"))</x:f>
        <x:v>1</x:v>
      </x:c>
      <x:c r="L15" s="13" t="str">
        <x:v>이권욱</x:v>
      </x:c>
      <x:c r="M15" s="13" t="str">
        <x:v>이하영, 이재환</x:v>
      </x:c>
      <x:c r="N15" s="13" t="str">
        <x:v>D19; D25; D27</x:v>
      </x:c>
      <x:c r="O15" s="13" t="str">
        <x:v>RISK-02; RISK-03; RISK-04; RISK-06; RISK-07; RISK-08</x:v>
      </x:c>
      <x:c r="P15" s="13" t="str">
        <x:v>CentOS/containerd, Ansible Inventory/SSH/멱등성, 3CP+3Worker, API LB/Calico, Harbor/Runner/PostgreSQL, Node Connectivity와 Push/Pull 준비도 승인</x:v>
      </x:c>
      <x:c r="Q15" s="13" t="str">
        <x:v>이재환 09-04 개인 휴가와 P1-DB-01 완료일 조정에 연동해 G1을 09-07로 이동한다. P1-DNS-01 Done, P1-LB-01 Stage A PASS를 반영하며 G2/G3/Phase 1 Close는 유지한다.</x:v>
      </x:c>
      <x:c r="R15" s="13" t="str">
        <x:v>FDS_Project_Implementation_Baseline_v3.1.16; D36 Team Availability and Status Update</x:v>
      </x:c>
      <x:c r="S15" s="13" t="str">
        <x:f>IF(G15="Done","Complete",IF(OR(H15="",I15=""),"TBD",IF(I15&lt;'Executive Summary'!$B$4,"Past Due",IF(H15&lt;='Executive Summary'!$B$4,"Active Window","Planned"))))</x:f>
        <x:v>Planned</x:v>
      </x:c>
    </x:row>
    <x:row r="16" ht="44" customHeight="1">
      <x:c r="A16" s="13" t="str">
        <x:v>P1-SEC-01</x:v>
      </x:c>
      <x:c r="B16" s="13" t="str">
        <x:v>Kubernetes Security Controls</x:v>
      </x:c>
      <x:c r="C16" s="13" t="str">
        <x:v>Phase 1</x:v>
      </x:c>
      <x:c r="D16" s="13" t="str">
        <x:v>Security / Kubernetes</x:v>
      </x:c>
      <x:c r="E16" s="13" t="str">
        <x:v>Task</x:v>
      </x:c>
      <x:c r="F16" s="13" t="str">
        <x:v>P0</x:v>
      </x:c>
      <x:c r="G16" s="13" t="str">
        <x:v>To Do</x:v>
      </x:c>
      <x:c r="H16" s="19" t="n">
        <x:v>46269</x:v>
      </x:c>
      <x:c r="I16" s="19" t="n">
        <x:v>46276</x:v>
      </x:c>
      <x:c r="J16" s="61" t="n">
        <x:f>IF(OR(H16="",I16=""),"",I16-H16+1)</x:f>
        <x:v>8</x:v>
      </x:c>
      <x:c r="K16" s="61" t="n">
        <x:f>IF(OR(H16="",I16=""),"",NETWORKDAYS(H16,I16,'Sources &amp; Change Log'!$J$2:$J$5)-COUNTIFS('Team Calendar'!$A$5:$A$10,L16,'Team Calendar'!$C$5:$C$10,"&gt;="&amp;H16,'Team Calendar'!$C$5:$C$10,"&lt;="&amp;I16,'Team Calendar'!$F$5:$F$10,"Personal absence"))</x:f>
        <x:v>6</x:v>
      </x:c>
      <x:c r="L16" s="13" t="str">
        <x:v>이하영</x:v>
      </x:c>
      <x:c r="M16" s="13" t="str">
        <x:v>이권욱, 이재환</x:v>
      </x:c>
      <x:c r="N16" s="13" t="str">
        <x:v>Restricted SecurityContext와 PSA가 실제 클러스터에서 동작하고, .50/32→30080 Positive 및 비허용 Source→30080 Negative Test가 PASS한다.</x:v>
      </x:c>
      <x:c r="O16" s="13" t="str">
        <x:v>RISK-06; RISK-07</x:v>
      </x:c>
      <x:c r="P16" s="13" t="str">
        <x:v>HO-ANS-02B SecurityContext/PSA Restricted live-cluster 호환성과 HO-ANS-04C edge01 .50/32→Worker NodePort 30080 허용·기타 Source 차단을 검증한다.</x:v>
      </x:c>
      <x:c r="Q16" s="13" t="str">
        <x:v>09-04 이재환 지원 부재는 이권욱이 커버한다. Lead 이하영 일정은 유지하며 D34/D35 및 P1-K8S-01 Gate 결과를 반영한다.</x:v>
      </x:c>
      <x:c r="R16" s="13" t="str">
        <x:v>FDS_Project_Implementation_Baseline_v3.1.16; D34; D35; D36</x:v>
      </x:c>
      <x:c r="S16" s="13" t="str">
        <x:f>IF(G16="Done","Complete",IF(OR(H16="",I16=""),"TBD",IF(I16&lt;'Executive Summary'!$B$4,"Past Due",IF(H16&lt;='Executive Summary'!$B$4,"Active Window","Planned"))))</x:f>
        <x:v>Planned</x:v>
      </x:c>
    </x:row>
    <x:row r="17" ht="44" customHeight="1">
      <x:c r="A17" s="13" t="str">
        <x:v>P1-E2E-01</x:v>
      </x:c>
      <x:c r="B17" s="13" t="str">
        <x:v>Initial / Final E2E &amp; Regression</x:v>
      </x:c>
      <x:c r="C17" s="13" t="str">
        <x:v>Phase 1</x:v>
      </x:c>
      <x:c r="D17" s="13" t="str">
        <x:v>QA / Integration Test</x:v>
      </x:c>
      <x:c r="E17" s="13" t="str">
        <x:v>Task</x:v>
      </x:c>
      <x:c r="F17" s="13" t="str">
        <x:v>P0</x:v>
      </x:c>
      <x:c r="G17" s="13" t="str">
        <x:v>To Do</x:v>
      </x:c>
      <x:c r="H17" s="19" t="n">
        <x:v>46274</x:v>
      </x:c>
      <x:c r="I17" s="19" t="n">
        <x:v>46283</x:v>
      </x:c>
      <x:c r="J17" s="61" t="n">
        <x:f>IF(OR(H17="",I17=""),"",I17-H17+1)</x:f>
        <x:v>10</x:v>
      </x:c>
      <x:c r="K17" s="61" t="n">
        <x:f>IF(OR(H17="",I17=""),"",NETWORKDAYS(H17,I17,'Sources &amp; Change Log'!$J$2:$J$5)-COUNTIFS('Team Calendar'!$A$5:$A$10,L17,'Team Calendar'!$C$5:$C$10,"&gt;="&amp;H17,'Team Calendar'!$C$5:$C$10,"&lt;="&amp;I17,'Team Calendar'!$F$5:$F$10,"Personal absence"))</x:f>
        <x:v>4</x:v>
      </x:c>
      <x:c r="L17" s="13" t="str">
        <x:v>이재환</x:v>
      </x:c>
      <x:c r="M17" s="13" t="str">
        <x:v>이권욱, 이하영</x:v>
      </x:c>
      <x:c r="N17" s="13" t="str">
        <x:v>D03; D05; D17; D18</x:v>
      </x:c>
      <x:c r="O17" s="13" t="str">
        <x:v>RISK-05; RISK-07; RISK-09</x:v>
      </x:c>
      <x:c r="P17" s="13" t="str">
        <x:v>Client→edge→transaction-api→fds-engine→PostgreSQL→Prometheus E2E, Rule·Negative·Regression PASS, Critical Issue 0 및 Evidence 승인</x:v>
      </x:c>
      <x:c r="Q17" s="13" t="str">
        <x:v>이재환 09-14~09-17 부재 중 지원자가 Evidence 정리와 결함 추적을 수행하고, 최종 판정은 09-18 복귀 후 완료한다.</x:v>
      </x:c>
      <x:c r="R17" s="13" t="str">
        <x:v>FDS_Project_Implementation_Baseline_v3.1.12; FDS_Network_Baseline_v2.3; FDS_Phase1_Logical_Architecture_v3.1.2</x:v>
      </x:c>
      <x:c r="S17" s="13" t="str">
        <x:f>IF(G17="Done","Complete",IF(OR(H17="",I17=""),"TBD",IF(I17&lt;'Executive Summary'!$B$4,"Past Due",IF(H17&lt;='Executive Summary'!$B$4,"Active Window","Planned"))))</x:f>
        <x:v>Planned</x:v>
      </x:c>
    </x:row>
    <x:row r="18" ht="44" customHeight="1">
      <x:c r="A18" s="13" t="str">
        <x:v>P1-DR-01</x:v>
      </x:c>
      <x:c r="B18" s="13" t="str">
        <x:v>PostgreSQL Backup / Restore</x:v>
      </x:c>
      <x:c r="C18" s="13" t="str">
        <x:v>Phase 1</x:v>
      </x:c>
      <x:c r="D18" s="13" t="str">
        <x:v>DR / Data Recovery</x:v>
      </x:c>
      <x:c r="E18" s="13" t="str">
        <x:v>Task</x:v>
      </x:c>
      <x:c r="F18" s="13" t="str">
        <x:v>P0</x:v>
      </x:c>
      <x:c r="G18" s="13" t="str">
        <x:v>To Do</x:v>
      </x:c>
      <x:c r="H18" s="19" t="n">
        <x:v>46275</x:v>
      </x:c>
      <x:c r="I18" s="19" t="n">
        <x:v>46278</x:v>
      </x:c>
      <x:c r="J18" s="61" t="n">
        <x:f>IF(OR(H18="",I18=""),"",I18-H18+1)</x:f>
        <x:v>4</x:v>
      </x:c>
      <x:c r="K18" s="61" t="n">
        <x:f>IF(OR(H18="",I18=""),"",NETWORKDAYS(H18,I18,'Sources &amp; Change Log'!$J$2:$J$5)-COUNTIFS('Team Calendar'!$A$5:$A$10,L18,'Team Calendar'!$C$5:$C$10,"&gt;="&amp;H18,'Team Calendar'!$C$5:$C$10,"&lt;="&amp;I18,'Team Calendar'!$F$5:$F$10,"Personal absence"))</x:f>
        <x:v>2</x:v>
      </x:c>
      <x:c r="L18" s="13" t="str">
        <x:v>이재환</x:v>
      </x:c>
      <x:c r="M18" s="13" t="str">
        <x:v>이권욱</x:v>
      </x:c>
      <x:c r="N18" s="13" t="str">
        <x:v>D04</x:v>
      </x:c>
      <x:c r="O18" s="13" t="str">
        <x:v>RISK-05; RISK-09</x:v>
      </x:c>
      <x:c r="P18" s="13" t="str">
        <x:v>pg_dump Backup, 승인된 초기화/격리 환경 Restore, Row/Rule 결과 정합성 및 Restore 후 Final E2E PASS와 Runbook 확보</x:v>
      </x:c>
      <x:c r="Q18" s="13" t="str">
        <x:v>Harbor Restore와 etcd Snapshot/Restore는 P1이다. 운영 데이터 삭제 없이 별도 Restore DB 또는 승인 절차를 사용한다.</x:v>
      </x:c>
      <x:c r="R18" s="13" t="str">
        <x:v>FDS_Project_Implementation_Baseline_v3.1.12; FDS_Network_Baseline_v2.3; FDS_Phase1_Logical_Architecture_v3.1.2</x:v>
      </x:c>
      <x:c r="S18" s="13" t="str">
        <x:f>IF(G18="Done","Complete",IF(OR(H18="",I18=""),"TBD",IF(I18&lt;'Executive Summary'!$B$4,"Past Due",IF(H18&lt;='Executive Summary'!$B$4,"Active Window","Planned"))))</x:f>
        <x:v>Planned</x:v>
      </x:c>
    </x:row>
    <x:row r="19" ht="44" customHeight="1">
      <x:c r="A19" s="13" t="str">
        <x:v>P1-HA-01</x:v>
      </x:c>
      <x:c r="B19" s="13" t="str">
        <x:v>Worker Drain Continuity</x:v>
      </x:c>
      <x:c r="C19" s="13" t="str">
        <x:v>Phase 1</x:v>
      </x:c>
      <x:c r="D19" s="13" t="str">
        <x:v>HA / Resilience</x:v>
      </x:c>
      <x:c r="E19" s="13" t="str">
        <x:v>Task</x:v>
      </x:c>
      <x:c r="F19" s="13" t="str">
        <x:v>P0</x:v>
      </x:c>
      <x:c r="G19" s="13" t="str">
        <x:v>To Do</x:v>
      </x:c>
      <x:c r="H19" s="19" t="n">
        <x:v>46275</x:v>
      </x:c>
      <x:c r="I19" s="19" t="n">
        <x:v>46278</x:v>
      </x:c>
      <x:c r="J19" s="61" t="n">
        <x:f>IF(OR(H19="",I19=""),"",I19-H19+1)</x:f>
        <x:v>4</x:v>
      </x:c>
      <x:c r="K19" s="61" t="n">
        <x:f>IF(OR(H19="",I19=""),"",NETWORKDAYS(H19,I19,'Sources &amp; Change Log'!$J$2:$J$5)-COUNTIFS('Team Calendar'!$A$5:$A$10,L19,'Team Calendar'!$C$5:$C$10,"&gt;="&amp;H19,'Team Calendar'!$C$5:$C$10,"&lt;="&amp;I19,'Team Calendar'!$F$5:$F$10,"Personal absence"))</x:f>
        <x:v>2</x:v>
      </x:c>
      <x:c r="L19" s="13" t="str">
        <x:v>이재환</x:v>
      </x:c>
      <x:c r="M19" s="13" t="str">
        <x:v>이하영</x:v>
      </x:c>
      <x:c r="N19" s="13" t="str">
        <x:v>D02; D03</x:v>
      </x:c>
      <x:c r="O19" s="13" t="str">
        <x:v>RISK-03; RISK-05; RISK-07</x:v>
      </x:c>
      <x:c r="P19" s="13" t="str">
        <x:v>FDS Replica 3개 Worker 분산, Worker Drain 중 승인된 서비스 지속 기준 충족, 복구·Uncordon 및 E2E Evidence 확보</x:v>
      </x:c>
      <x:c r="Q19" s="13" t="str">
        <x:v>Control Plane 장애와 Rolling Update는 P1이다. 본 P0는 Worker 1대 Drain 시 서비스 지속만 검증한다.</x:v>
      </x:c>
      <x:c r="R19" s="13" t="str">
        <x:v>FDS_Project_Implementation_Baseline_v3.1.12; FDS_Network_Baseline_v2.3; FDS_Phase1_Logical_Architecture_v3.1.2</x:v>
      </x:c>
      <x:c r="S19" s="13" t="str">
        <x:f>IF(G19="Done","Complete",IF(OR(H19="",I19=""),"TBD",IF(I19&lt;'Executive Summary'!$B$4,"Past Due",IF(H19&lt;='Executive Summary'!$B$4,"Active Window","Planned"))))</x:f>
        <x:v>Planned</x:v>
      </x:c>
    </x:row>
    <x:row r="20" ht="44" customHeight="1">
      <x:c r="A20" s="13" t="str">
        <x:v>MS-G2-01</x:v>
      </x:c>
      <x:c r="B20" s="13" t="str">
        <x:v>G2 Security / Feature Ready</x:v>
      </x:c>
      <x:c r="C20" s="13" t="str">
        <x:v>Phase 1</x:v>
      </x:c>
      <x:c r="D20" s="13" t="str">
        <x:v>Milestone / Security &amp; Feature</x:v>
      </x:c>
      <x:c r="E20" s="13" t="str">
        <x:v>Milestone</x:v>
      </x:c>
      <x:c r="F20" s="13" t="str">
        <x:v>P0</x:v>
      </x:c>
      <x:c r="G20" s="13" t="str">
        <x:v>To Do</x:v>
      </x:c>
      <x:c r="H20" s="19" t="n">
        <x:v>46276</x:v>
      </x:c>
      <x:c r="I20" s="19" t="n">
        <x:v>46276</x:v>
      </x:c>
      <x:c r="J20" s="61" t="n">
        <x:f>IF(OR(H20="",I20=""),"",I20-H20+1)</x:f>
        <x:v>1</x:v>
      </x:c>
      <x:c r="K20" s="61" t="n">
        <x:f>IF(OR(H20="",I20=""),"",NETWORKDAYS(H20,I20,'Sources &amp; Change Log'!$J$2:$J$5)-COUNTIFS('Team Calendar'!$A$5:$A$10,L20,'Team Calendar'!$C$5:$C$10,"&gt;="&amp;H20,'Team Calendar'!$C$5:$C$10,"&lt;="&amp;I20,'Team Calendar'!$F$5:$F$10,"Personal absence"))</x:f>
        <x:v>1</x:v>
      </x:c>
      <x:c r="L20" s="13" t="str">
        <x:v>이하영</x:v>
      </x:c>
      <x:c r="M20" s="13" t="str">
        <x:v>이권욱, 이재환</x:v>
      </x:c>
      <x:c r="N20" s="13" t="str">
        <x:v>D17; D18; D19; D27</x:v>
      </x:c>
      <x:c r="O20" s="13" t="str">
        <x:v>RISK-05; RISK-06; RISK-07; RISK-08; RISK-09</x:v>
      </x:c>
      <x:c r="P20" s="13" t="str">
        <x:v>2-Service MSA, DB 저장, Security P0, CI/CD, Monitoring, Initial E2E/Negative Test/Worker Drain 준비도를 승인</x:v>
      </x:c>
      <x:c r="Q20" s="13" t="str">
        <x:v>D-SEC-01/D17과 DEC-P1-ENTRY-01/D18을 G2 선행조건으로 판정한다. Scope·Approver·Exit Criteria 승인과 External Exposure 결정을 P1-SEC-01 및 P1-APP-01 Evidence에 연결한다.</x:v>
      </x:c>
      <x:c r="R20" s="13" t="str">
        <x:v>FDS_Project_Implementation_Baseline_v3.1.12; FDS_Network_Baseline_v2.3; FDS_Phase1_Logical_Architecture_v3.1.2</x:v>
      </x:c>
      <x:c r="S20" s="13" t="str">
        <x:f>IF(G20="Done","Complete",IF(OR(H20="",I20=""),"TBD",IF(I20&lt;'Executive Summary'!$B$4,"Past Due",IF(H20&lt;='Executive Summary'!$B$4,"Active Window","Planned"))))</x:f>
        <x:v>Planned</x:v>
      </x:c>
    </x:row>
    <x:row r="21" ht="44" customHeight="1">
      <x:c r="A21" s="13" t="str">
        <x:v>P1-DOC-01</x:v>
      </x:c>
      <x:c r="B21" s="13" t="str">
        <x:v>Architecture / Test / Runbook Freeze</x:v>
      </x:c>
      <x:c r="C21" s="13" t="str">
        <x:v>Phase 1</x:v>
      </x:c>
      <x:c r="D21" s="13" t="str">
        <x:v>PMO / Documentation</x:v>
      </x:c>
      <x:c r="E21" s="13" t="str">
        <x:v>Task</x:v>
      </x:c>
      <x:c r="F21" s="13" t="str">
        <x:v>P0</x:v>
      </x:c>
      <x:c r="G21" s="13" t="str">
        <x:v>To Do</x:v>
      </x:c>
      <x:c r="H21" s="19" t="n">
        <x:v>46277</x:v>
      </x:c>
      <x:c r="I21" s="19" t="n">
        <x:v>46283</x:v>
      </x:c>
      <x:c r="J21" s="61" t="n">
        <x:f>IF(OR(H21="",I21=""),"",I21-H21+1)</x:f>
        <x:v>7</x:v>
      </x:c>
      <x:c r="K21" s="61" t="n">
        <x:f>IF(OR(H21="",I21=""),"",NETWORKDAYS(H21,I21,'Sources &amp; Change Log'!$J$2:$J$5)-COUNTIFS('Team Calendar'!$A$5:$A$10,L21,'Team Calendar'!$C$5:$C$10,"&gt;="&amp;H21,'Team Calendar'!$C$5:$C$10,"&lt;="&amp;I21,'Team Calendar'!$F$5:$F$10,"Personal absence"))</x:f>
        <x:v>5</x:v>
      </x:c>
      <x:c r="L21" s="13" t="str">
        <x:v>이권욱</x:v>
      </x:c>
      <x:c r="M21" s="13" t="str">
        <x:v>이하영, 이재환</x:v>
      </x:c>
      <x:c r="N21" s="13" t="str">
        <x:v>D12; D20; D25</x:v>
      </x:c>
      <x:c r="O21" s="13" t="str">
        <x:v>RISK-05; RISK-13</x:v>
      </x:c>
      <x:c r="P21" s="13" t="str">
        <x:v>As-built Architecture, Test/Evidence Index, 구축·운영·복구 Runbook, P1 미완료 Known Issue의 풀네임 Owner·Due, Version/Source 및 Review 재현성 승인</x:v>
      </x:c>
      <x:c r="Q21" s="13" t="str">
        <x:v>이재환 부재 전 09-13까지 HA/DR Evidence 초안을 인계하고 09-18 최종 검토한다.</x:v>
      </x:c>
      <x:c r="R21" s="13" t="str">
        <x:v>FDS_Project_Implementation_Baseline_v3.1.12; FDS_Network_Baseline_v2.3; FDS_Phase1_Logical_Architecture_v3.1.2</x:v>
      </x:c>
      <x:c r="S21" s="13" t="str">
        <x:f>IF(G21="Done","Complete",IF(OR(H21="",I21=""),"TBD",IF(I21&lt;'Executive Summary'!$B$4,"Past Due",IF(H21&lt;='Executive Summary'!$B$4,"Active Window","Planned"))))</x:f>
        <x:v>Planned</x:v>
      </x:c>
    </x:row>
    <x:row r="22" ht="44" customHeight="1">
      <x:c r="A22" s="13" t="str">
        <x:v>P1-MON-02</x:v>
      </x:c>
      <x:c r="B22" s="13" t="str">
        <x:v>Dashboard / Alert Enhancement</x:v>
      </x:c>
      <x:c r="C22" s="13" t="str">
        <x:v>Phase 1</x:v>
      </x:c>
      <x:c r="D22" s="13" t="str">
        <x:v>Monitoring / Observability</x:v>
      </x:c>
      <x:c r="E22" s="13" t="str">
        <x:v>Task</x:v>
      </x:c>
      <x:c r="F22" s="13" t="str">
        <x:v>P1</x:v>
      </x:c>
      <x:c r="G22" s="13" t="str">
        <x:v>To Do</x:v>
      </x:c>
      <x:c r="H22" s="19" t="n">
        <x:v>46277</x:v>
      </x:c>
      <x:c r="I22" s="19" t="n">
        <x:v>46283</x:v>
      </x:c>
      <x:c r="J22" s="61" t="n">
        <x:f>IF(OR(H22="",I22=""),"",I22-H22+1)</x:f>
        <x:v>7</x:v>
      </x:c>
      <x:c r="K22" s="61" t="n">
        <x:f>IF(OR(H22="",I22=""),"",NETWORKDAYS(H22,I22,'Sources &amp; Change Log'!$J$2:$J$5)-COUNTIFS('Team Calendar'!$A$5:$A$10,L22,'Team Calendar'!$C$5:$C$10,"&gt;="&amp;H22,'Team Calendar'!$C$5:$C$10,"&lt;="&amp;I22,'Team Calendar'!$F$5:$F$10,"Personal absence"))</x:f>
        <x:v>1</x:v>
      </x:c>
      <x:c r="L22" s="13" t="str">
        <x:v>이재환</x:v>
      </x:c>
      <x:c r="M22" s="13" t="str">
        <x:v>이권욱, 이하영</x:v>
      </x:c>
      <x:c r="N22" s="13" t="str">
        <x:v>D25</x:v>
      </x:c>
      <x:c r="O22" s="13" t="str">
        <x:v>RISK-05; RISK-07; RISK-09; RISK-14</x:v>
      </x:c>
      <x:c r="P22" s="13" t="str">
        <x:v>거래·FDS·Node·Pod 상태 Dashboard와 최소 Alert Rule을 구성하고 정상·장애 시나리오 Evidence 확보</x:v>
      </x:c>
      <x:c r="Q22" s="13" t="str">
        <x:v>P1-MON-01의 Metric 수집 완료 후 수행한다. Grafana 또는 Prometheus UI 중 승인된 최소 구현을 사용하며 Loki/SIEM은 Scope Out이다.</x:v>
      </x:c>
      <x:c r="R22" s="13" t="str">
        <x:v>FDS_Project_Implementation_Baseline_v3.1.12; FDS_Network_Baseline_v2.3; FDS_Phase1_Logical_Architecture_v3.1.2</x:v>
      </x:c>
      <x:c r="S22" s="13" t="str">
        <x:f>IF(G22="Done","Complete",IF(OR(H22="",I22=""),"TBD",IF(I22&lt;'Executive Summary'!$B$4,"Past Due",IF(H22&lt;='Executive Summary'!$B$4,"Active Window","Planned"))))</x:f>
        <x:v>Planned</x:v>
      </x:c>
    </x:row>
    <x:row r="23" ht="44" customHeight="1">
      <x:c r="A23" s="13" t="str">
        <x:v>P1-DR-02</x:v>
      </x:c>
      <x:c r="B23" s="13" t="str">
        <x:v>Harbor / etcd Backup and Restore</x:v>
      </x:c>
      <x:c r="C23" s="13" t="str">
        <x:v>Phase 1</x:v>
      </x:c>
      <x:c r="D23" s="13" t="str">
        <x:v>DR / Platform Recovery</x:v>
      </x:c>
      <x:c r="E23" s="13" t="str">
        <x:v>Task</x:v>
      </x:c>
      <x:c r="F23" s="13" t="str">
        <x:v>P1</x:v>
      </x:c>
      <x:c r="G23" s="13" t="str">
        <x:v>To Do</x:v>
      </x:c>
      <x:c r="H23" s="19" t="n">
        <x:v>46279</x:v>
      </x:c>
      <x:c r="I23" s="19" t="n">
        <x:v>46283</x:v>
      </x:c>
      <x:c r="J23" s="61" t="n">
        <x:f>IF(OR(H23="",I23=""),"",I23-H23+1)</x:f>
        <x:v>5</x:v>
      </x:c>
      <x:c r="K23" s="61" t="n">
        <x:f>IF(OR(H23="",I23=""),"",NETWORKDAYS(H23,I23,'Sources &amp; Change Log'!$J$2:$J$5)-COUNTIFS('Team Calendar'!$A$5:$A$10,L23,'Team Calendar'!$C$5:$C$10,"&gt;="&amp;H23,'Team Calendar'!$C$5:$C$10,"&lt;="&amp;I23,'Team Calendar'!$F$5:$F$10,"Personal absence"))</x:f>
        <x:v>5</x:v>
      </x:c>
      <x:c r="L23" s="13" t="str">
        <x:v>이하영</x:v>
      </x:c>
      <x:c r="M23" s="13" t="str">
        <x:v>이권욱, 이재환</x:v>
      </x:c>
      <x:c r="N23" s="13" t="str">
        <x:v>D04; D25</x:v>
      </x:c>
      <x:c r="O23" s="13" t="str">
        <x:v>RISK-05; RISK-06; RISK-08; RISK-14</x:v>
      </x:c>
      <x:c r="P23" s="13" t="str">
        <x:v>Harbor Backup/Restore와 etcd Snapshot/Restore를 격리 대상에서 수행하고 무결성·복구·Runbook Evidence 확보</x:v>
      </x:c>
      <x:c r="Q23" s="13" t="str">
        <x:v>기존 P1-DR-02와 기준선의 etcd Snapshot/Restore P1 범위를 통합한다. Harbor HA는 Scope Out이며 미완료 시 Known Issue로 이관한다.</x:v>
      </x:c>
      <x:c r="R23" s="13" t="str">
        <x:v>FDS_Project_Implementation_Baseline_v3.1.12; FDS_Network_Baseline_v2.3; FDS_Phase1_Logical_Architecture_v3.1.2</x:v>
      </x:c>
      <x:c r="S23" s="13" t="str">
        <x:f>IF(G23="Done","Complete",IF(OR(H23="",I23=""),"TBD",IF(I23&lt;'Executive Summary'!$B$4,"Past Due",IF(H23&lt;='Executive Summary'!$B$4,"Active Window","Planned"))))</x:f>
        <x:v>Planned</x:v>
      </x:c>
    </x:row>
    <x:row r="24" ht="44" customHeight="1">
      <x:c r="A24" s="13" t="str">
        <x:v>P1-HA-02</x:v>
      </x:c>
      <x:c r="B24" s="13" t="str">
        <x:v>Platform Resilience P1 Validation</x:v>
      </x:c>
      <x:c r="C24" s="13" t="str">
        <x:v>Phase 1</x:v>
      </x:c>
      <x:c r="D24" s="13" t="str">
        <x:v>HA / Platform Resilience</x:v>
      </x:c>
      <x:c r="E24" s="13" t="str">
        <x:v>Task</x:v>
      </x:c>
      <x:c r="F24" s="13" t="str">
        <x:v>P1</x:v>
      </x:c>
      <x:c r="G24" s="13" t="str">
        <x:v>To Do</x:v>
      </x:c>
      <x:c r="H24" s="19" t="n">
        <x:v>46279</x:v>
      </x:c>
      <x:c r="I24" s="19" t="n">
        <x:v>46283</x:v>
      </x:c>
      <x:c r="J24" s="61" t="n">
        <x:f>IF(OR(H24="",I24=""),"",I24-H24+1)</x:f>
        <x:v>5</x:v>
      </x:c>
      <x:c r="K24" s="61" t="n">
        <x:f>IF(OR(H24="",I24=""),"",NETWORKDAYS(H24,I24,'Sources &amp; Change Log'!$J$2:$J$5)-COUNTIFS('Team Calendar'!$A$5:$A$10,L24,'Team Calendar'!$C$5:$C$10,"&gt;="&amp;H24,'Team Calendar'!$C$5:$C$10,"&lt;="&amp;I24,'Team Calendar'!$F$5:$F$10,"Personal absence"))</x:f>
        <x:v>5</x:v>
      </x:c>
      <x:c r="L24" s="13" t="str">
        <x:v>이하영</x:v>
      </x:c>
      <x:c r="M24" s="13" t="str">
        <x:v>이권욱, 이재환</x:v>
      </x:c>
      <x:c r="N24" s="13" t="str">
        <x:v>D02; D25</x:v>
      </x:c>
      <x:c r="O24" s="13" t="str">
        <x:v>RISK-03; RISK-05; RISK-07; RISK-14</x:v>
      </x:c>
      <x:c r="P24" s="13" t="str">
        <x:v>Rolling Update, Control Plane 1대 장애, PDB 및 TopologySpreadConstraint 검증 결과와 복구 Evidence 확보</x:v>
      </x:c>
      <x:c r="Q24" s="13" t="str">
        <x:v>기존 P1-HA-02와 P1-HA-03 및 기준선의 PDB/TopologySpreadConstraint P1 범위를 통합한다. 미완료 시 Phase 1 Close의 Known Issue에 Owner 이하영과 Due를 기록한다.</x:v>
      </x:c>
      <x:c r="R24" s="13" t="str">
        <x:v>FDS_Project_Implementation_Baseline_v3.1.12; FDS_Network_Baseline_v2.3; FDS_Phase1_Logical_Architecture_v3.1.2</x:v>
      </x:c>
      <x:c r="S24" s="13" t="str">
        <x:f>IF(G24="Done","Complete",IF(OR(H24="",I24=""),"TBD",IF(I24&lt;'Executive Summary'!$B$4,"Past Due",IF(H24&lt;='Executive Summary'!$B$4,"Active Window","Planned"))))</x:f>
        <x:v>Planned</x:v>
      </x:c>
    </x:row>
    <x:row r="25" ht="44" customHeight="1">
      <x:c r="A25" s="13" t="str">
        <x:v>DEC-CAL-P1-01</x:v>
      </x:c>
      <x:c r="B25" s="13" t="str">
        <x:v>Phase 1 Weekend Review Decision</x:v>
      </x:c>
      <x:c r="C25" s="13" t="str">
        <x:v>Phase 1</x:v>
      </x:c>
      <x:c r="D25" s="13" t="str">
        <x:v>Schedule / Governance</x:v>
      </x:c>
      <x:c r="E25" s="13" t="str">
        <x:v>Decision</x:v>
      </x:c>
      <x:c r="F25" s="13" t="str">
        <x:v>P0</x:v>
      </x:c>
      <x:c r="G25" s="13" t="str">
        <x:v>To Do</x:v>
      </x:c>
      <x:c r="H25" s="19" t="n">
        <x:v>46282</x:v>
      </x:c>
      <x:c r="I25" s="19" t="n">
        <x:v>46283</x:v>
      </x:c>
      <x:c r="J25" s="61" t="n">
        <x:f>IF(OR(H25="",I25=""),"",I25-H25+1)</x:f>
        <x:v>2</x:v>
      </x:c>
      <x:c r="K25" s="61" t="n">
        <x:f>IF(OR(H25="",I25=""),"",NETWORKDAYS(H25,I25,'Sources &amp; Change Log'!$J$2:$J$5)-COUNTIFS('Team Calendar'!$A$5:$A$10,L25,'Team Calendar'!$C$5:$C$10,"&gt;="&amp;H25,'Team Calendar'!$C$5:$C$10,"&lt;="&amp;I25,'Team Calendar'!$F$5:$F$10,"Personal absence"))</x:f>
        <x:v>2</x:v>
      </x:c>
      <x:c r="L25" s="13" t="str">
        <x:v>이권욱</x:v>
      </x:c>
      <x:c r="M25" s="13" t="str">
        <x:v>이하영, 이재환</x:v>
      </x:c>
      <x:c r="N25" s="13" t="str">
        <x:v>D20</x:v>
      </x:c>
      <x:c r="O25" s="13" t="str">
        <x:v>RISK-05; RISK-13</x:v>
      </x:c>
      <x:c r="P25" s="13" t="str">
        <x:v>09-20 일요일 Review 유지 또는 영업일 재배치, 참석자·승인권자·시간·대체일을 확정하고 WBS/Calendar 동기화</x:v>
      </x:c>
      <x:c r="Q25" s="13" t="str">
        <x:v>09-20은 일요일이며 Working Days 0이다. 결정 전 해당 일정을 확정된 근무일로 간주하지 않는다.</x:v>
      </x:c>
      <x:c r="R25" s="13" t="str">
        <x:v>FDS_Project_Implementation_Baseline_v3.1.12; 2026 Calendar</x:v>
      </x:c>
      <x:c r="S25" s="13" t="str">
        <x:f>IF(G25="Done","Complete",IF(OR(H25="",I25=""),"TBD",IF(I25&lt;'Executive Summary'!$B$4,"Past Due",IF(H25&lt;='Executive Summary'!$B$4,"Active Window","Planned"))))</x:f>
        <x:v>Planned</x:v>
      </x:c>
    </x:row>
    <x:row r="26" ht="44" customHeight="1">
      <x:c r="A26" s="13" t="str">
        <x:v>MS-G3-01</x:v>
      </x:c>
      <x:c r="B26" s="13" t="str">
        <x:v>G3 Review Ready</x:v>
      </x:c>
      <x:c r="C26" s="13" t="str">
        <x:v>Phase 1</x:v>
      </x:c>
      <x:c r="D26" s="13" t="str">
        <x:v>Milestone / Review Readiness</x:v>
      </x:c>
      <x:c r="E26" s="13" t="str">
        <x:v>Milestone</x:v>
      </x:c>
      <x:c r="F26" s="13" t="str">
        <x:v>P0</x:v>
      </x:c>
      <x:c r="G26" s="13" t="str">
        <x:v>To Do</x:v>
      </x:c>
      <x:c r="H26" s="19" t="n">
        <x:v>46283</x:v>
      </x:c>
      <x:c r="I26" s="19" t="n">
        <x:v>46283</x:v>
      </x:c>
      <x:c r="J26" s="61" t="n">
        <x:f>IF(OR(H26="",I26=""),"",I26-H26+1)</x:f>
        <x:v>1</x:v>
      </x:c>
      <x:c r="K26" s="61" t="n">
        <x:f>IF(OR(H26="",I26=""),"",NETWORKDAYS(H26,I26,'Sources &amp; Change Log'!$J$2:$J$5)-COUNTIFS('Team Calendar'!$A$5:$A$10,L26,'Team Calendar'!$C$5:$C$10,"&gt;="&amp;H26,'Team Calendar'!$C$5:$C$10,"&lt;="&amp;I26,'Team Calendar'!$F$5:$F$10,"Personal absence"))</x:f>
        <x:v>1</x:v>
      </x:c>
      <x:c r="L26" s="13" t="str">
        <x:v>이권욱</x:v>
      </x:c>
      <x:c r="M26" s="13" t="str">
        <x:v>이하영, 이재환</x:v>
      </x:c>
      <x:c r="N26" s="13" t="str">
        <x:v>D20</x:v>
      </x:c>
      <x:c r="O26" s="13" t="str">
        <x:v>RISK-05; RISK-09; RISK-13</x:v>
      </x:c>
      <x:c r="P26" s="13" t="str">
        <x:v>Final E2E/Regression, Worker Drain, PostgreSQL Restore, Critical Issue 0, Architecture/Test/Runbook 준비도를 승인</x:v>
      </x:c>
      <x:c r="Q26" s="13" t="str">
        <x:v>같은 날 DEC-CAL-P1-01을 종결해 Review 일정을 확정한다.</x:v>
      </x:c>
      <x:c r="R26" s="13" t="str">
        <x:v>FDS_Project_Implementation_Baseline_v3.1.12; FDS_Network_Baseline_v2.3; FDS_Phase1_Logical_Architecture_v3.1.2</x:v>
      </x:c>
      <x:c r="S26" s="13" t="str">
        <x:f>IF(G26="Done","Complete",IF(OR(H26="",I26=""),"TBD",IF(I26&lt;'Executive Summary'!$B$4,"Past Due",IF(H26&lt;='Executive Summary'!$B$4,"Active Window","Planned"))))</x:f>
        <x:v>Planned</x:v>
      </x:c>
    </x:row>
    <x:row r="27" ht="44" customHeight="1">
      <x:c r="A27" s="13" t="str">
        <x:v>P1-REV-01</x:v>
      </x:c>
      <x:c r="B27" s="13" t="str">
        <x:v>Phase 1 Review / Close Execution</x:v>
      </x:c>
      <x:c r="C27" s="13" t="str">
        <x:v>Phase 1</x:v>
      </x:c>
      <x:c r="D27" s="13" t="str">
        <x:v>PMO / Review</x:v>
      </x:c>
      <x:c r="E27" s="13" t="str">
        <x:v>Task</x:v>
      </x:c>
      <x:c r="F27" s="13" t="str">
        <x:v>P0</x:v>
      </x:c>
      <x:c r="G27" s="13" t="str">
        <x:v>To Do</x:v>
      </x:c>
      <x:c r="H27" s="19" t="n">
        <x:v>46283</x:v>
      </x:c>
      <x:c r="I27" s="19" t="n">
        <x:v>46288</x:v>
      </x:c>
      <x:c r="J27" s="61" t="n">
        <x:f>IF(OR(H27="",I27=""),"",I27-H27+1)</x:f>
        <x:v>6</x:v>
      </x:c>
      <x:c r="K27" s="61" t="n">
        <x:f>IF(OR(H27="",I27=""),"",NETWORKDAYS(H27,I27,'Sources &amp; Change Log'!$J$2:$J$5)-COUNTIFS('Team Calendar'!$A$5:$A$10,L27,'Team Calendar'!$C$5:$C$10,"&gt;="&amp;H27,'Team Calendar'!$C$5:$C$10,"&lt;="&amp;I27,'Team Calendar'!$F$5:$F$10,"Personal absence"))</x:f>
        <x:v>4</x:v>
      </x:c>
      <x:c r="L27" s="13" t="str">
        <x:v>이권욱</x:v>
      </x:c>
      <x:c r="M27" s="13" t="str">
        <x:v>이하영, 이재환</x:v>
      </x:c>
      <x:c r="N27" s="13" t="str">
        <x:v>D12; D20</x:v>
      </x:c>
      <x:c r="O27" s="13" t="str">
        <x:v>RISK-05; RISK-13</x:v>
      </x:c>
      <x:c r="P27" s="13" t="str">
        <x:v>G3 결과, Demo, P0 Evidence, Known Issue, P1 이관, Review Action을 승인하고 Phase 1 Close Sign-off 확보</x:v>
      </x:c>
      <x:c r="Q27" s="13" t="str">
        <x:v>Review 실행일은 D20 결과를 따른다. 09-24~09-25 비근무 전에 09-23 Close를 완료한다.</x:v>
      </x:c>
      <x:c r="R27" s="13" t="str">
        <x:v>FDS_Project_Implementation_Baseline_v3.1.12; FDS_Network_Baseline_v2.3; FDS_Phase1_Logical_Architecture_v3.1.2</x:v>
      </x:c>
      <x:c r="S27" s="13" t="str">
        <x:f>IF(G27="Done","Complete",IF(OR(H27="",I27=""),"TBD",IF(I27&lt;'Executive Summary'!$B$4,"Past Due",IF(H27&lt;='Executive Summary'!$B$4,"Active Window","Planned"))))</x:f>
        <x:v>Planned</x:v>
      </x:c>
    </x:row>
    <x:row r="28" ht="44" customHeight="1">
      <x:c r="A28" s="13" t="str">
        <x:v>MS-P1-REVIEW-01</x:v>
      </x:c>
      <x:c r="B28" s="13" t="str">
        <x:v>Phase 1 Review</x:v>
      </x:c>
      <x:c r="C28" s="13" t="str">
        <x:v>Phase 1</x:v>
      </x:c>
      <x:c r="D28" s="13" t="str">
        <x:v>Milestone / Review</x:v>
      </x:c>
      <x:c r="E28" s="13" t="str">
        <x:v>Milestone</x:v>
      </x:c>
      <x:c r="F28" s="13" t="str">
        <x:v>P0</x:v>
      </x:c>
      <x:c r="G28" s="13" t="str">
        <x:v>To Do</x:v>
      </x:c>
      <x:c r="H28" s="19" t="n">
        <x:v>46285</x:v>
      </x:c>
      <x:c r="I28" s="19" t="n">
        <x:v>46285</x:v>
      </x:c>
      <x:c r="J28" s="61" t="n">
        <x:f>IF(OR(H28="",I28=""),"",I28-H28+1)</x:f>
        <x:v>1</x:v>
      </x:c>
      <x:c r="K28" s="61" t="n">
        <x:f>IF(OR(H28="",I28=""),"",NETWORKDAYS(H28,I28,'Sources &amp; Change Log'!$J$2:$J$5)-COUNTIFS('Team Calendar'!$A$5:$A$10,L28,'Team Calendar'!$C$5:$C$10,"&gt;="&amp;H28,'Team Calendar'!$C$5:$C$10,"&lt;="&amp;I28,'Team Calendar'!$F$5:$F$10,"Personal absence"))</x:f>
        <x:v>0</x:v>
      </x:c>
      <x:c r="L28" s="13" t="str">
        <x:v>이권욱</x:v>
      </x:c>
      <x:c r="M28" s="13" t="str">
        <x:v>이하영, 이재환</x:v>
      </x:c>
      <x:c r="N28" s="13" t="str">
        <x:v>D20</x:v>
      </x:c>
      <x:c r="O28" s="13" t="str">
        <x:v>RISK-05; RISK-13</x:v>
      </x:c>
      <x:c r="P28" s="13" t="str">
        <x:v>승인된 일정에 Demo/산출물/G3/Known Issue Review를 수행하고 Action 및 승인결과를 기록</x:v>
      </x:c>
      <x:c r="Q28" s="13" t="str">
        <x:v>2026-09-20은 일요일이며 Working Days 0이다. D20이 변경을 승인하면 Start/End를 동일하게 수정한다.</x:v>
      </x:c>
      <x:c r="R28" s="13" t="str">
        <x:v>FDS_Project_Implementation_Baseline_v3.1.12; FDS_Network_Baseline_v2.3; FDS_Phase1_Logical_Architecture_v3.1.2</x:v>
      </x:c>
      <x:c r="S28" s="13" t="str">
        <x:f>IF(G28="Done","Complete",IF(OR(H28="",I28=""),"TBD",IF(I28&lt;'Executive Summary'!$B$4,"Past Due",IF(H28&lt;='Executive Summary'!$B$4,"Active Window","Planned"))))</x:f>
        <x:v>Planned</x:v>
      </x:c>
    </x:row>
    <x:row r="29" ht="44" customHeight="1">
      <x:c r="A29" s="13" t="str">
        <x:v>MS-P1-CLOSE-01</x:v>
      </x:c>
      <x:c r="B29" s="13" t="str">
        <x:v>Phase 1 Close</x:v>
      </x:c>
      <x:c r="C29" s="13" t="str">
        <x:v>Phase 1</x:v>
      </x:c>
      <x:c r="D29" s="13" t="str">
        <x:v>Milestone / Close</x:v>
      </x:c>
      <x:c r="E29" s="13" t="str">
        <x:v>Milestone</x:v>
      </x:c>
      <x:c r="F29" s="13" t="str">
        <x:v>P0</x:v>
      </x:c>
      <x:c r="G29" s="13" t="str">
        <x:v>To Do</x:v>
      </x:c>
      <x:c r="H29" s="19" t="n">
        <x:v>46288</x:v>
      </x:c>
      <x:c r="I29" s="19" t="n">
        <x:v>46288</x:v>
      </x:c>
      <x:c r="J29" s="61" t="n">
        <x:f>IF(OR(H29="",I29=""),"",I29-H29+1)</x:f>
        <x:v>1</x:v>
      </x:c>
      <x:c r="K29" s="61" t="n">
        <x:f>IF(OR(H29="",I29=""),"",NETWORKDAYS(H29,I29,'Sources &amp; Change Log'!$J$2:$J$5)-COUNTIFS('Team Calendar'!$A$5:$A$10,L29,'Team Calendar'!$C$5:$C$10,"&gt;="&amp;H29,'Team Calendar'!$C$5:$C$10,"&lt;="&amp;I29,'Team Calendar'!$F$5:$F$10,"Personal absence"))</x:f>
        <x:v>1</x:v>
      </x:c>
      <x:c r="L29" s="13" t="str">
        <x:v>이권욱</x:v>
      </x:c>
      <x:c r="M29" s="13" t="str">
        <x:v>이하영, 이재환</x:v>
      </x:c>
      <x:c r="N29" s="13" t="str">
        <x:v>D20</x:v>
      </x:c>
      <x:c r="O29" s="13" t="str">
        <x:v>RISK-05; RISK-13</x:v>
      </x:c>
      <x:c r="P29" s="13" t="str">
        <x:v>Review Action 처리, P0 승인, P1/Known Issue Owner·Due 이관 및 Phase 1 Close Sign-off 확보</x:v>
      </x:c>
      <x:c r="Q29" s="13" t="str">
        <x:v>09-24~09-25 비근무 전에 종결한다.</x:v>
      </x:c>
      <x:c r="R29" s="13" t="str">
        <x:v>FDS_Project_Implementation_Baseline_v3.1.12; FDS_Network_Baseline_v2.3; FDS_Phase1_Logical_Architecture_v3.1.2</x:v>
      </x:c>
      <x:c r="S29" s="13" t="str">
        <x:f>IF(G29="Done","Complete",IF(OR(H29="",I29=""),"TBD",IF(I29&lt;'Executive Summary'!$B$4,"Past Due",IF(H29&lt;='Executive Summary'!$B$4,"Active Window","Planned"))))</x:f>
        <x:v>Planned</x:v>
      </x:c>
    </x:row>
    <x:row r="30" ht="44" customHeight="1">
      <x:c r="A30" s="13" t="str">
        <x:v>MS-P2-START-01</x:v>
      </x:c>
      <x:c r="B30" s="13" t="str">
        <x:v>Phase 2 Start</x:v>
      </x:c>
      <x:c r="C30" s="13" t="str">
        <x:v>Phase 2</x:v>
      </x:c>
      <x:c r="D30" s="13" t="str">
        <x:v>Milestone / Start</x:v>
      </x:c>
      <x:c r="E30" s="13" t="str">
        <x:v>Milestone</x:v>
      </x:c>
      <x:c r="F30" s="13" t="str">
        <x:v>P0</x:v>
      </x:c>
      <x:c r="G30" s="13" t="str">
        <x:v>To Do</x:v>
      </x:c>
      <x:c r="H30" s="19" t="n">
        <x:v>46293</x:v>
      </x:c>
      <x:c r="I30" s="19" t="n">
        <x:v>46293</x:v>
      </x:c>
      <x:c r="J30" s="61" t="n">
        <x:f>IF(OR(H30="",I30=""),"",I30-H30+1)</x:f>
        <x:v>1</x:v>
      </x:c>
      <x:c r="K30" s="61" t="n">
        <x:f>IF(OR(H30="",I30=""),"",NETWORKDAYS(H30,I30,'Sources &amp; Change Log'!$J$2:$J$5)-COUNTIFS('Team Calendar'!$A$5:$A$10,L30,'Team Calendar'!$C$5:$C$10,"&gt;="&amp;H30,'Team Calendar'!$C$5:$C$10,"&lt;="&amp;I30,'Team Calendar'!$F$5:$F$10,"Personal absence"))</x:f>
        <x:v>1</x:v>
      </x:c>
      <x:c r="L30" s="13" t="str">
        <x:v>이권욱</x:v>
      </x:c>
      <x:c r="M30" s="13" t="str">
        <x:v>이하영, 이재환</x:v>
      </x:c>
      <x:c r="N30" s="13" t="str">
        <x:v>D10; D21</x:v>
      </x:c>
      <x:c r="O30" s="13" t="str">
        <x:v>RISK-05; RISK-10; RISK-11</x:v>
      </x:c>
      <x:c r="P30" s="13" t="str">
        <x:v>Phase 1 Close, Phase 2 계정·권한·일정·P0 범위·OCI Go/No-Go 계획을 확인하고 착수 승인</x:v>
      </x:c>
      <x:c r="Q30" s="13" t="str">
        <x:v>09-24~09-25 비근무 후 첫 작업일에 착수한다.</x:v>
      </x:c>
      <x:c r="R30" s="13" t="str">
        <x:v>FDS_Project_Implementation_Baseline_v3.1.12; FDS_Phase1_Logical_Architecture_v3.1.2; Phase 2 OCI/AWS/ROSA Design</x:v>
      </x:c>
      <x:c r="S30" s="13" t="str">
        <x:f>IF(G30="Done","Complete",IF(OR(H30="",I30=""),"TBD",IF(I30&lt;'Executive Summary'!$B$4,"Past Due",IF(H30&lt;='Executive Summary'!$B$4,"Active Window","Planned"))))</x:f>
        <x:v>Planned</x:v>
      </x:c>
    </x:row>
    <x:row r="31" ht="44" customHeight="1">
      <x:c r="A31" s="13" t="str">
        <x:v>P2-ARC-01</x:v>
      </x:c>
      <x:c r="B31" s="13" t="str">
        <x:v>Hybrid / OCI / AWS / ROSA Architecture Freeze</x:v>
      </x:c>
      <x:c r="C31" s="13" t="str">
        <x:v>Phase 2</x:v>
      </x:c>
      <x:c r="D31" s="13" t="str">
        <x:v>Architecture / Hybrid Cloud</x:v>
      </x:c>
      <x:c r="E31" s="13" t="str">
        <x:v>Task</x:v>
      </x:c>
      <x:c r="F31" s="13" t="str">
        <x:v>P0</x:v>
      </x:c>
      <x:c r="G31" s="13" t="str">
        <x:v>To Do</x:v>
      </x:c>
      <x:c r="H31" s="19" t="n">
        <x:v>46293</x:v>
      </x:c>
      <x:c r="I31" s="19" t="n">
        <x:v>46293</x:v>
      </x:c>
      <x:c r="J31" s="61" t="n">
        <x:f>IF(OR(H31="",I31=""),"",I31-H31+1)</x:f>
        <x:v>1</x:v>
      </x:c>
      <x:c r="K31" s="61" t="n">
        <x:f>IF(OR(H31="",I31=""),"",NETWORKDAYS(H31,I31,'Sources &amp; Change Log'!$J$2:$J$5)-COUNTIFS('Team Calendar'!$A$5:$A$10,L31,'Team Calendar'!$C$5:$C$10,"&gt;="&amp;H31,'Team Calendar'!$C$5:$C$10,"&lt;="&amp;I31,'Team Calendar'!$F$5:$F$10,"Personal absence"))</x:f>
        <x:v>1</x:v>
      </x:c>
      <x:c r="L31" s="13" t="str">
        <x:v>이권욱</x:v>
      </x:c>
      <x:c r="M31" s="13" t="str">
        <x:v>이하영, 이재환</x:v>
      </x:c>
      <x:c r="N31" s="13" t="str">
        <x:v>D10; D21; D22; D23; D25; D26</x:v>
      </x:c>
      <x:c r="O31" s="13" t="str">
        <x:v>RISK-10; RISK-11; RISK-12; RISK-14; RISK-15</x:v>
      </x:c>
      <x:c r="P31" s="13" t="str">
        <x:v>OCI Relay·AWS VPC/VPN·ROSA·On-Prem 연계 Architecture, Interface IF-17~IF-20, Security, Decision, Exit Criteria Freeze 승인</x:v>
      </x:c>
      <x:c r="Q31" s="13" t="str">
        <x:v>MS-P2-START-01 직후 완료하며 Phase 2 모든 구현 티켓이 참조하는 Phase 2 OCI/AWS/ROSA Design의 권위 Source를 생성한다.</x:v>
      </x:c>
      <x:c r="R31" s="13" t="str">
        <x:v>FDS_Project_Implementation_Baseline_v3.1.12; FDS_Network_Baseline_v2.3; FDS_Phase1_Logical_Architecture_v3.1.2</x:v>
      </x:c>
      <x:c r="S31" s="13" t="str">
        <x:f>IF(G31="Done","Complete",IF(OR(H31="",I31=""),"TBD",IF(I31&lt;'Executive Summary'!$B$4,"Past Due",IF(H31&lt;='Executive Summary'!$B$4,"Active Window","Planned"))))</x:f>
        <x:v>Planned</x:v>
      </x:c>
    </x:row>
    <x:row r="32" ht="44" customHeight="1">
      <x:c r="A32" s="13" t="str">
        <x:v>P2-IAC-01</x:v>
      </x:c>
      <x:c r="B32" s="13" t="str">
        <x:v>AWS / ROSA Terraform IaC</x:v>
      </x:c>
      <x:c r="C32" s="13" t="str">
        <x:v>Phase 2</x:v>
      </x:c>
      <x:c r="D32" s="13" t="str">
        <x:v>Cloud / Terraform</x:v>
      </x:c>
      <x:c r="E32" s="13" t="str">
        <x:v>Task</x:v>
      </x:c>
      <x:c r="F32" s="13" t="str">
        <x:v>P0</x:v>
      </x:c>
      <x:c r="G32" s="13" t="str">
        <x:v>To Do</x:v>
      </x:c>
      <x:c r="H32" s="19" t="n">
        <x:v>46293</x:v>
      </x:c>
      <x:c r="I32" s="19" t="n">
        <x:v>46303</x:v>
      </x:c>
      <x:c r="J32" s="61" t="n">
        <x:f>IF(OR(H32="",I32=""),"",I32-H32+1)</x:f>
        <x:v>11</x:v>
      </x:c>
      <x:c r="K32" s="61" t="n">
        <x:f>IF(OR(H32="",I32=""),"",NETWORKDAYS(H32,I32,'Sources &amp; Change Log'!$J$2:$J$5)-COUNTIFS('Team Calendar'!$A$5:$A$10,L32,'Team Calendar'!$C$5:$C$10,"&gt;="&amp;H32,'Team Calendar'!$C$5:$C$10,"&lt;="&amp;I32,'Team Calendar'!$F$5:$F$10,"Personal absence"))</x:f>
        <x:v>8</x:v>
      </x:c>
      <x:c r="L32" s="13" t="str">
        <x:v>이권욱</x:v>
      </x:c>
      <x:c r="M32" s="13" t="str">
        <x:v>이하영</x:v>
      </x:c>
      <x:c r="N32" s="13" t="str">
        <x:v>D10; D21; D25</x:v>
      </x:c>
      <x:c r="O32" s="13" t="str">
        <x:v>RISK-10; RISK-11; RISK-12</x:v>
      </x:c>
      <x:c r="P32" s="13" t="str">
        <x:v>AWS VPC 10.20.0.0/16, ROSA 선행 인프라와 IAM/OIDC 최소권한의 Terraform fmt/validate/plan/apply, State·Secret 통제 및 G4 Evidence 확보</x:v>
      </x:c>
      <x:c r="Q32" s="13" t="str">
        <x:v>10-05는 비근무일이다. OCI Go/No-Go 결과에 따라 VPN 입력과 경로를 갱신한다.</x:v>
      </x:c>
      <x:c r="R32" s="13" t="str">
        <x:v>FDS_Project_Implementation_Baseline_v3.1.12; FDS_Phase1_Logical_Architecture_v3.1.2; Phase 2 OCI/AWS/ROSA Design</x:v>
      </x:c>
      <x:c r="S32" s="13" t="str">
        <x:f>IF(G32="Done","Complete",IF(OR(H32="",I32=""),"TBD",IF(I32&lt;'Executive Summary'!$B$4,"Past Due",IF(H32&lt;='Executive Summary'!$B$4,"Active Window","Planned"))))</x:f>
        <x:v>Planned</x:v>
      </x:c>
    </x:row>
    <x:row r="33" ht="44" customHeight="1">
      <x:c r="A33" s="13" t="str">
        <x:v>P2-OCI-01</x:v>
      </x:c>
      <x:c r="B33" s="13" t="str">
        <x:v>OCI Relay Go / No-Go</x:v>
      </x:c>
      <x:c r="C33" s="13" t="str">
        <x:v>Phase 2</x:v>
      </x:c>
      <x:c r="D33" s="13" t="str">
        <x:v>Milestone / Hybrid Network</x:v>
      </x:c>
      <x:c r="E33" s="13" t="str">
        <x:v>Decision</x:v>
      </x:c>
      <x:c r="F33" s="13" t="str">
        <x:v>P0</x:v>
      </x:c>
      <x:c r="G33" s="13" t="str">
        <x:v>To Do</x:v>
      </x:c>
      <x:c r="H33" s="19" t="n">
        <x:v>46293</x:v>
      </x:c>
      <x:c r="I33" s="19" t="n">
        <x:v>46297</x:v>
      </x:c>
      <x:c r="J33" s="61" t="n">
        <x:f>IF(OR(H33="",I33=""),"",I33-H33+1)</x:f>
        <x:v>5</x:v>
      </x:c>
      <x:c r="K33" s="61" t="n">
        <x:f>IF(OR(H33="",I33=""),"",NETWORKDAYS(H33,I33,'Sources &amp; Change Log'!$J$2:$J$5)-COUNTIFS('Team Calendar'!$A$5:$A$10,L33,'Team Calendar'!$C$5:$C$10,"&gt;="&amp;H33,'Team Calendar'!$C$5:$C$10,"&lt;="&amp;I33,'Team Calendar'!$F$5:$F$10,"Personal absence"))</x:f>
        <x:v>5</x:v>
      </x:c>
      <x:c r="L33" s="13" t="str">
        <x:v>이권욱</x:v>
      </x:c>
      <x:c r="M33" s="13" t="str">
        <x:v>이하영</x:v>
      </x:c>
      <x:c r="N33" s="13" t="str">
        <x:v>D10; D21</x:v>
      </x:c>
      <x:c r="O33" s="13" t="str">
        <x:v>RISK-10; RISK-12</x:v>
      </x:c>
      <x:c r="P33" s="13" t="str">
        <x:v>OCI Relay 가능성·권한·Public Endpoint·IPsec/NAT-T·Route를 검증하고 Primary 또는 승인 Fallback 경로를 선택</x:v>
      </x:c>
      <x:c r="Q33" s="13" t="str">
        <x:v>10-02 Go/No-Go를 넘기지 않는다. No-Go 시 Vendor Endpoint→AWS EC2+EIP Relay→Overlay 순으로 승인된 Fallback을 선택한다.</x:v>
      </x:c>
      <x:c r="R33" s="13" t="str">
        <x:v>FDS_Project_Implementation_Baseline_v3.1.12; FDS_Phase1_Logical_Architecture_v3.1.2; Phase 2 OCI/AWS/ROSA Design</x:v>
      </x:c>
      <x:c r="S33" s="13" t="str">
        <x:f>IF(G33="Done","Complete",IF(OR(H33="",I33=""),"TBD",IF(I33&lt;'Executive Summary'!$B$4,"Past Due",IF(H33&lt;='Executive Summary'!$B$4,"Active Window","Planned"))))</x:f>
        <x:v>Planned</x:v>
      </x:c>
    </x:row>
    <x:row r="34" ht="44" customHeight="1">
      <x:c r="A34" s="13" t="str">
        <x:v>P2-VPN-01</x:v>
      </x:c>
      <x:c r="B34" s="13" t="str">
        <x:v>OCI Relay / AWS Site-to-Site VPN</x:v>
      </x:c>
      <x:c r="C34" s="13" t="str">
        <x:v>Phase 2</x:v>
      </x:c>
      <x:c r="D34" s="13" t="str">
        <x:v>Hybrid Network / VPN</x:v>
      </x:c>
      <x:c r="E34" s="13" t="str">
        <x:v>Task</x:v>
      </x:c>
      <x:c r="F34" s="13" t="str">
        <x:v>P0</x:v>
      </x:c>
      <x:c r="G34" s="13" t="str">
        <x:v>To Do</x:v>
      </x:c>
      <x:c r="H34" s="19" t="n">
        <x:v>46296</x:v>
      </x:c>
      <x:c r="I34" s="19" t="n">
        <x:v>46303</x:v>
      </x:c>
      <x:c r="J34" s="61" t="n">
        <x:f>IF(OR(H34="",I34=""),"",I34-H34+1)</x:f>
        <x:v>8</x:v>
      </x:c>
      <x:c r="K34" s="61" t="n">
        <x:f>IF(OR(H34="",I34=""),"",NETWORKDAYS(H34,I34,'Sources &amp; Change Log'!$J$2:$J$5)-COUNTIFS('Team Calendar'!$A$5:$A$10,L34,'Team Calendar'!$C$5:$C$10,"&gt;="&amp;H34,'Team Calendar'!$C$5:$C$10,"&lt;="&amp;I34,'Team Calendar'!$F$5:$F$10,"Personal absence"))</x:f>
        <x:v>5</x:v>
      </x:c>
      <x:c r="L34" s="13" t="str">
        <x:v>이권욱</x:v>
      </x:c>
      <x:c r="M34" s="13" t="str">
        <x:v>이하영</x:v>
      </x:c>
      <x:c r="N34" s="13" t="str">
        <x:v>D10; D21</x:v>
      </x:c>
      <x:c r="O34" s="13" t="str">
        <x:v>RISK-04; RISK-10; RISK-12</x:v>
      </x:c>
      <x:c r="P34" s="13" t="str">
        <x:v>승인 Transit 경로의 Tunnel UP, On-Prem↔VPC Route, UDP 500/4500/IPsec, Source·승인 TCP Path 및 장애 Evidence 확보</x:v>
      </x:c>
      <x:c r="Q34" s="13" t="str">
        <x:v>10-05는 비근무일이다. OCI No-Go 시 D21에서 승인된 Fallback만 사용한다.</x:v>
      </x:c>
      <x:c r="R34" s="13" t="str">
        <x:v>FDS_Project_Implementation_Baseline_v3.1.12; FDS_Phase1_Logical_Architecture_v3.1.2; Phase 2 OCI/AWS/ROSA Design</x:v>
      </x:c>
      <x:c r="S34" s="13" t="str">
        <x:f>IF(G34="Done","Complete",IF(OR(H34="",I34=""),"TBD",IF(I34&lt;'Executive Summary'!$B$4,"Past Due",IF(H34&lt;='Executive Summary'!$B$4,"Active Window","Planned"))))</x:f>
        <x:v>Planned</x:v>
      </x:c>
    </x:row>
    <x:row r="35" ht="44" customHeight="1">
      <x:c r="A35" s="13" t="str">
        <x:v>P2-ROSA-01</x:v>
      </x:c>
      <x:c r="B35" s="13" t="str">
        <x:v>ROSA Platform / Security</x:v>
      </x:c>
      <x:c r="C35" s="13" t="str">
        <x:v>Phase 2</x:v>
      </x:c>
      <x:c r="D35" s="13" t="str">
        <x:v>OpenShift / ROSA</x:v>
      </x:c>
      <x:c r="E35" s="13" t="str">
        <x:v>Task</x:v>
      </x:c>
      <x:c r="F35" s="13" t="str">
        <x:v>P0</x:v>
      </x:c>
      <x:c r="G35" s="13" t="str">
        <x:v>To Do</x:v>
      </x:c>
      <x:c r="H35" s="19" t="n">
        <x:v>46301</x:v>
      </x:c>
      <x:c r="I35" s="19" t="n">
        <x:v>46311</x:v>
      </x:c>
      <x:c r="J35" s="61" t="n">
        <x:f>IF(OR(H35="",I35=""),"",I35-H35+1)</x:f>
        <x:v>11</x:v>
      </x:c>
      <x:c r="K35" s="61" t="n">
        <x:f>IF(OR(H35="",I35=""),"",NETWORKDAYS(H35,I35,'Sources &amp; Change Log'!$J$2:$J$5)-COUNTIFS('Team Calendar'!$A$5:$A$10,L35,'Team Calendar'!$C$5:$C$10,"&gt;="&amp;H35,'Team Calendar'!$C$5:$C$10,"&lt;="&amp;I35,'Team Calendar'!$F$5:$F$10,"Personal absence"))</x:f>
        <x:v>8</x:v>
      </x:c>
      <x:c r="L35" s="13" t="str">
        <x:v>이하영</x:v>
      </x:c>
      <x:c r="M35" s="13" t="str">
        <x:v>이권욱</x:v>
      </x:c>
      <x:c r="N35" s="13" t="str">
        <x:v>D10; D12; D17; D21</x:v>
      </x:c>
      <x:c r="O35" s="13" t="str">
        <x:v>RISK-07; RISK-10; RISK-11; RISK-12</x:v>
      </x:c>
      <x:c r="P35" s="13" t="str">
        <x:v>ROSA Cluster Ready, Namespace/RBAC/NetworkPolicy/SecurityContext, Hybrid Route 및 Application 배포 선행조건과 G5 Evidence 확보</x:v>
      </x:c>
      <x:c r="Q35" s="13" t="str">
        <x:v>10-09는 비근무일이다. 계정·Quota·리전 전제는 G4 이전에 확인하고 Cluster 범위를 최소화한다.</x:v>
      </x:c>
      <x:c r="R35" s="13" t="str">
        <x:v>FDS_Project_Implementation_Baseline_v3.1.12; FDS_Phase1_Logical_Architecture_v3.1.2; Phase 2 OCI/AWS/ROSA Design</x:v>
      </x:c>
      <x:c r="S35" s="13" t="str">
        <x:f>IF(G35="Done","Complete",IF(OR(H35="",I35=""),"TBD",IF(I35&lt;'Executive Summary'!$B$4,"Past Due",IF(H35&lt;='Executive Summary'!$B$4,"Active Window","Planned"))))</x:f>
        <x:v>Planned</x:v>
      </x:c>
    </x:row>
    <x:row r="36" ht="44" customHeight="1">
      <x:c r="A36" s="13" t="str">
        <x:v>MS-G4-01</x:v>
      </x:c>
      <x:c r="B36" s="13" t="str">
        <x:v>G4 Cloud / VPN Ready</x:v>
      </x:c>
      <x:c r="C36" s="13" t="str">
        <x:v>Phase 2</x:v>
      </x:c>
      <x:c r="D36" s="13" t="str">
        <x:v>Milestone / Cloud &amp; VPN</x:v>
      </x:c>
      <x:c r="E36" s="13" t="str">
        <x:v>Milestone</x:v>
      </x:c>
      <x:c r="F36" s="13" t="str">
        <x:v>P0</x:v>
      </x:c>
      <x:c r="G36" s="13" t="str">
        <x:v>To Do</x:v>
      </x:c>
      <x:c r="H36" s="19" t="n">
        <x:v>46303</x:v>
      </x:c>
      <x:c r="I36" s="19" t="n">
        <x:v>46303</x:v>
      </x:c>
      <x:c r="J36" s="61" t="n">
        <x:f>IF(OR(H36="",I36=""),"",I36-H36+1)</x:f>
        <x:v>1</x:v>
      </x:c>
      <x:c r="K36" s="61" t="n">
        <x:f>IF(OR(H36="",I36=""),"",NETWORKDAYS(H36,I36,'Sources &amp; Change Log'!$J$2:$J$5)-COUNTIFS('Team Calendar'!$A$5:$A$10,L36,'Team Calendar'!$C$5:$C$10,"&gt;="&amp;H36,'Team Calendar'!$C$5:$C$10,"&lt;="&amp;I36,'Team Calendar'!$F$5:$F$10,"Personal absence"))</x:f>
        <x:v>1</x:v>
      </x:c>
      <x:c r="L36" s="13" t="str">
        <x:v>이권욱</x:v>
      </x:c>
      <x:c r="M36" s="13" t="str">
        <x:v>이하영</x:v>
      </x:c>
      <x:c r="N36" s="13" t="str">
        <x:v>D21</x:v>
      </x:c>
      <x:c r="O36" s="13" t="str">
        <x:v>RISK-10; RISK-11; RISK-12</x:v>
      </x:c>
      <x:c r="P36" s="13" t="str">
        <x:v>Terraform 인프라, 승인 Transit/VPN, Route/Security, ROSA 선행조건 및 승인 TCP 경로 준비도 승인</x:v>
      </x:c>
      <x:c r="Q36" s="13" t="str">
        <x:v>10-05 비근무를 반영한다. OCI No-Go 시 승인 Fallback 기준으로 판정한다.</x:v>
      </x:c>
      <x:c r="R36" s="13" t="str">
        <x:v>FDS_Project_Implementation_Baseline_v3.1.12; FDS_Phase1_Logical_Architecture_v3.1.2; Phase 2 OCI/AWS/ROSA Design</x:v>
      </x:c>
      <x:c r="S36" s="13" t="str">
        <x:f>IF(G36="Done","Complete",IF(OR(H36="",I36=""),"TBD",IF(I36&lt;'Executive Summary'!$B$4,"Past Due",IF(H36&lt;='Executive Summary'!$B$4,"Active Window","Planned"))))</x:f>
        <x:v>Planned</x:v>
      </x:c>
    </x:row>
    <x:row r="37" ht="44" customHeight="1">
      <x:c r="A37" s="13" t="str">
        <x:v>DEC-P2-DNS-01</x:v>
      </x:c>
      <x:c r="B37" s="13" t="str">
        <x:v>Hybrid DNS Scope Decision</x:v>
      </x:c>
      <x:c r="C37" s="13" t="str">
        <x:v>Phase 2</x:v>
      </x:c>
      <x:c r="D37" s="13" t="str">
        <x:v>Architecture / DNS</x:v>
      </x:c>
      <x:c r="E37" s="13" t="str">
        <x:v>Decision</x:v>
      </x:c>
      <x:c r="F37" s="13" t="str">
        <x:v>P1</x:v>
      </x:c>
      <x:c r="G37" s="13" t="str">
        <x:v>To Do</x:v>
      </x:c>
      <x:c r="H37" s="19" t="n">
        <x:v>46307</x:v>
      </x:c>
      <x:c r="I37" s="19" t="n">
        <x:v>46311</x:v>
      </x:c>
      <x:c r="J37" s="61" t="n">
        <x:f>IF(OR(H37="",I37=""),"",I37-H37+1)</x:f>
        <x:v>5</x:v>
      </x:c>
      <x:c r="K37" s="61" t="n">
        <x:f>IF(OR(H37="",I37=""),"",NETWORKDAYS(H37,I37,'Sources &amp; Change Log'!$J$2:$J$5)-COUNTIFS('Team Calendar'!$A$5:$A$10,L37,'Team Calendar'!$C$5:$C$10,"&gt;="&amp;H37,'Team Calendar'!$C$5:$C$10,"&lt;="&amp;I37,'Team Calendar'!$F$5:$F$10,"Personal absence"))</x:f>
        <x:v>5</x:v>
      </x:c>
      <x:c r="L37" s="13" t="str">
        <x:v>이권욱</x:v>
      </x:c>
      <x:c r="M37" s="13" t="str">
        <x:v>이하영</x:v>
      </x:c>
      <x:c r="N37" s="13" t="str">
        <x:v>D11; D23</x:v>
      </x:c>
      <x:c r="O37" s="13" t="str">
        <x:v>RISK-10; RISK-12</x:v>
      </x:c>
      <x:c r="P37" s="13" t="str">
        <x:v>P0 IP Endpoint 유지 또는 Hybrid DNS P1 적용을 확정하고 Resolver/Forwarding/Zone/Route/테스트·N/A 근거를 승인</x:v>
      </x:c>
      <x:c r="Q37" s="13" t="str">
        <x:v>Hybrid P0 E2E는 IP Endpoint를 허용하므로 본 P1 결정 미완료가 G5/G6를 자동 차단하지 않는다.</x:v>
      </x:c>
      <x:c r="R37" s="13" t="str">
        <x:v>FDS_Project_Implementation_Baseline_v3.1.12; FDS_Phase1_Logical_Architecture_v3.1.2; Phase 2 OCI/AWS/ROSA Design</x:v>
      </x:c>
      <x:c r="S37" s="13" t="str">
        <x:f>IF(G37="Done","Complete",IF(OR(H37="",I37=""),"TBD",IF(I37&lt;'Executive Summary'!$B$4,"Past Due",IF(H37&lt;='Executive Summary'!$B$4,"Active Window","Planned"))))</x:f>
        <x:v>Planned</x:v>
      </x:c>
    </x:row>
    <x:row r="38" ht="44" customHeight="1">
      <x:c r="A38" s="13" t="str">
        <x:v>DEC-P2-OP-01</x:v>
      </x:c>
      <x:c r="B38" s="13" t="str">
        <x:v>Operator Supply Chain Scope Decision</x:v>
      </x:c>
      <x:c r="C38" s="13" t="str">
        <x:v>Phase 2</x:v>
      </x:c>
      <x:c r="D38" s="13" t="str">
        <x:v>Architecture / Operator Supply Chain</x:v>
      </x:c>
      <x:c r="E38" s="13" t="str">
        <x:v>Decision</x:v>
      </x:c>
      <x:c r="F38" s="13" t="str">
        <x:v>P1</x:v>
      </x:c>
      <x:c r="G38" s="13" t="str">
        <x:v>To Do</x:v>
      </x:c>
      <x:c r="H38" s="19" t="n">
        <x:v>46307</x:v>
      </x:c>
      <x:c r="I38" s="19" t="n">
        <x:v>46311</x:v>
      </x:c>
      <x:c r="J38" s="61" t="n">
        <x:f>IF(OR(H38="",I38=""),"",I38-H38+1)</x:f>
        <x:v>5</x:v>
      </x:c>
      <x:c r="K38" s="61" t="n">
        <x:f>IF(OR(H38="",I38=""),"",NETWORKDAYS(H38,I38,'Sources &amp; Change Log'!$J$2:$J$5)-COUNTIFS('Team Calendar'!$A$5:$A$10,L38,'Team Calendar'!$C$5:$C$10,"&gt;="&amp;H38,'Team Calendar'!$C$5:$C$10,"&lt;="&amp;I38,'Team Calendar'!$F$5:$F$10,"Personal absence"))</x:f>
        <x:v>5</x:v>
      </x:c>
      <x:c r="L38" s="13" t="str">
        <x:v>이하영</x:v>
      </x:c>
      <x:c r="M38" s="13" t="str">
        <x:v>이권욱, 이재환</x:v>
      </x:c>
      <x:c r="N38" s="13" t="str">
        <x:v>D22; D26</x:v>
      </x:c>
      <x:c r="O38" s="13" t="str">
        <x:v>RISK-06; RISK-11; RISK-15</x:v>
      </x:c>
      <x:c r="P38" s="13" t="str">
        <x:v>ROSA Operator 공급망을 Direct Catalog 또는 oc-mirror/Harbor/Custom CatalogSource 중 하나로 결정하고 구현·N/A 기준 승인</x:v>
      </x:c>
      <x:c r="Q38" s="13" t="str">
        <x:v>D26에서 Direct Catalog 선택 시 P2-OP-01은 Cancelled 처리하고, Mirror 선택 시 P2-OP-01을 활성화한다.</x:v>
      </x:c>
      <x:c r="R38" s="13" t="str">
        <x:v>FDS_Project_Implementation_Baseline_v3.1.12; FDS_Network_Baseline_v2.3; FDS_Phase1_Logical_Architecture_v3.1.2</x:v>
      </x:c>
      <x:c r="S38" s="13" t="str">
        <x:f>IF(G38="Done","Complete",IF(OR(H38="",I38=""),"TBD",IF(I38&lt;'Executive Summary'!$B$4,"Past Due",IF(H38&lt;='Executive Summary'!$B$4,"Active Window","Planned"))))</x:f>
        <x:v>Planned</x:v>
      </x:c>
    </x:row>
    <x:row r="39" ht="44" customHeight="1">
      <x:c r="A39" s="13" t="str">
        <x:v>DEC-P2-REG-01</x:v>
      </x:c>
      <x:c r="B39" s="13" t="str">
        <x:v>ROSA Image Registry Source Decision</x:v>
      </x:c>
      <x:c r="C39" s="13" t="str">
        <x:v>Phase 2</x:v>
      </x:c>
      <x:c r="D39" s="13" t="str">
        <x:v>Architecture / Registry</x:v>
      </x:c>
      <x:c r="E39" s="13" t="str">
        <x:v>Decision</x:v>
      </x:c>
      <x:c r="F39" s="13" t="str">
        <x:v>P0</x:v>
      </x:c>
      <x:c r="G39" s="13" t="str">
        <x:v>To Do</x:v>
      </x:c>
      <x:c r="H39" s="19" t="n">
        <x:v>46307</x:v>
      </x:c>
      <x:c r="I39" s="19" t="n">
        <x:v>46311</x:v>
      </x:c>
      <x:c r="J39" s="61" t="n">
        <x:f>IF(OR(H39="",I39=""),"",I39-H39+1)</x:f>
        <x:v>5</x:v>
      </x:c>
      <x:c r="K39" s="61" t="n">
        <x:f>IF(OR(H39="",I39=""),"",NETWORKDAYS(H39,I39,'Sources &amp; Change Log'!$J$2:$J$5)-COUNTIFS('Team Calendar'!$A$5:$A$10,L39,'Team Calendar'!$C$5:$C$10,"&gt;="&amp;H39,'Team Calendar'!$C$5:$C$10,"&lt;="&amp;I39,'Team Calendar'!$F$5:$F$10,"Personal absence"))</x:f>
        <x:v>5</x:v>
      </x:c>
      <x:c r="L39" s="13" t="str">
        <x:v>이하영</x:v>
      </x:c>
      <x:c r="M39" s="13" t="str">
        <x:v>이권욱, 이재환</x:v>
      </x:c>
      <x:c r="N39" s="13" t="str">
        <x:v>D22</x:v>
      </x:c>
      <x:c r="O39" s="13" t="str">
        <x:v>RISK-06; RISK-10; RISK-11; RISK-12</x:v>
      </x:c>
      <x:c r="P39" s="13" t="str">
        <x:v>ROSA Image Source를 On-Prem Harbor 또는 승인 Cloud Registry로 확정하고 Route·TLS·Credential·비용·Fallback을 승인</x:v>
      </x:c>
      <x:c r="Q39" s="13" t="str">
        <x:v>기준선의 ROSA→Harbor는 Optional이다. P2-APP-01 최종 Image 경로 전 10-16까지 확정한다.</x:v>
      </x:c>
      <x:c r="R39" s="13" t="str">
        <x:v>FDS_Project_Implementation_Baseline_v3.1.12; FDS_Phase1_Logical_Architecture_v3.1.2; Phase 2 OCI/AWS/ROSA Design</x:v>
      </x:c>
      <x:c r="S39" s="13" t="str">
        <x:f>IF(G39="Done","Complete",IF(OR(H39="",I39=""),"TBD",IF(I39&lt;'Executive Summary'!$B$4,"Past Due",IF(H39&lt;='Executive Summary'!$B$4,"Active Window","Planned"))))</x:f>
        <x:v>Planned</x:v>
      </x:c>
    </x:row>
    <x:row r="40" ht="44" customHeight="1">
      <x:c r="A40" s="13" t="str">
        <x:v>P2-APP-01</x:v>
      </x:c>
      <x:c r="B40" s="13" t="str">
        <x:v>ROSA Application Deployment</x:v>
      </x:c>
      <x:c r="C40" s="13" t="str">
        <x:v>Phase 2</x:v>
      </x:c>
      <x:c r="D40" s="13" t="str">
        <x:v>Application / OpenShift</x:v>
      </x:c>
      <x:c r="E40" s="13" t="str">
        <x:v>Task</x:v>
      </x:c>
      <x:c r="F40" s="13" t="str">
        <x:v>P0</x:v>
      </x:c>
      <x:c r="G40" s="13" t="str">
        <x:v>To Do</x:v>
      </x:c>
      <x:c r="H40" s="19" t="n">
        <x:v>46307</x:v>
      </x:c>
      <x:c r="I40" s="19" t="n">
        <x:v>46311</x:v>
      </x:c>
      <x:c r="J40" s="61" t="n">
        <x:f>IF(OR(H40="",I40=""),"",I40-H40+1)</x:f>
        <x:v>5</x:v>
      </x:c>
      <x:c r="K40" s="61" t="n">
        <x:f>IF(OR(H40="",I40=""),"",NETWORKDAYS(H40,I40,'Sources &amp; Change Log'!$J$2:$J$5)-COUNTIFS('Team Calendar'!$A$5:$A$10,L40,'Team Calendar'!$C$5:$C$10,"&gt;="&amp;H40,'Team Calendar'!$C$5:$C$10,"&lt;="&amp;I40,'Team Calendar'!$F$5:$F$10,"Personal absence"))</x:f>
        <x:v>5</x:v>
      </x:c>
      <x:c r="L40" s="13" t="str">
        <x:v>이재환</x:v>
      </x:c>
      <x:c r="M40" s="13" t="str">
        <x:v>이하영</x:v>
      </x:c>
      <x:c r="N40" s="13" t="str">
        <x:v>D03; D22</x:v>
      </x:c>
      <x:c r="O40" s="13" t="str">
        <x:v>RISK-06; RISK-07; RISK-11</x:v>
      </x:c>
      <x:c r="P40" s="13" t="str">
        <x:v>Phase 1과 동일한 transaction-api/fds-engine Image/Contract를 ROSA에 배포하고 Route/Health/Rule 기본검증 PASS</x:v>
      </x:c>
      <x:c r="Q40" s="13" t="str">
        <x:v>Image Source는 D22 결정에 따르며 Harbor 사용을 사전 가정하지 않는다. Manifest/Image 계약은 P2-CICD-01의 Runner 기반 ROSA Delivery에 연결한다.</x:v>
      </x:c>
      <x:c r="R40" s="13" t="str">
        <x:v>FDS_Project_Implementation_Baseline_v3.1.12; FDS_Phase1_Logical_Architecture_v3.1.2; Phase 2 OCI/AWS/ROSA Design</x:v>
      </x:c>
      <x:c r="S40" s="13" t="str">
        <x:f>IF(G40="Done","Complete",IF(OR(H40="",I40=""),"TBD",IF(I40&lt;'Executive Summary'!$B$4,"Past Due",IF(H40&lt;='Executive Summary'!$B$4,"Active Window","Planned"))))</x:f>
        <x:v>Planned</x:v>
      </x:c>
    </x:row>
    <x:row r="41" ht="44" customHeight="1">
      <x:c r="A41" s="13" t="str">
        <x:v>P2-OADP-01</x:v>
      </x:c>
      <x:c r="B41" s="13" t="str">
        <x:v>OADP / S3 Backup</x:v>
      </x:c>
      <x:c r="C41" s="13" t="str">
        <x:v>Phase 2</x:v>
      </x:c>
      <x:c r="D41" s="13" t="str">
        <x:v>Backup / OpenShift</x:v>
      </x:c>
      <x:c r="E41" s="13" t="str">
        <x:v>Task</x:v>
      </x:c>
      <x:c r="F41" s="13" t="str">
        <x:v>P0</x:v>
      </x:c>
      <x:c r="G41" s="13" t="str">
        <x:v>To Do</x:v>
      </x:c>
      <x:c r="H41" s="19" t="n">
        <x:v>46310</x:v>
      </x:c>
      <x:c r="I41" s="19" t="n">
        <x:v>46317</x:v>
      </x:c>
      <x:c r="J41" s="61" t="n">
        <x:f>IF(OR(H41="",I41=""),"",I41-H41+1)</x:f>
        <x:v>8</x:v>
      </x:c>
      <x:c r="K41" s="61" t="n">
        <x:f>IF(OR(H41="",I41=""),"",NETWORKDAYS(H41,I41,'Sources &amp; Change Log'!$J$2:$J$5)-COUNTIFS('Team Calendar'!$A$5:$A$10,L41,'Team Calendar'!$C$5:$C$10,"&gt;="&amp;H41,'Team Calendar'!$C$5:$C$10,"&lt;="&amp;I41,'Team Calendar'!$F$5:$F$10,"Personal absence"))</x:f>
        <x:v>6</x:v>
      </x:c>
      <x:c r="L41" s="13" t="str">
        <x:v>이하영</x:v>
      </x:c>
      <x:c r="M41" s="13" t="str">
        <x:v>이권욱</x:v>
      </x:c>
      <x:c r="N41" s="13" t="str">
        <x:v>D12</x:v>
      </x:c>
      <x:c r="O41" s="13" t="str">
        <x:v>RISK-11; RISK-12</x:v>
      </x:c>
      <x:c r="P41" s="13" t="str">
        <x:v>OADP→S3 443, Backup 대상·Credential·Schedule, Restore 또는 승인 복구검증과 Evidence 확보</x:v>
      </x:c>
      <x:c r="Q41" s="13" t="str">
        <x:v>Backup 생성만으로 DONE 처리하지 않고 Restore 또는 승인된 복구 검증이 필요하다.</x:v>
      </x:c>
      <x:c r="R41" s="13" t="str">
        <x:v>FDS_Project_Implementation_Baseline_v3.1.12; FDS_Phase1_Logical_Architecture_v3.1.2; Phase 2 OCI/AWS/ROSA Design</x:v>
      </x:c>
      <x:c r="S41" s="13" t="str">
        <x:f>IF(G41="Done","Complete",IF(OR(H41="",I41=""),"TBD",IF(I41&lt;'Executive Summary'!$B$4,"Past Due",IF(H41&lt;='Executive Summary'!$B$4,"Active Window","Planned"))))</x:f>
        <x:v>Planned</x:v>
      </x:c>
    </x:row>
    <x:row r="42" ht="44" customHeight="1">
      <x:c r="A42" s="13" t="str">
        <x:v>MS-G5-01</x:v>
      </x:c>
      <x:c r="B42" s="13" t="str">
        <x:v>G5 ROSA Application Ready</x:v>
      </x:c>
      <x:c r="C42" s="13" t="str">
        <x:v>Phase 2</x:v>
      </x:c>
      <x:c r="D42" s="13" t="str">
        <x:v>Milestone / ROSA Application</x:v>
      </x:c>
      <x:c r="E42" s="13" t="str">
        <x:v>Milestone</x:v>
      </x:c>
      <x:c r="F42" s="13" t="str">
        <x:v>P0</x:v>
      </x:c>
      <x:c r="G42" s="13" t="str">
        <x:v>To Do</x:v>
      </x:c>
      <x:c r="H42" s="19" t="n">
        <x:v>46311</x:v>
      </x:c>
      <x:c r="I42" s="19" t="n">
        <x:v>46311</x:v>
      </x:c>
      <x:c r="J42" s="61" t="n">
        <x:f>IF(OR(H42="",I42=""),"",I42-H42+1)</x:f>
        <x:v>1</x:v>
      </x:c>
      <x:c r="K42" s="61" t="n">
        <x:f>IF(OR(H42="",I42=""),"",NETWORKDAYS(H42,I42,'Sources &amp; Change Log'!$J$2:$J$5)-COUNTIFS('Team Calendar'!$A$5:$A$10,L42,'Team Calendar'!$C$5:$C$10,"&gt;="&amp;H42,'Team Calendar'!$C$5:$C$10,"&lt;="&amp;I42,'Team Calendar'!$F$5:$F$10,"Personal absence"))</x:f>
        <x:v>1</x:v>
      </x:c>
      <x:c r="L42" s="13" t="str">
        <x:v>이하영</x:v>
      </x:c>
      <x:c r="M42" s="13" t="str">
        <x:v>이권욱, 이재환</x:v>
      </x:c>
      <x:c r="N42" s="13" t="str">
        <x:v>D22; D23; D25; D26</x:v>
      </x:c>
      <x:c r="O42" s="13" t="str">
        <x:v>RISK-06; RISK-07; RISK-11; RISK-12</x:v>
      </x:c>
      <x:c r="P42" s="13" t="str">
        <x:v>ROSA Platform/Security, P2-CICD-01 Runner 기반 Delivery, transaction-api/fds-engine Health·Rule Smoke Test와 Registry/DNS/Operator Decision 상태 승인</x:v>
      </x:c>
      <x:c r="Q42" s="13" t="str">
        <x:v>Registry는 D22, Hybrid DNS는 D23을 따른다. D23 미적용은 P0 IP Endpoint 사용 시 Non-blocker다.</x:v>
      </x:c>
      <x:c r="R42" s="13" t="str">
        <x:v>FDS_Project_Implementation_Baseline_v3.1.12; FDS_Phase1_Logical_Architecture_v3.1.2; Phase 2 OCI/AWS/ROSA Design</x:v>
      </x:c>
      <x:c r="S42" s="13" t="str">
        <x:f>IF(G42="Done","Complete",IF(OR(H42="",I42=""),"TBD",IF(I42&lt;'Executive Summary'!$B$4,"Past Due",IF(H42&lt;='Executive Summary'!$B$4,"Active Window","Planned"))))</x:f>
        <x:v>Planned</x:v>
      </x:c>
    </x:row>
    <x:row r="43" ht="44" customHeight="1">
      <x:c r="A43" s="13" t="str">
        <x:v>P2-CICD-01</x:v>
      </x:c>
      <x:c r="B43" s="13" t="str">
        <x:v>Runner to ROSA Delivery</x:v>
      </x:c>
      <x:c r="C43" s="13" t="str">
        <x:v>Phase 2</x:v>
      </x:c>
      <x:c r="D43" s="13" t="str">
        <x:v>CI/CD / OpenShift Delivery</x:v>
      </x:c>
      <x:c r="E43" s="13" t="str">
        <x:v>Task</x:v>
      </x:c>
      <x:c r="F43" s="13" t="str">
        <x:v>P0</x:v>
      </x:c>
      <x:c r="G43" s="13" t="str">
        <x:v>To Do</x:v>
      </x:c>
      <x:c r="H43" s="19" t="n">
        <x:v>46311</x:v>
      </x:c>
      <x:c r="I43" s="19" t="n">
        <x:v>46314</x:v>
      </x:c>
      <x:c r="J43" s="61" t="n">
        <x:f>IF(OR(H43="",I43=""),"",I43-H43+1)</x:f>
        <x:v>4</x:v>
      </x:c>
      <x:c r="K43" s="61" t="n">
        <x:f>IF(OR(H43="",I43=""),"",NETWORKDAYS(H43,I43,'Sources &amp; Change Log'!$J$2:$J$5)-COUNTIFS('Team Calendar'!$A$5:$A$10,L43,'Team Calendar'!$C$5:$C$10,"&gt;="&amp;H43,'Team Calendar'!$C$5:$C$10,"&lt;="&amp;I43,'Team Calendar'!$F$5:$F$10,"Personal absence"))</x:f>
        <x:v>2</x:v>
      </x:c>
      <x:c r="L43" s="13" t="str">
        <x:v>이권욱</x:v>
      </x:c>
      <x:c r="M43" s="13" t="str">
        <x:v>이하영, 이재환</x:v>
      </x:c>
      <x:c r="N43" s="13" t="str">
        <x:v>D22; D25</x:v>
      </x:c>
      <x:c r="O43" s="13" t="str">
        <x:v>RISK-06; RISK-08; RISK-11; RISK-14</x:v>
      </x:c>
      <x:c r="P43" s="13" t="str">
        <x:v>GitHub→Self-hosted Runner→승인 Registry→ROSA Deploy→Health/Rule Smoke Test 흐름과 실패 시 배포차단 Evidence 확보</x:v>
      </x:c>
      <x:c r="Q43" s="13" t="str">
        <x:v>P2-ROSA-01과 P2-APP-01의 Manifest/Image 계약을 사용하고 Registry는 D22 결과를 따른다. G5 ROSA Application Ready에 연결한다.</x:v>
      </x:c>
      <x:c r="R43" s="13" t="str">
        <x:v>FDS_Project_Implementation_Baseline_v3.1.12; FDS_Network_Baseline_v2.3; FDS_Phase1_Logical_Architecture_v3.1.2</x:v>
      </x:c>
      <x:c r="S43" s="13" t="str">
        <x:f>IF(G43="Done","Complete",IF(OR(H43="",I43=""),"TBD",IF(I43&lt;'Executive Summary'!$B$4,"Past Due",IF(H43&lt;='Executive Summary'!$B$4,"Active Window","Planned"))))</x:f>
        <x:v>Planned</x:v>
      </x:c>
    </x:row>
    <x:row r="44" ht="44" customHeight="1">
      <x:c r="A44" s="13" t="str">
        <x:v>P2-HYB-01</x:v>
      </x:c>
      <x:c r="B44" s="13" t="str">
        <x:v>Hybrid DB / Registry Integration</x:v>
      </x:c>
      <x:c r="C44" s="13" t="str">
        <x:v>Phase 2</x:v>
      </x:c>
      <x:c r="D44" s="13" t="str">
        <x:v>Hybrid Integration</x:v>
      </x:c>
      <x:c r="E44" s="13" t="str">
        <x:v>Task</x:v>
      </x:c>
      <x:c r="F44" s="13" t="str">
        <x:v>P0</x:v>
      </x:c>
      <x:c r="G44" s="13" t="str">
        <x:v>To Do</x:v>
      </x:c>
      <x:c r="H44" s="19" t="n">
        <x:v>46311</x:v>
      </x:c>
      <x:c r="I44" s="19" t="n">
        <x:v>46317</x:v>
      </x:c>
      <x:c r="J44" s="61" t="n">
        <x:f>IF(OR(H44="",I44=""),"",I44-H44+1)</x:f>
        <x:v>7</x:v>
      </x:c>
      <x:c r="K44" s="61" t="n">
        <x:f>IF(OR(H44="",I44=""),"",NETWORKDAYS(H44,I44,'Sources &amp; Change Log'!$J$2:$J$5)-COUNTIFS('Team Calendar'!$A$5:$A$10,L44,'Team Calendar'!$C$5:$C$10,"&gt;="&amp;H44,'Team Calendar'!$C$5:$C$10,"&lt;="&amp;I44,'Team Calendar'!$F$5:$F$10,"Personal absence"))</x:f>
        <x:v>5</x:v>
      </x:c>
      <x:c r="L44" s="13" t="str">
        <x:v>이재환</x:v>
      </x:c>
      <x:c r="M44" s="13" t="str">
        <x:v>이권욱, 이하영</x:v>
      </x:c>
      <x:c r="N44" s="13" t="str">
        <x:v>D21; D22; D23</x:v>
      </x:c>
      <x:c r="O44" s="13" t="str">
        <x:v>RISK-09; RISK-10; RISK-11; RISK-12</x:v>
      </x:c>
      <x:c r="P44" s="13" t="str">
        <x:v>ROSA→On-Prem db01 .55:5432와 승인 Registry 경로의 Route·Security·Source·Application 통합 검증 PASS</x:v>
      </x:c>
      <x:c r="Q44" s="13" t="str">
        <x:v>Harbor는 D22에 따라 사용 또는 Cancelled 처리한다. Hybrid DNS는 D23에 따라 적용 또는 IP Endpoint로 검증한다.</x:v>
      </x:c>
      <x:c r="R44" s="13" t="str">
        <x:v>FDS_Project_Implementation_Baseline_v3.1.12; FDS_Phase1_Logical_Architecture_v3.1.2; Phase 2 OCI/AWS/ROSA Design</x:v>
      </x:c>
      <x:c r="S44" s="13" t="str">
        <x:f>IF(G44="Done","Complete",IF(OR(H44="",I44=""),"TBD",IF(I44&lt;'Executive Summary'!$B$4,"Past Due",IF(H44&lt;='Executive Summary'!$B$4,"Active Window","Planned"))))</x:f>
        <x:v>Planned</x:v>
      </x:c>
    </x:row>
    <x:row r="45" ht="44" customHeight="1">
      <x:c r="A45" s="13" t="str">
        <x:v>P2-DNS-01</x:v>
      </x:c>
      <x:c r="B45" s="13" t="str">
        <x:v>Hybrid DNS Implementation Conditional</x:v>
      </x:c>
      <x:c r="C45" s="13" t="str">
        <x:v>Phase 2</x:v>
      </x:c>
      <x:c r="D45" s="13" t="str">
        <x:v>DNS / Hybrid Integration</x:v>
      </x:c>
      <x:c r="E45" s="13" t="str">
        <x:v>Task</x:v>
      </x:c>
      <x:c r="F45" s="13" t="str">
        <x:v>P1</x:v>
      </x:c>
      <x:c r="G45" s="13" t="str">
        <x:v>To Do</x:v>
      </x:c>
      <x:c r="H45" s="19" t="n">
        <x:v>46314</x:v>
      </x:c>
      <x:c r="I45" s="19" t="n">
        <x:v>46315</x:v>
      </x:c>
      <x:c r="J45" s="61" t="n">
        <x:f>IF(OR(H45="",I45=""),"",I45-H45+1)</x:f>
        <x:v>2</x:v>
      </x:c>
      <x:c r="K45" s="61" t="n">
        <x:f>IF(OR(H45="",I45=""),"",NETWORKDAYS(H45,I45,'Sources &amp; Change Log'!$J$2:$J$5)-COUNTIFS('Team Calendar'!$A$5:$A$10,L45,'Team Calendar'!$C$5:$C$10,"&gt;="&amp;H45,'Team Calendar'!$C$5:$C$10,"&lt;="&amp;I45,'Team Calendar'!$F$5:$F$10,"Personal absence"))</x:f>
        <x:v>2</x:v>
      </x:c>
      <x:c r="L45" s="13" t="str">
        <x:v>이권욱</x:v>
      </x:c>
      <x:c r="M45" s="13" t="str">
        <x:v>이하영, 이재환</x:v>
      </x:c>
      <x:c r="N45" s="13" t="str">
        <x:v>D11; D23</x:v>
      </x:c>
      <x:c r="O45" s="13" t="str">
        <x:v>RISK-10; RISK-12; RISK-15</x:v>
      </x:c>
      <x:c r="P45" s="13" t="str">
        <x:v>D23이 Hybrid DNS를 선택한 경우 Resolver/Conditional Forwarding/Route/Query Test PASS; IP Endpoint 유지 시 N/A 근거 승인</x:v>
      </x:c>
      <x:c r="Q45" s="13" t="str">
        <x:v>DEC-P2-DNS-01 / D23 결정 결과가 미구현이면 Status=Cancelled와 결정 근거를 기록한다. 구현 시 Hybrid E2E IP Endpoint에 대한 영향을 검증한다.</x:v>
      </x:c>
      <x:c r="R45" s="13" t="str">
        <x:v>FDS_Project_Implementation_Baseline_v3.1.12; FDS_Network_Baseline_v2.3; FDS_Phase1_Logical_Architecture_v3.1.2</x:v>
      </x:c>
      <x:c r="S45" s="13" t="str">
        <x:f>IF(G45="Done","Complete",IF(OR(H45="",I45=""),"TBD",IF(I45&lt;'Executive Summary'!$B$4,"Past Due",IF(H45&lt;='Executive Summary'!$B$4,"Active Window","Planned"))))</x:f>
        <x:v>Planned</x:v>
      </x:c>
    </x:row>
    <x:row r="46" ht="44" customHeight="1">
      <x:c r="A46" s="13" t="str">
        <x:v>P2-DOC-01</x:v>
      </x:c>
      <x:c r="B46" s="13" t="str">
        <x:v>Cloud / Hybrid Deliverable Freeze</x:v>
      </x:c>
      <x:c r="C46" s="13" t="str">
        <x:v>Phase 2</x:v>
      </x:c>
      <x:c r="D46" s="13" t="str">
        <x:v>PMO / Documentation</x:v>
      </x:c>
      <x:c r="E46" s="13" t="str">
        <x:v>Task</x:v>
      </x:c>
      <x:c r="F46" s="13" t="str">
        <x:v>P0</x:v>
      </x:c>
      <x:c r="G46" s="13" t="str">
        <x:v>To Do</x:v>
      </x:c>
      <x:c r="H46" s="19" t="n">
        <x:v>46314</x:v>
      </x:c>
      <x:c r="I46" s="19" t="n">
        <x:v>46318</x:v>
      </x:c>
      <x:c r="J46" s="61" t="n">
        <x:f>IF(OR(H46="",I46=""),"",I46-H46+1)</x:f>
        <x:v>5</x:v>
      </x:c>
      <x:c r="K46" s="61" t="n">
        <x:f>IF(OR(H46="",I46=""),"",NETWORKDAYS(H46,I46,'Sources &amp; Change Log'!$J$2:$J$5)-COUNTIFS('Team Calendar'!$A$5:$A$10,L46,'Team Calendar'!$C$5:$C$10,"&gt;="&amp;H46,'Team Calendar'!$C$5:$C$10,"&lt;="&amp;I46,'Team Calendar'!$F$5:$F$10,"Personal absence"))</x:f>
        <x:v>5</x:v>
      </x:c>
      <x:c r="L46" s="13" t="str">
        <x:v>이권욱</x:v>
      </x:c>
      <x:c r="M46" s="13" t="str">
        <x:v>이하영, 이재환</x:v>
      </x:c>
      <x:c r="N46" s="13" t="str">
        <x:v>D12; D21; D22; D23; D24; D25; D26</x:v>
      </x:c>
      <x:c r="O46" s="13" t="str">
        <x:v>RISK-10; RISK-11; RISK-12; RISK-13</x:v>
      </x:c>
      <x:c r="P46" s="13" t="str">
        <x:v>Terraform/ROSA/VPN/Hybrid Architecture, CI/CD, Test/Evidence, Backup/Recovery Runbook, D22/D23/D26 Decision, Known Issue 및 Deliverable Freeze 승인</x:v>
      </x:c>
      <x:c r="Q46" s="13" t="str">
        <x:v>10-23 Deliverable Freeze와 DEC-CAL-P2-01을 함께 완료한다.</x:v>
      </x:c>
      <x:c r="R46" s="13" t="str">
        <x:v>FDS_Project_Implementation_Baseline_v3.1.12; FDS_Phase1_Logical_Architecture_v3.1.2; Phase 2 OCI/AWS/ROSA Design</x:v>
      </x:c>
      <x:c r="S46" s="13" t="str">
        <x:f>IF(G46="Done","Complete",IF(OR(H46="",I46=""),"TBD",IF(I46&lt;'Executive Summary'!$B$4,"Past Due",IF(H46&lt;='Executive Summary'!$B$4,"Active Window","Planned"))))</x:f>
        <x:v>Planned</x:v>
      </x:c>
    </x:row>
    <x:row r="47" ht="44" customHeight="1">
      <x:c r="A47" s="13" t="str">
        <x:v>P2-E2E-01</x:v>
      </x:c>
      <x:c r="B47" s="13" t="str">
        <x:v>Hybrid E2E / Regression</x:v>
      </x:c>
      <x:c r="C47" s="13" t="str">
        <x:v>Phase 2</x:v>
      </x:c>
      <x:c r="D47" s="13" t="str">
        <x:v>QA / Hybrid E2E</x:v>
      </x:c>
      <x:c r="E47" s="13" t="str">
        <x:v>Task</x:v>
      </x:c>
      <x:c r="F47" s="13" t="str">
        <x:v>P0</x:v>
      </x:c>
      <x:c r="G47" s="13" t="str">
        <x:v>To Do</x:v>
      </x:c>
      <x:c r="H47" s="19" t="n">
        <x:v>46314</x:v>
      </x:c>
      <x:c r="I47" s="19" t="n">
        <x:v>46317</x:v>
      </x:c>
      <x:c r="J47" s="61" t="n">
        <x:f>IF(OR(H47="",I47=""),"",I47-H47+1)</x:f>
        <x:v>4</x:v>
      </x:c>
      <x:c r="K47" s="61" t="n">
        <x:f>IF(OR(H47="",I47=""),"",NETWORKDAYS(H47,I47,'Sources &amp; Change Log'!$J$2:$J$5)-COUNTIFS('Team Calendar'!$A$5:$A$10,L47,'Team Calendar'!$C$5:$C$10,"&gt;="&amp;H47,'Team Calendar'!$C$5:$C$10,"&lt;="&amp;I47,'Team Calendar'!$F$5:$F$10,"Personal absence"))</x:f>
        <x:v>4</x:v>
      </x:c>
      <x:c r="L47" s="13" t="str">
        <x:v>이재환</x:v>
      </x:c>
      <x:c r="M47" s="13" t="str">
        <x:v>이권욱, 이하영</x:v>
      </x:c>
      <x:c r="N47" s="13" t="str">
        <x:v>D21; D22; D23</x:v>
      </x:c>
      <x:c r="O47" s="13" t="str">
        <x:v>RISK-09; RISK-10; RISK-11; RISK-12</x:v>
      </x:c>
      <x:c r="P47" s="13" t="str">
        <x:v>ROSA transaction-api→fds-engine→On-Prem PostgreSQL Hybrid E2E, Rule/Negative/Recovery Regression PASS와 Critical Issue 0</x:v>
      </x:c>
      <x:c r="Q47" s="13" t="str">
        <x:v>IP Endpoint와 Registry N/A 여부는 승인 Decision 결과를 Expected에 반영한다.</x:v>
      </x:c>
      <x:c r="R47" s="13" t="str">
        <x:v>FDS_Project_Implementation_Baseline_v3.1.12; FDS_Phase1_Logical_Architecture_v3.1.2; Phase 2 OCI/AWS/ROSA Design</x:v>
      </x:c>
      <x:c r="S47" s="13" t="str">
        <x:f>IF(G47="Done","Complete",IF(OR(H47="",I47=""),"TBD",IF(I47&lt;'Executive Summary'!$B$4,"Past Due",IF(H47&lt;='Executive Summary'!$B$4,"Active Window","Planned"))))</x:f>
        <x:v>Planned</x:v>
      </x:c>
    </x:row>
    <x:row r="48" ht="44" customHeight="1">
      <x:c r="A48" s="13" t="str">
        <x:v>P2-OP-01</x:v>
      </x:c>
      <x:c r="B48" s="13" t="str">
        <x:v>Operator Supply Chain Implementation Conditional</x:v>
      </x:c>
      <x:c r="C48" s="13" t="str">
        <x:v>Phase 2</x:v>
      </x:c>
      <x:c r="D48" s="13" t="str">
        <x:v>Operator Supply Chain</x:v>
      </x:c>
      <x:c r="E48" s="13" t="str">
        <x:v>Task</x:v>
      </x:c>
      <x:c r="F48" s="13" t="str">
        <x:v>P1</x:v>
      </x:c>
      <x:c r="G48" s="13" t="str">
        <x:v>To Do</x:v>
      </x:c>
      <x:c r="H48" s="19" t="n">
        <x:v>46314</x:v>
      </x:c>
      <x:c r="I48" s="19" t="n">
        <x:v>46315</x:v>
      </x:c>
      <x:c r="J48" s="61" t="n">
        <x:f>IF(OR(H48="",I48=""),"",I48-H48+1)</x:f>
        <x:v>2</x:v>
      </x:c>
      <x:c r="K48" s="61" t="n">
        <x:f>IF(OR(H48="",I48=""),"",NETWORKDAYS(H48,I48,'Sources &amp; Change Log'!$J$2:$J$5)-COUNTIFS('Team Calendar'!$A$5:$A$10,L48,'Team Calendar'!$C$5:$C$10,"&gt;="&amp;H48,'Team Calendar'!$C$5:$C$10,"&lt;="&amp;I48,'Team Calendar'!$F$5:$F$10,"Personal absence"))</x:f>
        <x:v>2</x:v>
      </x:c>
      <x:c r="L48" s="13" t="str">
        <x:v>이하영</x:v>
      </x:c>
      <x:c r="M48" s="13" t="str">
        <x:v>이권욱, 이재환</x:v>
      </x:c>
      <x:c r="N48" s="13" t="str">
        <x:v>D22; D26</x:v>
      </x:c>
      <x:c r="O48" s="13" t="str">
        <x:v>RISK-06; RISK-11; RISK-15</x:v>
      </x:c>
      <x:c r="P48" s="13" t="str">
        <x:v>D26이 Mirror를 선택한 경우 oc-mirror ImageSet·Harbor Push·Custom CatalogSource·Package 조회 PASS; Direct Catalog 선택 시 N/A 근거 승인</x:v>
      </x:c>
      <x:c r="Q48" s="13" t="str">
        <x:v>DEC-P2-OP-01 / D26에서 Direct Catalog를 선택하면 Status=Cancelled와 결정 근거를 기록한다. Mirror 선택 시 구현을 진행한다.</x:v>
      </x:c>
      <x:c r="R48" s="13" t="str">
        <x:v>FDS_Project_Implementation_Baseline_v3.1.12; FDS_Network_Baseline_v2.3; FDS_Phase1_Logical_Architecture_v3.1.2</x:v>
      </x:c>
      <x:c r="S48" s="13" t="str">
        <x:f>IF(G48="Done","Complete",IF(OR(H48="",I48=""),"TBD",IF(I48&lt;'Executive Summary'!$B$4,"Past Due",IF(H48&lt;='Executive Summary'!$B$4,"Active Window","Planned"))))</x:f>
        <x:v>Planned</x:v>
      </x:c>
    </x:row>
    <x:row r="49" ht="44" customHeight="1">
      <x:c r="A49" s="13" t="str">
        <x:v>DEC-CAL-P2-01</x:v>
      </x:c>
      <x:c r="B49" s="13" t="str">
        <x:v>Phase 2 Weekend Review Decision</x:v>
      </x:c>
      <x:c r="C49" s="13" t="str">
        <x:v>Phase 2</x:v>
      </x:c>
      <x:c r="D49" s="13" t="str">
        <x:v>Schedule / Governance</x:v>
      </x:c>
      <x:c r="E49" s="13" t="str">
        <x:v>Decision</x:v>
      </x:c>
      <x:c r="F49" s="13" t="str">
        <x:v>P0</x:v>
      </x:c>
      <x:c r="G49" s="13" t="str">
        <x:v>To Do</x:v>
      </x:c>
      <x:c r="H49" s="19" t="n">
        <x:v>46317</x:v>
      </x:c>
      <x:c r="I49" s="19" t="n">
        <x:v>46318</x:v>
      </x:c>
      <x:c r="J49" s="61" t="n">
        <x:f>IF(OR(H49="",I49=""),"",I49-H49+1)</x:f>
        <x:v>2</x:v>
      </x:c>
      <x:c r="K49" s="61" t="n">
        <x:f>IF(OR(H49="",I49=""),"",NETWORKDAYS(H49,I49,'Sources &amp; Change Log'!$J$2:$J$5)-COUNTIFS('Team Calendar'!$A$5:$A$10,L49,'Team Calendar'!$C$5:$C$10,"&gt;="&amp;H49,'Team Calendar'!$C$5:$C$10,"&lt;="&amp;I49,'Team Calendar'!$F$5:$F$10,"Personal absence"))</x:f>
        <x:v>2</x:v>
      </x:c>
      <x:c r="L49" s="13" t="str">
        <x:v>이권욱</x:v>
      </x:c>
      <x:c r="M49" s="13" t="str">
        <x:v>이하영, 이재환</x:v>
      </x:c>
      <x:c r="N49" s="13" t="str">
        <x:v>D24</x:v>
      </x:c>
      <x:c r="O49" s="13" t="str">
        <x:v>RISK-05; RISK-13</x:v>
      </x:c>
      <x:c r="P49" s="13" t="str">
        <x:v>10-24 토요일 Review 유지 또는 영업일 재배치, 참석자·승인권자·시간·Project Close 영향도를 확정하고 WBS 동기화</x:v>
      </x:c>
      <x:c r="Q49" s="13" t="str">
        <x:v>2026-10-24는 토요일이며 Working Days 0이다. Project Close 10-26 영향을 함께 검토한다.</x:v>
      </x:c>
      <x:c r="R49" s="13" t="str">
        <x:v>FDS_Project_Implementation_Baseline_v3.1.12; 2026 Calendar</x:v>
      </x:c>
      <x:c r="S49" s="13" t="str">
        <x:f>IF(G49="Done","Complete",IF(OR(H49="",I49=""),"TBD",IF(I49&lt;'Executive Summary'!$B$4,"Past Due",IF(H49&lt;='Executive Summary'!$B$4,"Active Window","Planned"))))</x:f>
        <x:v>Planned</x:v>
      </x:c>
    </x:row>
    <x:row r="50" ht="44" customHeight="1">
      <x:c r="A50" s="13" t="str">
        <x:v>MS-G6-01</x:v>
      </x:c>
      <x:c r="B50" s="13" t="str">
        <x:v>G6 Hybrid Integration Ready</x:v>
      </x:c>
      <x:c r="C50" s="13" t="str">
        <x:v>Phase 2</x:v>
      </x:c>
      <x:c r="D50" s="13" t="str">
        <x:v>Milestone / Hybrid Integration</x:v>
      </x:c>
      <x:c r="E50" s="13" t="str">
        <x:v>Milestone</x:v>
      </x:c>
      <x:c r="F50" s="13" t="str">
        <x:v>P0</x:v>
      </x:c>
      <x:c r="G50" s="13" t="str">
        <x:v>To Do</x:v>
      </x:c>
      <x:c r="H50" s="19" t="n">
        <x:v>46317</x:v>
      </x:c>
      <x:c r="I50" s="19" t="n">
        <x:v>46317</x:v>
      </x:c>
      <x:c r="J50" s="61" t="n">
        <x:f>IF(OR(H50="",I50=""),"",I50-H50+1)</x:f>
        <x:v>1</x:v>
      </x:c>
      <x:c r="K50" s="61" t="n">
        <x:f>IF(OR(H50="",I50=""),"",NETWORKDAYS(H50,I50,'Sources &amp; Change Log'!$J$2:$J$5)-COUNTIFS('Team Calendar'!$A$5:$A$10,L50,'Team Calendar'!$C$5:$C$10,"&gt;="&amp;H50,'Team Calendar'!$C$5:$C$10,"&lt;="&amp;I50,'Team Calendar'!$F$5:$F$10,"Personal absence"))</x:f>
        <x:v>1</x:v>
      </x:c>
      <x:c r="L50" s="13" t="str">
        <x:v>이권욱</x:v>
      </x:c>
      <x:c r="M50" s="13" t="str">
        <x:v>이하영, 이재환</x:v>
      </x:c>
      <x:c r="N50" s="13" t="str">
        <x:v>D21; D22; D23; D26</x:v>
      </x:c>
      <x:c r="O50" s="13" t="str">
        <x:v>RISK-09; RISK-10; RISK-11; RISK-12</x:v>
      </x:c>
      <x:c r="P50" s="13" t="str">
        <x:v>Hybrid DB/Registry Integration, OADP 복구검증, Hybrid E2E/Regression, Critical Issue 0을 승인</x:v>
      </x:c>
      <x:c r="Q50" s="13" t="str">
        <x:v>Hybrid DNS와 Operator 공급망은 D23/D26 결과에 따라 구현 또는 Cancelled 처리한다. 같은 날 DEC-CAL-P2-01 검토를 시작해 Review 일정을 10-23까지 확정한다.</x:v>
      </x:c>
      <x:c r="R50" s="13" t="str">
        <x:v>FDS_Project_Implementation_Baseline_v3.1.12; FDS_Phase1_Logical_Architecture_v3.1.2; Phase 2 OCI/AWS/ROSA Design</x:v>
      </x:c>
      <x:c r="S50" s="13" t="str">
        <x:f>IF(G50="Done","Complete",IF(OR(H50="",I50=""),"TBD",IF(I50&lt;'Executive Summary'!$B$4,"Past Due",IF(H50&lt;='Executive Summary'!$B$4,"Active Window","Planned"))))</x:f>
        <x:v>Planned</x:v>
      </x:c>
    </x:row>
    <x:row r="51" ht="44" customHeight="1">
      <x:c r="A51" s="13" t="str">
        <x:v>MS-DELIVERABLE-FREEZE-01</x:v>
      </x:c>
      <x:c r="B51" s="13" t="str">
        <x:v>Deliverable Freeze</x:v>
      </x:c>
      <x:c r="C51" s="13" t="str">
        <x:v>Phase 2</x:v>
      </x:c>
      <x:c r="D51" s="13" t="str">
        <x:v>Milestone / Deliverable</x:v>
      </x:c>
      <x:c r="E51" s="13" t="str">
        <x:v>Milestone</x:v>
      </x:c>
      <x:c r="F51" s="13" t="str">
        <x:v>P0</x:v>
      </x:c>
      <x:c r="G51" s="13" t="str">
        <x:v>To Do</x:v>
      </x:c>
      <x:c r="H51" s="19" t="n">
        <x:v>46318</x:v>
      </x:c>
      <x:c r="I51" s="19" t="n">
        <x:v>46318</x:v>
      </x:c>
      <x:c r="J51" s="61" t="n">
        <x:f>IF(OR(H51="",I51=""),"",I51-H51+1)</x:f>
        <x:v>1</x:v>
      </x:c>
      <x:c r="K51" s="61" t="n">
        <x:f>IF(OR(H51="",I51=""),"",NETWORKDAYS(H51,I51,'Sources &amp; Change Log'!$J$2:$J$5)-COUNTIFS('Team Calendar'!$A$5:$A$10,L51,'Team Calendar'!$C$5:$C$10,"&gt;="&amp;H51,'Team Calendar'!$C$5:$C$10,"&lt;="&amp;I51,'Team Calendar'!$F$5:$F$10,"Personal absence"))</x:f>
        <x:v>1</x:v>
      </x:c>
      <x:c r="L51" s="13" t="str">
        <x:v>이권욱</x:v>
      </x:c>
      <x:c r="M51" s="13" t="str">
        <x:v>이하영, 이재환</x:v>
      </x:c>
      <x:c r="N51" s="13" t="str">
        <x:v>D12; D21; D22; D23; D24</x:v>
      </x:c>
      <x:c r="O51" s="13" t="str">
        <x:v>RISK-10; RISK-11; RISK-12; RISK-13</x:v>
      </x:c>
      <x:c r="P51" s="13" t="str">
        <x:v>Architecture/IaC/Test/Runbook/Evidence/Decision/Known Issue의 최종 Version과 변경금지를 승인</x:v>
      </x:c>
      <x:c r="Q51" s="13" t="str">
        <x:v>Freeze 이후 변경은 Review Action 또는 Change Request로만 허용한다.</x:v>
      </x:c>
      <x:c r="R51" s="13" t="str">
        <x:v>FDS_Project_Implementation_Baseline_v3.1.12; FDS_Phase1_Logical_Architecture_v3.1.2; Phase 2 OCI/AWS/ROSA Design</x:v>
      </x:c>
      <x:c r="S51" s="13" t="str">
        <x:f>IF(G51="Done","Complete",IF(OR(H51="",I51=""),"TBD",IF(I51&lt;'Executive Summary'!$B$4,"Past Due",IF(H51&lt;='Executive Summary'!$B$4,"Active Window","Planned"))))</x:f>
        <x:v>Planned</x:v>
      </x:c>
    </x:row>
    <x:row r="52" ht="44" customHeight="1">
      <x:c r="A52" s="13" t="str">
        <x:v>P2-REV-01</x:v>
      </x:c>
      <x:c r="B52" s="13" t="str">
        <x:v>Phase 2 Review / Project Close Execution</x:v>
      </x:c>
      <x:c r="C52" s="13" t="str">
        <x:v>Phase 2</x:v>
      </x:c>
      <x:c r="D52" s="13" t="str">
        <x:v>PMO / Review</x:v>
      </x:c>
      <x:c r="E52" s="13" t="str">
        <x:v>Task</x:v>
      </x:c>
      <x:c r="F52" s="13" t="str">
        <x:v>P0</x:v>
      </x:c>
      <x:c r="G52" s="13" t="str">
        <x:v>To Do</x:v>
      </x:c>
      <x:c r="H52" s="19" t="n">
        <x:v>46318</x:v>
      </x:c>
      <x:c r="I52" s="19" t="n">
        <x:v>46321</x:v>
      </x:c>
      <x:c r="J52" s="61" t="n">
        <x:f>IF(OR(H52="",I52=""),"",I52-H52+1)</x:f>
        <x:v>4</x:v>
      </x:c>
      <x:c r="K52" s="61" t="n">
        <x:f>IF(OR(H52="",I52=""),"",NETWORKDAYS(H52,I52,'Sources &amp; Change Log'!$J$2:$J$5)-COUNTIFS('Team Calendar'!$A$5:$A$10,L52,'Team Calendar'!$C$5:$C$10,"&gt;="&amp;H52,'Team Calendar'!$C$5:$C$10,"&lt;="&amp;I52,'Team Calendar'!$F$5:$F$10,"Personal absence"))</x:f>
        <x:v>2</x:v>
      </x:c>
      <x:c r="L52" s="13" t="str">
        <x:v>이권욱</x:v>
      </x:c>
      <x:c r="M52" s="13" t="str">
        <x:v>이하영, 이재환</x:v>
      </x:c>
      <x:c r="N52" s="13" t="str">
        <x:v>D12; D21; D22; D23; D24</x:v>
      </x:c>
      <x:c r="O52" s="13" t="str">
        <x:v>RISK-10; RISK-11; RISK-12; RISK-13</x:v>
      </x:c>
      <x:c r="P52" s="13" t="str">
        <x:v>G6/Deliverable Freeze, Hybrid Demo, P0 Evidence, Decision/Known Issue, 비용·자원 정리 및 Project Close Sign-off 확보</x:v>
      </x:c>
      <x:c r="Q52" s="13" t="str">
        <x:v>Review 실행일은 D24 결과를 따른다. 최종 Close 목표는 10-26이다.</x:v>
      </x:c>
      <x:c r="R52" s="13" t="str">
        <x:v>FDS_Project_Implementation_Baseline_v3.1.12; FDS_Phase1_Logical_Architecture_v3.1.2; Phase 2 OCI/AWS/ROSA Design</x:v>
      </x:c>
      <x:c r="S52" s="13" t="str">
        <x:f>IF(G52="Done","Complete",IF(OR(H52="",I52=""),"TBD",IF(I52&lt;'Executive Summary'!$B$4,"Past Due",IF(H52&lt;='Executive Summary'!$B$4,"Active Window","Planned"))))</x:f>
        <x:v>Planned</x:v>
      </x:c>
    </x:row>
    <x:row r="53" ht="44" customHeight="1">
      <x:c r="A53" s="13" t="str">
        <x:v>MS-P2-REVIEW-01</x:v>
      </x:c>
      <x:c r="B53" s="13" t="str">
        <x:v>Phase 2 Review</x:v>
      </x:c>
      <x:c r="C53" s="13" t="str">
        <x:v>Phase 2</x:v>
      </x:c>
      <x:c r="D53" s="13" t="str">
        <x:v>Milestone / Review</x:v>
      </x:c>
      <x:c r="E53" s="13" t="str">
        <x:v>Milestone</x:v>
      </x:c>
      <x:c r="F53" s="13" t="str">
        <x:v>P0</x:v>
      </x:c>
      <x:c r="G53" s="13" t="str">
        <x:v>To Do</x:v>
      </x:c>
      <x:c r="H53" s="19" t="n">
        <x:v>46319</x:v>
      </x:c>
      <x:c r="I53" s="19" t="n">
        <x:v>46319</x:v>
      </x:c>
      <x:c r="J53" s="61" t="n">
        <x:f>IF(OR(H53="",I53=""),"",I53-H53+1)</x:f>
        <x:v>1</x:v>
      </x:c>
      <x:c r="K53" s="61" t="n">
        <x:f>IF(OR(H53="",I53=""),"",NETWORKDAYS(H53,I53,'Sources &amp; Change Log'!$J$2:$J$5)-COUNTIFS('Team Calendar'!$A$5:$A$10,L53,'Team Calendar'!$C$5:$C$10,"&gt;="&amp;H53,'Team Calendar'!$C$5:$C$10,"&lt;="&amp;I53,'Team Calendar'!$F$5:$F$10,"Personal absence"))</x:f>
        <x:v>0</x:v>
      </x:c>
      <x:c r="L53" s="13" t="str">
        <x:v>이권욱</x:v>
      </x:c>
      <x:c r="M53" s="13" t="str">
        <x:v>이하영, 이재환</x:v>
      </x:c>
      <x:c r="N53" s="13" t="str">
        <x:v>D24</x:v>
      </x:c>
      <x:c r="O53" s="13" t="str">
        <x:v>RISK-05; RISK-13</x:v>
      </x:c>
      <x:c r="P53" s="13" t="str">
        <x:v>승인된 일정에 Hybrid Demo/산출물/G6/Known Issue/Cloud Resource Review를 수행하고 Action·승인결과를 기록</x:v>
      </x:c>
      <x:c r="Q53" s="13" t="str">
        <x:v>2026-10-24는 토요일이며 Working Days 0이다. D24가 변경을 승인하면 Start/End를 동일하게 수정한다.</x:v>
      </x:c>
      <x:c r="R53" s="13" t="str">
        <x:v>FDS_Project_Implementation_Baseline_v3.1.12; FDS_Phase1_Logical_Architecture_v3.1.2; Phase 2 OCI/AWS/ROSA Design</x:v>
      </x:c>
      <x:c r="S53" s="13" t="str">
        <x:f>IF(G53="Done","Complete",IF(OR(H53="",I53=""),"TBD",IF(I53&lt;'Executive Summary'!$B$4,"Past Due",IF(H53&lt;='Executive Summary'!$B$4,"Active Window","Planned"))))</x:f>
        <x:v>Planned</x:v>
      </x:c>
    </x:row>
    <x:row r="54" ht="44" customHeight="1">
      <x:c r="A54" s="13" t="str">
        <x:v>MS-PROJECT-CLOSE-01</x:v>
      </x:c>
      <x:c r="B54" s="13" t="str">
        <x:v>Project Close</x:v>
      </x:c>
      <x:c r="C54" s="13" t="str">
        <x:v>Phase 2</x:v>
      </x:c>
      <x:c r="D54" s="13" t="str">
        <x:v>Milestone / Close</x:v>
      </x:c>
      <x:c r="E54" s="13" t="str">
        <x:v>Milestone</x:v>
      </x:c>
      <x:c r="F54" s="13" t="str">
        <x:v>P0</x:v>
      </x:c>
      <x:c r="G54" s="13" t="str">
        <x:v>To Do</x:v>
      </x:c>
      <x:c r="H54" s="19" t="n">
        <x:v>46321</x:v>
      </x:c>
      <x:c r="I54" s="19" t="n">
        <x:v>46321</x:v>
      </x:c>
      <x:c r="J54" s="61" t="n">
        <x:f>IF(OR(H54="",I54=""),"",I54-H54+1)</x:f>
        <x:v>1</x:v>
      </x:c>
      <x:c r="K54" s="61" t="n">
        <x:f>IF(OR(H54="",I54=""),"",NETWORKDAYS(H54,I54,'Sources &amp; Change Log'!$J$2:$J$5)-COUNTIFS('Team Calendar'!$A$5:$A$10,L54,'Team Calendar'!$C$5:$C$10,"&gt;="&amp;H54,'Team Calendar'!$C$5:$C$10,"&lt;="&amp;I54,'Team Calendar'!$F$5:$F$10,"Personal absence"))</x:f>
        <x:v>1</x:v>
      </x:c>
      <x:c r="L54" s="13" t="str">
        <x:v>이권욱</x:v>
      </x:c>
      <x:c r="M54" s="13" t="str">
        <x:v>이하영, 이재환</x:v>
      </x:c>
      <x:c r="N54" s="13" t="str">
        <x:v>D24</x:v>
      </x:c>
      <x:c r="O54" s="13" t="str">
        <x:v>RISK-05; RISK-11; RISK-13</x:v>
      </x:c>
      <x:c r="P54" s="13" t="str">
        <x:v>Review Action, P0 승인, 후속 P1/Known Issue, Cloud Resource/Cost, Source/Deliverable 인계 및 Project Close Sign-off 확보</x:v>
      </x:c>
      <x:c r="Q54" s="13" t="str">
        <x:v>D24가 Review를 10-26 이후로 이동시키면 Project Close도 Change Request 대상이다.</x:v>
      </x:c>
      <x:c r="R54" s="13" t="str">
        <x:v>FDS_Project_Implementation_Baseline_v3.1.12; FDS_Phase1_Logical_Architecture_v3.1.2; Phase 2 OCI/AWS/ROSA Design</x:v>
      </x:c>
      <x:c r="S54" s="13" t="str">
        <x:f>IF(G54="Done","Complete",IF(OR(H54="",I54=""),"TBD",IF(I54&lt;'Executive Summary'!$B$4,"Past Due",IF(H54&lt;='Executive Summary'!$B$4,"Active Window","Planned"))))</x:f>
        <x:v>Planned</x:v>
      </x:c>
    </x:row>
  </x:sheetData>
  <x:mergeCells>
    <x:mergeCell ref="A1:S1"/>
  </x:mergeCells>
  <x:conditionalFormatting sqref="G4:G54">
    <x:cfRule type="containsText" dxfId="0" priority="1" operator="containsText" text="Done"/>
    <x:cfRule type="containsText" dxfId="1" priority="2" operator="containsText" text="In Progress"/>
    <x:cfRule type="containsText" dxfId="2" priority="3" operator="containsText" text="In Review"/>
    <x:cfRule type="containsText" dxfId="3" priority="4" operator="containsText" text="Blocked"/>
  </x:conditionalFormatting>
  <x:conditionalFormatting sqref="S4:S54">
    <x:cfRule type="containsText" dxfId="4" priority="5" operator="containsText" text="Overdue"/>
    <x:cfRule type="containsText" dxfId="5" priority="6" operator="containsText" text="End TBD"/>
  </x:conditionalFormatting>
  <x:dataValidations count="2">
    <x:dataValidation type="list" sqref="G4:G54">
      <x:formula1>"To Do,In Progress,In Review,Blocked,Done"</x:formula1>
    </x:dataValidation>
    <x:dataValidation type="list" sqref="F4:F54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f0011134ae747a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3" hidden="0" customWidth="1"/>
    <x:col min="5" max="5" width="13" hidden="0" customWidth="1"/>
    <x:col min="6" max="6" width="14" hidden="0" customWidth="1"/>
    <x:col min="7" max="7" width="5.5" hidden="0" customWidth="1"/>
    <x:col min="8" max="8" width="5.5" hidden="0" customWidth="1"/>
    <x:col min="9" max="9" width="5.5" hidden="0" customWidth="1"/>
    <x:col min="10" max="10" width="5.5" hidden="0" customWidth="1"/>
    <x:col min="11" max="11" width="5.5" hidden="0" customWidth="1"/>
    <x:col min="12" max="12" width="5.5" hidden="0" customWidth="1"/>
    <x:col min="13" max="13" width="5.5" hidden="0" customWidth="1"/>
    <x:col min="14" max="14" width="5.5" hidden="0" customWidth="1"/>
    <x:col min="15" max="15" width="5.5" hidden="0" customWidth="1"/>
    <x:col min="16" max="16" width="5.5" hidden="0" customWidth="1"/>
    <x:col min="17" max="17" width="5.5" hidden="0" customWidth="1"/>
    <x:col min="18" max="18" width="5.5" hidden="0" customWidth="1"/>
    <x:col min="19" max="19" width="5.5" hidden="0" customWidth="1"/>
    <x:col min="20" max="20" width="5.5" hidden="0" customWidth="1"/>
    <x:col min="21" max="21" width="5.5" hidden="0" customWidth="1"/>
    <x:col min="22" max="22" width="5.5" hidden="0" customWidth="1"/>
    <x:col min="23" max="23" width="5.5" hidden="0" customWidth="1"/>
    <x:col min="24" max="24" width="5.5" hidden="0" customWidth="1"/>
    <x:col min="25" max="25" width="5.5" hidden="0" customWidth="1"/>
    <x:col min="26" max="26" width="5.5" hidden="0" customWidth="1"/>
    <x:col min="27" max="27" width="5.5" hidden="0" customWidth="1"/>
    <x:col min="28" max="28" width="5.5" hidden="0" customWidth="1"/>
    <x:col min="29" max="29" width="5.5" hidden="0" customWidth="1"/>
    <x:col min="30" max="30" width="5.5" hidden="0" customWidth="1"/>
    <x:col min="31" max="31" width="5.5" hidden="0" customWidth="1"/>
    <x:col min="32" max="32" width="5.5" hidden="0" customWidth="1"/>
    <x:col min="33" max="33" width="5.5" hidden="0" customWidth="1"/>
    <x:col min="34" max="34" width="5.5" hidden="0" customWidth="1"/>
    <x:col min="35" max="35" width="5.5" hidden="0" customWidth="1"/>
  </x:cols>
  <x:sheetData>
    <x:row r="1" ht="34" customHeight="1">
      <x:c r="A1" s="3" t="str">
        <x:v>FDS v3.1.16 · Phase 1 Gantt</x:v>
      </x:c>
      <x:c r="B1" s="3" t="str">
        <x:v>FDS v3.1.14 · Phase 1 Gantt</x:v>
      </x:c>
      <x:c r="C1" s="3" t="str">
        <x:v>FDS v3.1.14 · Phase 1 Gantt</x:v>
      </x:c>
      <x:c r="D1" s="3" t="str">
        <x:v>FDS v3.1.14 · Phase 1 Gantt</x:v>
      </x:c>
      <x:c r="E1" s="3" t="str">
        <x:v>FDS v3.1.14 · Phase 1 Gantt</x:v>
      </x:c>
      <x:c r="F1" s="3" t="str">
        <x:v>FDS v3.1.14 · Phase 1 Gantt</x:v>
      </x:c>
      <x:c r="G1" s="3" t="str">
        <x:v>FDS v3.1.14 · Phase 1 Gantt</x:v>
      </x:c>
      <x:c r="H1" s="3" t="str">
        <x:v>FDS v3.1.14 · Phase 1 Gantt</x:v>
      </x:c>
      <x:c r="I1" s="3" t="str">
        <x:v>FDS v3.1.14 · Phase 1 Gantt</x:v>
      </x:c>
      <x:c r="J1" s="3" t="str">
        <x:v>FDS v3.1.14 · Phase 1 Gantt</x:v>
      </x:c>
      <x:c r="K1" s="3" t="str">
        <x:v>FDS v3.1.14 · Phase 1 Gantt</x:v>
      </x:c>
      <x:c r="L1" s="3" t="str">
        <x:v>FDS v3.1.14 · Phase 1 Gantt</x:v>
      </x:c>
      <x:c r="M1" s="3" t="str">
        <x:v>FDS v3.1.14 · Phase 1 Gantt</x:v>
      </x:c>
      <x:c r="N1" s="3" t="str">
        <x:v>FDS v3.1.14 · Phase 1 Gantt</x:v>
      </x:c>
      <x:c r="O1" s="3" t="str">
        <x:v>FDS v3.1.14 · Phase 1 Gantt</x:v>
      </x:c>
      <x:c r="P1" s="3" t="str">
        <x:v>FDS v3.1.14 · Phase 1 Gantt</x:v>
      </x:c>
      <x:c r="Q1" s="3" t="str">
        <x:v>FDS v3.1.14 · Phase 1 Gantt</x:v>
      </x:c>
      <x:c r="R1" s="3" t="str">
        <x:v>FDS v3.1.14 · Phase 1 Gantt</x:v>
      </x:c>
      <x:c r="S1" s="3" t="str">
        <x:v>FDS v3.1.14 · Phase 1 Gantt</x:v>
      </x:c>
      <x:c r="T1" s="3" t="str">
        <x:v>FDS v3.1.14 · Phase 1 Gantt</x:v>
      </x:c>
      <x:c r="U1" s="3" t="str">
        <x:v>FDS v3.1.14 · Phase 1 Gantt</x:v>
      </x:c>
      <x:c r="V1" s="3" t="str">
        <x:v>FDS v3.1.14 · Phase 1 Gantt</x:v>
      </x:c>
      <x:c r="W1" s="3" t="str">
        <x:v>FDS v3.1.14 · Phase 1 Gantt</x:v>
      </x:c>
      <x:c r="X1" s="3" t="str">
        <x:v>FDS v3.1.14 · Phase 1 Gantt</x:v>
      </x:c>
      <x:c r="Y1" s="3" t="str">
        <x:v>FDS v3.1.14 · Phase 1 Gantt</x:v>
      </x:c>
      <x:c r="Z1" s="3" t="str">
        <x:v>FDS v3.1.14 · Phase 1 Gantt</x:v>
      </x:c>
      <x:c r="AA1" s="3" t="str">
        <x:v>FDS v3.1.14 · Phase 1 Gantt</x:v>
      </x:c>
      <x:c r="AB1" s="3" t="str">
        <x:v>FDS v3.1.14 · Phase 1 Gantt</x:v>
      </x:c>
      <x:c r="AC1" s="3" t="str">
        <x:v>FDS v3.1.14 · Phase 1 Gantt</x:v>
      </x:c>
      <x:c r="AD1" s="3" t="str">
        <x:v>FDS v3.1.14 · Phase 1 Gantt</x:v>
      </x:c>
      <x:c r="AE1" s="3" t="str">
        <x:v>FDS v3.1.14 · Phase 1 Gantt</x:v>
      </x:c>
      <x:c r="AF1" s="3" t="str">
        <x:v>FDS v3.1.14 · Phase 1 Gantt</x:v>
      </x:c>
      <x:c r="AG1" s="3" t="str">
        <x:v>FDS v3.1.14 · Phase 1 Gantt</x:v>
      </x:c>
      <x:c r="AH1" s="3" t="str">
        <x:v>FDS v3.1.14 · Phase 1 Gantt</x:v>
      </x:c>
      <x:c r="AI1" s="3" t="str">
        <x:v>FDS v3.1.14 · Phase 1 Gantt</x:v>
      </x:c>
    </x:row>
    <x:row r="2">
      <x:c r="A2" s="21" t="str">
        <x:v>Window 2026-08-26 → 2026-09-23 · As of 2026-09-03 · Formula-driven bars · L = JH LEE personal leave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  <x:c r="P2" s="21"/>
      <x:c r="Q2" s="21"/>
      <x:c r="R2" s="21"/>
      <x:c r="S2" s="21"/>
      <x:c r="T2" s="21"/>
      <x:c r="U2" s="21"/>
      <x:c r="V2" s="21"/>
      <x:c r="W2" s="21"/>
      <x:c r="X2" s="21"/>
      <x:c r="Y2" s="21"/>
      <x:c r="Z2" s="21"/>
      <x:c r="AA2" s="21"/>
      <x:c r="AB2" s="21"/>
      <x:c r="AC2" s="21"/>
      <x:c r="AD2" s="21"/>
      <x:c r="AE2" s="21"/>
      <x:c r="AF2" s="21"/>
      <x:c r="AG2" s="21"/>
      <x:c r="AH2" s="21"/>
      <x:c r="AI2" s="21"/>
    </x:row>
    <x:row r="4">
      <x:c r="A4" s="9" t="str">
        <x:v>WBS ID</x:v>
      </x:c>
      <x:c r="B4" s="9" t="str">
        <x:v>Work Item</x:v>
      </x:c>
      <x:c r="C4" s="9" t="str">
        <x:v>Status</x:v>
      </x:c>
      <x:c r="D4" s="9" t="str">
        <x:v>Start</x:v>
      </x:c>
      <x:c r="E4" s="9" t="str">
        <x:v>End</x:v>
      </x:c>
      <x:c r="F4" s="9" t="str">
        <x:v>Lead</x:v>
      </x:c>
      <x:c r="G4" s="22" t="n">
        <x:v>46260</x:v>
      </x:c>
      <x:c r="H4" s="22" t="n">
        <x:v>46261</x:v>
      </x:c>
      <x:c r="I4" s="22" t="n">
        <x:v>46262</x:v>
      </x:c>
      <x:c r="J4" s="24" t="n">
        <x:v>46263</x:v>
      </x:c>
      <x:c r="K4" s="24" t="n">
        <x:v>46264</x:v>
      </x:c>
      <x:c r="L4" s="22" t="n">
        <x:v>46265</x:v>
      </x:c>
      <x:c r="M4" s="26" t="n">
        <x:v>46266</x:v>
      </x:c>
      <x:c r="N4" s="22" t="n">
        <x:v>46267</x:v>
      </x:c>
      <x:c r="O4" s="22" t="n">
        <x:v>46268</x:v>
      </x:c>
      <x:c r="P4" s="22" t="n">
        <x:v>46269</x:v>
      </x:c>
      <x:c r="Q4" s="24" t="n">
        <x:v>46270</x:v>
      </x:c>
      <x:c r="R4" s="24" t="n">
        <x:v>46271</x:v>
      </x:c>
      <x:c r="S4" s="22" t="n">
        <x:v>46272</x:v>
      </x:c>
      <x:c r="T4" s="22" t="n">
        <x:v>46273</x:v>
      </x:c>
      <x:c r="U4" s="22" t="n">
        <x:v>46274</x:v>
      </x:c>
      <x:c r="V4" s="22" t="n">
        <x:v>46275</x:v>
      </x:c>
      <x:c r="W4" s="22" t="n">
        <x:v>46276</x:v>
      </x:c>
      <x:c r="X4" s="24" t="n">
        <x:v>46277</x:v>
      </x:c>
      <x:c r="Y4" s="24" t="n">
        <x:v>46278</x:v>
      </x:c>
      <x:c r="Z4" s="22" t="n">
        <x:v>46279</x:v>
      </x:c>
      <x:c r="AA4" s="22" t="n">
        <x:v>46280</x:v>
      </x:c>
      <x:c r="AB4" s="22" t="n">
        <x:v>46281</x:v>
      </x:c>
      <x:c r="AC4" s="22" t="n">
        <x:v>46282</x:v>
      </x:c>
      <x:c r="AD4" s="22" t="n">
        <x:v>46283</x:v>
      </x:c>
      <x:c r="AE4" s="24" t="n">
        <x:v>46284</x:v>
      </x:c>
      <x:c r="AF4" s="24" t="n">
        <x:v>46285</x:v>
      </x:c>
      <x:c r="AG4" s="22" t="n">
        <x:v>46286</x:v>
      </x:c>
      <x:c r="AH4" s="22" t="n">
        <x:v>46287</x:v>
      </x:c>
      <x:c r="AI4" s="22" t="n">
        <x:v>46288</x:v>
      </x:c>
    </x:row>
    <x:row r="5" ht="24" customHeight="1">
      <x:c r="A5" s="13" t="str">
        <x:v>D-SEC-01</x:v>
      </x:c>
      <x:c r="B5" s="13" t="str">
        <x:v>Security Design Scope / Approval Review</x:v>
      </x:c>
      <x:c r="C5" s="13" t="str">
        <x:v>Done</x:v>
      </x:c>
      <x:c r="D5" s="19" t="n">
        <x:v>46260</x:v>
      </x:c>
      <x:c r="E5" s="19" t="n">
        <x:v>46266</x:v>
      </x:c>
      <x:c r="F5" s="13" t="str">
        <x:v>이하영</x:v>
      </x:c>
      <x:c r="G5" s="23" t="n">
        <x:f>IF($D5="","",IF($E5="",IF(G$4=$D5,1,""),IF(AND(G$4&gt;=$D5,G$4&lt;=$E5),1,"")))</x:f>
        <x:v>1</x:v>
      </x:c>
      <x:c r="H5" s="23" t="n">
        <x:f>IF($D5="","",IF($E5="",IF(H$4=$D5,1,""),IF(AND(H$4&gt;=$D5,H$4&lt;=$E5),1,"")))</x:f>
        <x:v>1</x:v>
      </x:c>
      <x:c r="I5" s="23" t="n">
        <x:f>IF($D5="","",IF($E5="",IF(I$4=$D5,1,""),IF(AND(I$4&gt;=$D5,I$4&lt;=$E5),1,"")))</x:f>
        <x:v>1</x:v>
      </x:c>
      <x:c r="J5" s="25" t="n">
        <x:f>IF($D5="","",IF($E5="",IF(J$4=$D5,1,""),IF(AND(J$4&gt;=$D5,J$4&lt;=$E5),1,"")))</x:f>
        <x:v>1</x:v>
      </x:c>
      <x:c r="K5" s="25" t="n">
        <x:f>IF($D5="","",IF($E5="",IF(K$4=$D5,1,""),IF(AND(K$4&gt;=$D5,K$4&lt;=$E5),1,"")))</x:f>
        <x:v>1</x:v>
      </x:c>
      <x:c r="L5" s="23" t="n">
        <x:f>IF($D5="","",IF($E5="",IF(L$4=$D5,1,""),IF(AND(L$4&gt;=$D5,L$4&lt;=$E5),1,"")))</x:f>
        <x:v>1</x:v>
      </x:c>
      <x:c r="M5" s="27" t="n">
        <x:f>IF($D5="","",IF($E5="",IF(M$4=$D5,1,""),IF(AND(M$4&gt;=$D5,M$4&lt;=$E5),1,"")))</x:f>
        <x:v>1</x:v>
      </x:c>
      <x:c r="N5" s="23" t="str">
        <x:f>IF($D5="","",IF($E5="",IF(N$4=$D5,1,""),IF(AND(N$4&gt;=$D5,N$4&lt;=$E5),1,"")))</x:f>
      </x:c>
      <x:c r="O5" s="23" t="str">
        <x:f>IF($D5="","",IF($E5="",IF(O$4=$D5,1,""),IF(AND(O$4&gt;=$D5,O$4&lt;=$E5),1,"")))</x:f>
      </x:c>
      <x:c r="P5" s="23" t="str">
        <x:f>IF($D5="","",IF($E5="",IF(P$4=$D5,1,""),IF(AND(P$4&gt;=$D5,P$4&lt;=$E5),1,"")))</x:f>
      </x:c>
      <x:c r="Q5" s="25" t="str">
        <x:f>IF($D5="","",IF($E5="",IF(Q$4=$D5,1,""),IF(AND(Q$4&gt;=$D5,Q$4&lt;=$E5),1,"")))</x:f>
      </x:c>
      <x:c r="R5" s="25" t="str">
        <x:f>IF($D5="","",IF($E5="",IF(R$4=$D5,1,""),IF(AND(R$4&gt;=$D5,R$4&lt;=$E5),1,"")))</x:f>
      </x:c>
      <x:c r="S5" s="23" t="str">
        <x:f>IF($D5="","",IF($E5="",IF(S$4=$D5,1,""),IF(AND(S$4&gt;=$D5,S$4&lt;=$E5),1,"")))</x:f>
      </x:c>
      <x:c r="T5" s="23" t="str">
        <x:f>IF($D5="","",IF($E5="",IF(T$4=$D5,1,""),IF(AND(T$4&gt;=$D5,T$4&lt;=$E5),1,"")))</x:f>
      </x:c>
      <x:c r="U5" s="23" t="str">
        <x:f>IF($D5="","",IF($E5="",IF(U$4=$D5,1,""),IF(AND(U$4&gt;=$D5,U$4&lt;=$E5),1,"")))</x:f>
      </x:c>
      <x:c r="V5" s="23" t="str">
        <x:f>IF($D5="","",IF($E5="",IF(V$4=$D5,1,""),IF(AND(V$4&gt;=$D5,V$4&lt;=$E5),1,"")))</x:f>
      </x:c>
      <x:c r="W5" s="23" t="str">
        <x:f>IF($D5="","",IF($E5="",IF(W$4=$D5,1,""),IF(AND(W$4&gt;=$D5,W$4&lt;=$E5),1,"")))</x:f>
      </x:c>
      <x:c r="X5" s="25" t="str">
        <x:f>IF($D5="","",IF($E5="",IF(X$4=$D5,1,""),IF(AND(X$4&gt;=$D5,X$4&lt;=$E5),1,"")))</x:f>
      </x:c>
      <x:c r="Y5" s="25" t="str">
        <x:f>IF($D5="","",IF($E5="",IF(Y$4=$D5,1,""),IF(AND(Y$4&gt;=$D5,Y$4&lt;=$E5),1,"")))</x:f>
      </x:c>
      <x:c r="Z5" s="23" t="str">
        <x:f>IF($D5="","",IF($E5="",IF(Z$4=$D5,1,""),IF(AND(Z$4&gt;=$D5,Z$4&lt;=$E5),1,"")))</x:f>
      </x:c>
      <x:c r="AA5" s="23" t="str">
        <x:f>IF($D5="","",IF($E5="",IF(AA$4=$D5,1,""),IF(AND(AA$4&gt;=$D5,AA$4&lt;=$E5),1,"")))</x:f>
      </x:c>
      <x:c r="AB5" s="23" t="str">
        <x:f>IF($D5="","",IF($E5="",IF(AB$4=$D5,1,""),IF(AND(AB$4&gt;=$D5,AB$4&lt;=$E5),1,"")))</x:f>
      </x:c>
      <x:c r="AC5" s="23" t="str">
        <x:f>IF($D5="","",IF($E5="",IF(AC$4=$D5,1,""),IF(AND(AC$4&gt;=$D5,AC$4&lt;=$E5),1,"")))</x:f>
      </x:c>
      <x:c r="AD5" s="23" t="str">
        <x:f>IF($D5="","",IF($E5="",IF(AD$4=$D5,1,""),IF(AND(AD$4&gt;=$D5,AD$4&lt;=$E5),1,"")))</x:f>
      </x:c>
      <x:c r="AE5" s="25" t="str">
        <x:f>IF($D5="","",IF($E5="",IF(AE$4=$D5,1,""),IF(AND(AE$4&gt;=$D5,AE$4&lt;=$E5),1,"")))</x:f>
      </x:c>
      <x:c r="AF5" s="25" t="str">
        <x:f>IF($D5="","",IF($E5="",IF(AF$4=$D5,1,""),IF(AND(AF$4&gt;=$D5,AF$4&lt;=$E5),1,"")))</x:f>
      </x:c>
      <x:c r="AG5" s="23" t="str">
        <x:f>IF($D5="","",IF($E5="",IF(AG$4=$D5,1,""),IF(AND(AG$4&gt;=$D5,AG$4&lt;=$E5),1,"")))</x:f>
      </x:c>
      <x:c r="AH5" s="23" t="str">
        <x:f>IF($D5="","",IF($E5="",IF(AH$4=$D5,1,""),IF(AND(AH$4&gt;=$D5,AH$4&lt;=$E5),1,"")))</x:f>
      </x:c>
      <x:c r="AI5" s="23" t="str">
        <x:f>IF($D5="","",IF($E5="",IF(AI$4=$D5,1,""),IF(AND(AI$4&gt;=$D5,AI$4&lt;=$E5),1,"")))</x:f>
      </x:c>
    </x:row>
    <x:row r="6" ht="24" customHeight="1">
      <x:c r="A6" s="13" t="str">
        <x:v>MS-G0-01</x:v>
      </x:c>
      <x:c r="B6" s="13" t="str">
        <x:v>G0 Design Freeze</x:v>
      </x:c>
      <x:c r="C6" s="13" t="str">
        <x:v>Done</x:v>
      </x:c>
      <x:c r="D6" s="19" t="n">
        <x:v>46260</x:v>
      </x:c>
      <x:c r="E6" s="19" t="n">
        <x:v>46266</x:v>
      </x:c>
      <x:c r="F6" s="13" t="str">
        <x:v>이권욱</x:v>
      </x:c>
      <x:c r="G6" s="23" t="n">
        <x:f>IF($D6="","",IF($E6="",IF(G$4=$D6,1,""),IF(AND(G$4&gt;=$D6,G$4&lt;=$E6),1,"")))</x:f>
        <x:v>1</x:v>
      </x:c>
      <x:c r="H6" s="23" t="n">
        <x:f>IF($D6="","",IF($E6="",IF(H$4=$D6,1,""),IF(AND(H$4&gt;=$D6,H$4&lt;=$E6),1,"")))</x:f>
        <x:v>1</x:v>
      </x:c>
      <x:c r="I6" s="23" t="n">
        <x:f>IF($D6="","",IF($E6="",IF(I$4=$D6,1,""),IF(AND(I$4&gt;=$D6,I$4&lt;=$E6),1,"")))</x:f>
        <x:v>1</x:v>
      </x:c>
      <x:c r="J6" s="25" t="n">
        <x:f>IF($D6="","",IF($E6="",IF(J$4=$D6,1,""),IF(AND(J$4&gt;=$D6,J$4&lt;=$E6),1,"")))</x:f>
        <x:v>1</x:v>
      </x:c>
      <x:c r="K6" s="25" t="n">
        <x:f>IF($D6="","",IF($E6="",IF(K$4=$D6,1,""),IF(AND(K$4&gt;=$D6,K$4&lt;=$E6),1,"")))</x:f>
        <x:v>1</x:v>
      </x:c>
      <x:c r="L6" s="23" t="n">
        <x:f>IF($D6="","",IF($E6="",IF(L$4=$D6,1,""),IF(AND(L$4&gt;=$D6,L$4&lt;=$E6),1,"")))</x:f>
        <x:v>1</x:v>
      </x:c>
      <x:c r="M6" s="27" t="n">
        <x:f>IF($D6="","",IF($E6="",IF(M$4=$D6,1,""),IF(AND(M$4&gt;=$D6,M$4&lt;=$E6),1,"")))</x:f>
        <x:v>1</x:v>
      </x:c>
      <x:c r="N6" s="23" t="str">
        <x:f>IF($D6="","",IF($E6="",IF(N$4=$D6,1,""),IF(AND(N$4&gt;=$D6,N$4&lt;=$E6),1,"")))</x:f>
      </x:c>
      <x:c r="O6" s="23" t="str">
        <x:f>IF($D6="","",IF($E6="",IF(O$4=$D6,1,""),IF(AND(O$4&gt;=$D6,O$4&lt;=$E6),1,"")))</x:f>
      </x:c>
      <x:c r="P6" s="23" t="str">
        <x:f>IF($D6="","",IF($E6="",IF(P$4=$D6,1,""),IF(AND(P$4&gt;=$D6,P$4&lt;=$E6),1,"")))</x:f>
      </x:c>
      <x:c r="Q6" s="25" t="str">
        <x:f>IF($D6="","",IF($E6="",IF(Q$4=$D6,1,""),IF(AND(Q$4&gt;=$D6,Q$4&lt;=$E6),1,"")))</x:f>
      </x:c>
      <x:c r="R6" s="25" t="str">
        <x:f>IF($D6="","",IF($E6="",IF(R$4=$D6,1,""),IF(AND(R$4&gt;=$D6,R$4&lt;=$E6),1,"")))</x:f>
      </x:c>
      <x:c r="S6" s="23" t="str">
        <x:f>IF($D6="","",IF($E6="",IF(S$4=$D6,1,""),IF(AND(S$4&gt;=$D6,S$4&lt;=$E6),1,"")))</x:f>
      </x:c>
      <x:c r="T6" s="23" t="str">
        <x:f>IF($D6="","",IF($E6="",IF(T$4=$D6,1,""),IF(AND(T$4&gt;=$D6,T$4&lt;=$E6),1,"")))</x:f>
      </x:c>
      <x:c r="U6" s="23" t="str">
        <x:f>IF($D6="","",IF($E6="",IF(U$4=$D6,1,""),IF(AND(U$4&gt;=$D6,U$4&lt;=$E6),1,"")))</x:f>
      </x:c>
      <x:c r="V6" s="23" t="str">
        <x:f>IF($D6="","",IF($E6="",IF(V$4=$D6,1,""),IF(AND(V$4&gt;=$D6,V$4&lt;=$E6),1,"")))</x:f>
      </x:c>
      <x:c r="W6" s="23" t="str">
        <x:f>IF($D6="","",IF($E6="",IF(W$4=$D6,1,""),IF(AND(W$4&gt;=$D6,W$4&lt;=$E6),1,"")))</x:f>
      </x:c>
      <x:c r="X6" s="25" t="str">
        <x:f>IF($D6="","",IF($E6="",IF(X$4=$D6,1,""),IF(AND(X$4&gt;=$D6,X$4&lt;=$E6),1,"")))</x:f>
      </x:c>
      <x:c r="Y6" s="25" t="str">
        <x:f>IF($D6="","",IF($E6="",IF(Y$4=$D6,1,""),IF(AND(Y$4&gt;=$D6,Y$4&lt;=$E6),1,"")))</x:f>
      </x:c>
      <x:c r="Z6" s="23" t="str">
        <x:f>IF($D6="","",IF($E6="",IF(Z$4=$D6,1,""),IF(AND(Z$4&gt;=$D6,Z$4&lt;=$E6),1,"")))</x:f>
      </x:c>
      <x:c r="AA6" s="23" t="str">
        <x:f>IF($D6="","",IF($E6="",IF(AA$4=$D6,1,""),IF(AND(AA$4&gt;=$D6,AA$4&lt;=$E6),1,"")))</x:f>
      </x:c>
      <x:c r="AB6" s="23" t="str">
        <x:f>IF($D6="","",IF($E6="",IF(AB$4=$D6,1,""),IF(AND(AB$4&gt;=$D6,AB$4&lt;=$E6),1,"")))</x:f>
      </x:c>
      <x:c r="AC6" s="23" t="str">
        <x:f>IF($D6="","",IF($E6="",IF(AC$4=$D6,1,""),IF(AND(AC$4&gt;=$D6,AC$4&lt;=$E6),1,"")))</x:f>
      </x:c>
      <x:c r="AD6" s="23" t="str">
        <x:f>IF($D6="","",IF($E6="",IF(AD$4=$D6,1,""),IF(AND(AD$4&gt;=$D6,AD$4&lt;=$E6),1,"")))</x:f>
      </x:c>
      <x:c r="AE6" s="25" t="str">
        <x:f>IF($D6="","",IF($E6="",IF(AE$4=$D6,1,""),IF(AND(AE$4&gt;=$D6,AE$4&lt;=$E6),1,"")))</x:f>
      </x:c>
      <x:c r="AF6" s="25" t="str">
        <x:f>IF($D6="","",IF($E6="",IF(AF$4=$D6,1,""),IF(AND(AF$4&gt;=$D6,AF$4&lt;=$E6),1,"")))</x:f>
      </x:c>
      <x:c r="AG6" s="23" t="str">
        <x:f>IF($D6="","",IF($E6="",IF(AG$4=$D6,1,""),IF(AND(AG$4&gt;=$D6,AG$4&lt;=$E6),1,"")))</x:f>
      </x:c>
      <x:c r="AH6" s="23" t="str">
        <x:f>IF($D6="","",IF($E6="",IF(AH$4=$D6,1,""),IF(AND(AH$4&gt;=$D6,AH$4&lt;=$E6),1,"")))</x:f>
      </x:c>
      <x:c r="AI6" s="23" t="str">
        <x:f>IF($D6="","",IF($E6="",IF(AI$4=$D6,1,""),IF(AND(AI$4&gt;=$D6,AI$4&lt;=$E6),1,"")))</x:f>
      </x:c>
    </x:row>
    <x:row r="7" ht="24" customHeight="1">
      <x:c r="A7" s="13" t="str">
        <x:v>P1-K8S-01</x:v>
      </x:c>
      <x:c r="B7" s="13" t="str">
        <x:v>kubeadm 3CP + 3Worker / Calico</x:v>
      </x:c>
      <x:c r="C7" s="13" t="str">
        <x:v>In Progress</x:v>
      </x:c>
      <x:c r="D7" s="19" t="n">
        <x:v>46261</x:v>
      </x:c>
      <x:c r="E7" s="19" t="n">
        <x:v>46269</x:v>
      </x:c>
      <x:c r="F7" s="13" t="str">
        <x:v>이하영</x:v>
      </x:c>
      <x:c r="G7" s="23" t="str">
        <x:f>IF($D7="","",IF($E7="",IF(G$4=$D7,1,""),IF(AND(G$4&gt;=$D7,G$4&lt;=$E7),1,"")))</x:f>
      </x:c>
      <x:c r="H7" s="23" t="n">
        <x:f>IF($D7="","",IF($E7="",IF(H$4=$D7,1,""),IF(AND(H$4&gt;=$D7,H$4&lt;=$E7),1,"")))</x:f>
        <x:v>1</x:v>
      </x:c>
      <x:c r="I7" s="23" t="n">
        <x:f>IF($D7="","",IF($E7="",IF(I$4=$D7,1,""),IF(AND(I$4&gt;=$D7,I$4&lt;=$E7),1,"")))</x:f>
        <x:v>1</x:v>
      </x:c>
      <x:c r="J7" s="25" t="n">
        <x:f>IF($D7="","",IF($E7="",IF(J$4=$D7,1,""),IF(AND(J$4&gt;=$D7,J$4&lt;=$E7),1,"")))</x:f>
        <x:v>1</x:v>
      </x:c>
      <x:c r="K7" s="25" t="n">
        <x:f>IF($D7="","",IF($E7="",IF(K$4=$D7,1,""),IF(AND(K$4&gt;=$D7,K$4&lt;=$E7),1,"")))</x:f>
        <x:v>1</x:v>
      </x:c>
      <x:c r="L7" s="23" t="n">
        <x:f>IF($D7="","",IF($E7="",IF(L$4=$D7,1,""),IF(AND(L$4&gt;=$D7,L$4&lt;=$E7),1,"")))</x:f>
        <x:v>1</x:v>
      </x:c>
      <x:c r="M7" s="27" t="n">
        <x:f>IF($D7="","",IF($E7="",IF(M$4=$D7,1,""),IF(AND(M$4&gt;=$D7,M$4&lt;=$E7),1,"")))</x:f>
        <x:v>1</x:v>
      </x:c>
      <x:c r="N7" s="23" t="n">
        <x:f>IF($D7="","",IF($E7="",IF(N$4=$D7,1,""),IF(AND(N$4&gt;=$D7,N$4&lt;=$E7),1,"")))</x:f>
        <x:v>1</x:v>
      </x:c>
      <x:c r="O7" s="23" t="n">
        <x:f>IF($D7="","",IF($E7="",IF(O$4=$D7,1,""),IF(AND(O$4&gt;=$D7,O$4&lt;=$E7),1,"")))</x:f>
        <x:v>1</x:v>
      </x:c>
      <x:c r="P7" s="23" t="n">
        <x:f>IF($D7="","",IF($E7="",IF(P$4=$D7,1,""),IF(AND(P$4&gt;=$D7,P$4&lt;=$E7),1,"")))</x:f>
        <x:v>1</x:v>
      </x:c>
      <x:c r="Q7" s="25" t="str">
        <x:f>IF($D7="","",IF($E7="",IF(Q$4=$D7,1,""),IF(AND(Q$4&gt;=$D7,Q$4&lt;=$E7),1,"")))</x:f>
      </x:c>
      <x:c r="R7" s="25" t="str">
        <x:f>IF($D7="","",IF($E7="",IF(R$4=$D7,1,""),IF(AND(R$4&gt;=$D7,R$4&lt;=$E7),1,"")))</x:f>
      </x:c>
      <x:c r="S7" s="23" t="str">
        <x:f>IF($D7="","",IF($E7="",IF(S$4=$D7,1,""),IF(AND(S$4&gt;=$D7,S$4&lt;=$E7),1,"")))</x:f>
      </x:c>
      <x:c r="T7" s="23" t="str">
        <x:f>IF($D7="","",IF($E7="",IF(T$4=$D7,1,""),IF(AND(T$4&gt;=$D7,T$4&lt;=$E7),1,"")))</x:f>
      </x:c>
      <x:c r="U7" s="23" t="str">
        <x:f>IF($D7="","",IF($E7="",IF(U$4=$D7,1,""),IF(AND(U$4&gt;=$D7,U$4&lt;=$E7),1,"")))</x:f>
      </x:c>
      <x:c r="V7" s="23" t="str">
        <x:f>IF($D7="","",IF($E7="",IF(V$4=$D7,1,""),IF(AND(V$4&gt;=$D7,V$4&lt;=$E7),1,"")))</x:f>
      </x:c>
      <x:c r="W7" s="23" t="str">
        <x:f>IF($D7="","",IF($E7="",IF(W$4=$D7,1,""),IF(AND(W$4&gt;=$D7,W$4&lt;=$E7),1,"")))</x:f>
      </x:c>
      <x:c r="X7" s="25" t="str">
        <x:f>IF($D7="","",IF($E7="",IF(X$4=$D7,1,""),IF(AND(X$4&gt;=$D7,X$4&lt;=$E7),1,"")))</x:f>
      </x:c>
      <x:c r="Y7" s="25" t="str">
        <x:f>IF($D7="","",IF($E7="",IF(Y$4=$D7,1,""),IF(AND(Y$4&gt;=$D7,Y$4&lt;=$E7),1,"")))</x:f>
      </x:c>
      <x:c r="Z7" s="23" t="str">
        <x:f>IF($D7="","",IF($E7="",IF(Z$4=$D7,1,""),IF(AND(Z$4&gt;=$D7,Z$4&lt;=$E7),1,"")))</x:f>
      </x:c>
      <x:c r="AA7" s="23" t="str">
        <x:f>IF($D7="","",IF($E7="",IF(AA$4=$D7,1,""),IF(AND(AA$4&gt;=$D7,AA$4&lt;=$E7),1,"")))</x:f>
      </x:c>
      <x:c r="AB7" s="23" t="str">
        <x:f>IF($D7="","",IF($E7="",IF(AB$4=$D7,1,""),IF(AND(AB$4&gt;=$D7,AB$4&lt;=$E7),1,"")))</x:f>
      </x:c>
      <x:c r="AC7" s="23" t="str">
        <x:f>IF($D7="","",IF($E7="",IF(AC$4=$D7,1,""),IF(AND(AC$4&gt;=$D7,AC$4&lt;=$E7),1,"")))</x:f>
      </x:c>
      <x:c r="AD7" s="23" t="str">
        <x:f>IF($D7="","",IF($E7="",IF(AD$4=$D7,1,""),IF(AND(AD$4&gt;=$D7,AD$4&lt;=$E7),1,"")))</x:f>
      </x:c>
      <x:c r="AE7" s="25" t="str">
        <x:f>IF($D7="","",IF($E7="",IF(AE$4=$D7,1,""),IF(AND(AE$4&gt;=$D7,AE$4&lt;=$E7),1,"")))</x:f>
      </x:c>
      <x:c r="AF7" s="25" t="str">
        <x:f>IF($D7="","",IF($E7="",IF(AF$4=$D7,1,""),IF(AND(AF$4&gt;=$D7,AF$4&lt;=$E7),1,"")))</x:f>
      </x:c>
      <x:c r="AG7" s="23" t="str">
        <x:f>IF($D7="","",IF($E7="",IF(AG$4=$D7,1,""),IF(AND(AG$4&gt;=$D7,AG$4&lt;=$E7),1,"")))</x:f>
      </x:c>
      <x:c r="AH7" s="23" t="str">
        <x:f>IF($D7="","",IF($E7="",IF(AH$4=$D7,1,""),IF(AND(AH$4&gt;=$D7,AH$4&lt;=$E7),1,"")))</x:f>
      </x:c>
      <x:c r="AI7" s="23" t="str">
        <x:f>IF($D7="","",IF($E7="",IF(AI$4=$D7,1,""),IF(AND(AI$4&gt;=$D7,AI$4&lt;=$E7),1,"")))</x:f>
      </x:c>
    </x:row>
    <x:row r="8" ht="24" customHeight="1">
      <x:c r="A8" s="13" t="str">
        <x:v>P1-LB-01</x:v>
      </x:c>
      <x:c r="B8" s="13" t="str">
        <x:v>Kubernetes API Load Balancer</x:v>
      </x:c>
      <x:c r="C8" s="13" t="str">
        <x:v>In Progress</x:v>
      </x:c>
      <x:c r="D8" s="19" t="n">
        <x:v>46261</x:v>
      </x:c>
      <x:c r="E8" s="19" t="n">
        <x:v>46268</x:v>
      </x:c>
      <x:c r="F8" s="13" t="str">
        <x:v>이권욱</x:v>
      </x:c>
      <x:c r="G8" s="23" t="str">
        <x:f>IF($D8="","",IF($E8="",IF(G$4=$D8,1,""),IF(AND(G$4&gt;=$D8,G$4&lt;=$E8),1,"")))</x:f>
      </x:c>
      <x:c r="H8" s="23" t="n">
        <x:f>IF($D8="","",IF($E8="",IF(H$4=$D8,1,""),IF(AND(H$4&gt;=$D8,H$4&lt;=$E8),1,"")))</x:f>
        <x:v>1</x:v>
      </x:c>
      <x:c r="I8" s="23" t="n">
        <x:f>IF($D8="","",IF($E8="",IF(I$4=$D8,1,""),IF(AND(I$4&gt;=$D8,I$4&lt;=$E8),1,"")))</x:f>
        <x:v>1</x:v>
      </x:c>
      <x:c r="J8" s="25" t="n">
        <x:f>IF($D8="","",IF($E8="",IF(J$4=$D8,1,""),IF(AND(J$4&gt;=$D8,J$4&lt;=$E8),1,"")))</x:f>
        <x:v>1</x:v>
      </x:c>
      <x:c r="K8" s="25" t="n">
        <x:f>IF($D8="","",IF($E8="",IF(K$4=$D8,1,""),IF(AND(K$4&gt;=$D8,K$4&lt;=$E8),1,"")))</x:f>
        <x:v>1</x:v>
      </x:c>
      <x:c r="L8" s="23" t="n">
        <x:f>IF($D8="","",IF($E8="",IF(L$4=$D8,1,""),IF(AND(L$4&gt;=$D8,L$4&lt;=$E8),1,"")))</x:f>
        <x:v>1</x:v>
      </x:c>
      <x:c r="M8" s="27" t="n">
        <x:f>IF($D8="","",IF($E8="",IF(M$4=$D8,1,""),IF(AND(M$4&gt;=$D8,M$4&lt;=$E8),1,"")))</x:f>
        <x:v>1</x:v>
      </x:c>
      <x:c r="N8" s="23" t="n">
        <x:f>IF($D8="","",IF($E8="",IF(N$4=$D8,1,""),IF(AND(N$4&gt;=$D8,N$4&lt;=$E8),1,"")))</x:f>
        <x:v>1</x:v>
      </x:c>
      <x:c r="O8" s="23" t="n">
        <x:f>IF($D8="","",IF($E8="",IF(O$4=$D8,1,""),IF(AND(O$4&gt;=$D8,O$4&lt;=$E8),1,"")))</x:f>
        <x:v>1</x:v>
      </x:c>
      <x:c r="P8" s="23" t="str">
        <x:f>IF($D8="","",IF($E8="",IF(P$4=$D8,1,""),IF(AND(P$4&gt;=$D8,P$4&lt;=$E8),1,"")))</x:f>
      </x:c>
      <x:c r="Q8" s="25" t="str">
        <x:f>IF($D8="","",IF($E8="",IF(Q$4=$D8,1,""),IF(AND(Q$4&gt;=$D8,Q$4&lt;=$E8),1,"")))</x:f>
      </x:c>
      <x:c r="R8" s="25" t="str">
        <x:f>IF($D8="","",IF($E8="",IF(R$4=$D8,1,""),IF(AND(R$4&gt;=$D8,R$4&lt;=$E8),1,"")))</x:f>
      </x:c>
      <x:c r="S8" s="23" t="str">
        <x:f>IF($D8="","",IF($E8="",IF(S$4=$D8,1,""),IF(AND(S$4&gt;=$D8,S$4&lt;=$E8),1,"")))</x:f>
      </x:c>
      <x:c r="T8" s="23" t="str">
        <x:f>IF($D8="","",IF($E8="",IF(T$4=$D8,1,""),IF(AND(T$4&gt;=$D8,T$4&lt;=$E8),1,"")))</x:f>
      </x:c>
      <x:c r="U8" s="23" t="str">
        <x:f>IF($D8="","",IF($E8="",IF(U$4=$D8,1,""),IF(AND(U$4&gt;=$D8,U$4&lt;=$E8),1,"")))</x:f>
      </x:c>
      <x:c r="V8" s="23" t="str">
        <x:f>IF($D8="","",IF($E8="",IF(V$4=$D8,1,""),IF(AND(V$4&gt;=$D8,V$4&lt;=$E8),1,"")))</x:f>
      </x:c>
      <x:c r="W8" s="23" t="str">
        <x:f>IF($D8="","",IF($E8="",IF(W$4=$D8,1,""),IF(AND(W$4&gt;=$D8,W$4&lt;=$E8),1,"")))</x:f>
      </x:c>
      <x:c r="X8" s="25" t="str">
        <x:f>IF($D8="","",IF($E8="",IF(X$4=$D8,1,""),IF(AND(X$4&gt;=$D8,X$4&lt;=$E8),1,"")))</x:f>
      </x:c>
      <x:c r="Y8" s="25" t="str">
        <x:f>IF($D8="","",IF($E8="",IF(Y$4=$D8,1,""),IF(AND(Y$4&gt;=$D8,Y$4&lt;=$E8),1,"")))</x:f>
      </x:c>
      <x:c r="Z8" s="23" t="str">
        <x:f>IF($D8="","",IF($E8="",IF(Z$4=$D8,1,""),IF(AND(Z$4&gt;=$D8,Z$4&lt;=$E8),1,"")))</x:f>
      </x:c>
      <x:c r="AA8" s="23" t="str">
        <x:f>IF($D8="","",IF($E8="",IF(AA$4=$D8,1,""),IF(AND(AA$4&gt;=$D8,AA$4&lt;=$E8),1,"")))</x:f>
      </x:c>
      <x:c r="AB8" s="23" t="str">
        <x:f>IF($D8="","",IF($E8="",IF(AB$4=$D8,1,""),IF(AND(AB$4&gt;=$D8,AB$4&lt;=$E8),1,"")))</x:f>
      </x:c>
      <x:c r="AC8" s="23" t="str">
        <x:f>IF($D8="","",IF($E8="",IF(AC$4=$D8,1,""),IF(AND(AC$4&gt;=$D8,AC$4&lt;=$E8),1,"")))</x:f>
      </x:c>
      <x:c r="AD8" s="23" t="str">
        <x:f>IF($D8="","",IF($E8="",IF(AD$4=$D8,1,""),IF(AND(AD$4&gt;=$D8,AD$4&lt;=$E8),1,"")))</x:f>
      </x:c>
      <x:c r="AE8" s="25" t="str">
        <x:f>IF($D8="","",IF($E8="",IF(AE$4=$D8,1,""),IF(AND(AE$4&gt;=$D8,AE$4&lt;=$E8),1,"")))</x:f>
      </x:c>
      <x:c r="AF8" s="25" t="str">
        <x:f>IF($D8="","",IF($E8="",IF(AF$4=$D8,1,""),IF(AND(AF$4&gt;=$D8,AF$4&lt;=$E8),1,"")))</x:f>
      </x:c>
      <x:c r="AG8" s="23" t="str">
        <x:f>IF($D8="","",IF($E8="",IF(AG$4=$D8,1,""),IF(AND(AG$4&gt;=$D8,AG$4&lt;=$E8),1,"")))</x:f>
      </x:c>
      <x:c r="AH8" s="23" t="str">
        <x:f>IF($D8="","",IF($E8="",IF(AH$4=$D8,1,""),IF(AND(AH$4&gt;=$D8,AH$4&lt;=$E8),1,"")))</x:f>
      </x:c>
      <x:c r="AI8" s="23" t="str">
        <x:f>IF($D8="","",IF($E8="",IF(AI$4=$D8,1,""),IF(AND(AI$4&gt;=$D8,AI$4&lt;=$E8),1,"")))</x:f>
      </x:c>
    </x:row>
    <x:row r="9" ht="24" customHeight="1">
      <x:c r="A9" s="13" t="str">
        <x:v>P1-DB-01</x:v>
      </x:c>
      <x:c r="B9" s="13" t="str">
        <x:v>PostgreSQL External VM</x:v>
      </x:c>
      <x:c r="C9" s="13" t="str">
        <x:v>In Progress</x:v>
      </x:c>
      <x:c r="D9" s="19" t="n">
        <x:v>46262</x:v>
      </x:c>
      <x:c r="E9" s="19" t="n">
        <x:v>46272</x:v>
      </x:c>
      <x:c r="F9" s="13" t="str">
        <x:v>이재환</x:v>
      </x:c>
      <x:c r="G9" s="23" t="str">
        <x:f>IF($D9="","",IF($E9="",IF(G$4=$D9,1,""),IF(AND(G$4&gt;=$D9,G$4&lt;=$E9),1,"")))</x:f>
      </x:c>
      <x:c r="H9" s="23" t="str">
        <x:f>IF($D9="","",IF($E9="",IF(H$4=$D9,1,""),IF(AND(H$4&gt;=$D9,H$4&lt;=$E9),1,"")))</x:f>
      </x:c>
      <x:c r="I9" s="23" t="n">
        <x:f>IF($D9="","",IF($E9="",IF(I$4=$D9,1,""),IF(AND(I$4&gt;=$D9,I$4&lt;=$E9),1,"")))</x:f>
        <x:v>1</x:v>
      </x:c>
      <x:c r="J9" s="25" t="n">
        <x:f>IF($D9="","",IF($E9="",IF(J$4=$D9,1,""),IF(AND(J$4&gt;=$D9,J$4&lt;=$E9),1,"")))</x:f>
        <x:v>1</x:v>
      </x:c>
      <x:c r="K9" s="25" t="n">
        <x:f>IF($D9="","",IF($E9="",IF(K$4=$D9,1,""),IF(AND(K$4&gt;=$D9,K$4&lt;=$E9),1,"")))</x:f>
        <x:v>1</x:v>
      </x:c>
      <x:c r="L9" s="23" t="n">
        <x:f>IF($D9="","",IF($E9="",IF(L$4=$D9,1,""),IF(AND(L$4&gt;=$D9,L$4&lt;=$E9),1,"")))</x:f>
        <x:v>1</x:v>
      </x:c>
      <x:c r="M9" s="27" t="n">
        <x:f>IF($D9="","",IF($E9="",IF(M$4=$D9,1,""),IF(AND(M$4&gt;=$D9,M$4&lt;=$E9),1,"")))</x:f>
        <x:v>1</x:v>
      </x:c>
      <x:c r="N9" s="23" t="n">
        <x:f>IF($D9="","",IF($E9="",IF(N$4=$D9,1,""),IF(AND(N$4&gt;=$D9,N$4&lt;=$E9),1,"")))</x:f>
        <x:v>1</x:v>
      </x:c>
      <x:c r="O9" s="23" t="n">
        <x:f>IF($D9="","",IF($E9="",IF(O$4=$D9,1,""),IF(AND(O$4&gt;=$D9,O$4&lt;=$E9),1,"")))</x:f>
        <x:v>1</x:v>
      </x:c>
      <x:c r="P9" s="66" t="str">
        <x:v>L</x:v>
      </x:c>
      <x:c r="Q9" s="25" t="n">
        <x:f>IF($D9="","",IF($E9="",IF(Q$4=$D9,1,""),IF(AND(Q$4&gt;=$D9,Q$4&lt;=$E9),1,"")))</x:f>
        <x:v>1</x:v>
      </x:c>
      <x:c r="R9" s="25" t="n">
        <x:f>IF($D9="","",IF($E9="",IF(R$4=$D9,1,""),IF(AND(R$4&gt;=$D9,R$4&lt;=$E9),1,"")))</x:f>
        <x:v>1</x:v>
      </x:c>
      <x:c r="S9" s="23" t="n">
        <x:f>IF($D9="","",IF($E9="",IF(S$4=$D9,1,""),IF(AND(S$4&gt;=$D9,S$4&lt;=$E9),1,"")))</x:f>
        <x:v>1</x:v>
      </x:c>
      <x:c r="T9" s="23" t="str">
        <x:f>IF($D9="","",IF($E9="",IF(T$4=$D9,1,""),IF(AND(T$4&gt;=$D9,T$4&lt;=$E9),1,"")))</x:f>
      </x:c>
      <x:c r="U9" s="23" t="str">
        <x:f>IF($D9="","",IF($E9="",IF(U$4=$D9,1,""),IF(AND(U$4&gt;=$D9,U$4&lt;=$E9),1,"")))</x:f>
      </x:c>
      <x:c r="V9" s="23" t="str">
        <x:f>IF($D9="","",IF($E9="",IF(V$4=$D9,1,""),IF(AND(V$4&gt;=$D9,V$4&lt;=$E9),1,"")))</x:f>
      </x:c>
      <x:c r="W9" s="23" t="str">
        <x:f>IF($D9="","",IF($E9="",IF(W$4=$D9,1,""),IF(AND(W$4&gt;=$D9,W$4&lt;=$E9),1,"")))</x:f>
      </x:c>
      <x:c r="X9" s="25" t="str">
        <x:f>IF($D9="","",IF($E9="",IF(X$4=$D9,1,""),IF(AND(X$4&gt;=$D9,X$4&lt;=$E9),1,"")))</x:f>
      </x:c>
      <x:c r="Y9" s="25" t="str">
        <x:f>IF($D9="","",IF($E9="",IF(Y$4=$D9,1,""),IF(AND(Y$4&gt;=$D9,Y$4&lt;=$E9),1,"")))</x:f>
      </x:c>
      <x:c r="Z9" s="23" t="str">
        <x:f>IF($D9="","",IF($E9="",IF(Z$4=$D9,1,""),IF(AND(Z$4&gt;=$D9,Z$4&lt;=$E9),1,"")))</x:f>
      </x:c>
      <x:c r="AA9" s="23" t="str">
        <x:f>IF($D9="","",IF($E9="",IF(AA$4=$D9,1,""),IF(AND(AA$4&gt;=$D9,AA$4&lt;=$E9),1,"")))</x:f>
      </x:c>
      <x:c r="AB9" s="23" t="str">
        <x:f>IF($D9="","",IF($E9="",IF(AB$4=$D9,1,""),IF(AND(AB$4&gt;=$D9,AB$4&lt;=$E9),1,"")))</x:f>
      </x:c>
      <x:c r="AC9" s="23" t="str">
        <x:f>IF($D9="","",IF($E9="",IF(AC$4=$D9,1,""),IF(AND(AC$4&gt;=$D9,AC$4&lt;=$E9),1,"")))</x:f>
      </x:c>
      <x:c r="AD9" s="23" t="str">
        <x:f>IF($D9="","",IF($E9="",IF(AD$4=$D9,1,""),IF(AND(AD$4&gt;=$D9,AD$4&lt;=$E9),1,"")))</x:f>
      </x:c>
      <x:c r="AE9" s="25" t="str">
        <x:f>IF($D9="","",IF($E9="",IF(AE$4=$D9,1,""),IF(AND(AE$4&gt;=$D9,AE$4&lt;=$E9),1,"")))</x:f>
      </x:c>
      <x:c r="AF9" s="25" t="str">
        <x:f>IF($D9="","",IF($E9="",IF(AF$4=$D9,1,""),IF(AND(AF$4&gt;=$D9,AF$4&lt;=$E9),1,"")))</x:f>
      </x:c>
      <x:c r="AG9" s="23" t="str">
        <x:f>IF($D9="","",IF($E9="",IF(AG$4=$D9,1,""),IF(AND(AG$4&gt;=$D9,AG$4&lt;=$E9),1,"")))</x:f>
      </x:c>
      <x:c r="AH9" s="23" t="str">
        <x:f>IF($D9="","",IF($E9="",IF(AH$4=$D9,1,""),IF(AND(AH$4&gt;=$D9,AH$4&lt;=$E9),1,"")))</x:f>
      </x:c>
      <x:c r="AI9" s="23" t="str">
        <x:f>IF($D9="","",IF($E9="",IF(AI$4=$D9,1,""),IF(AND(AI$4&gt;=$D9,AI$4&lt;=$E9),1,"")))</x:f>
      </x:c>
    </x:row>
    <x:row r="10" ht="24" customHeight="1">
      <x:c r="A10" s="13" t="str">
        <x:v>P1-DNS-01</x:v>
      </x:c>
      <x:c r="B10" s="13" t="str">
        <x:v>BIND Primary / Secondary</x:v>
      </x:c>
      <x:c r="C10" s="13" t="str">
        <x:v>Done</x:v>
      </x:c>
      <x:c r="D10" s="19" t="n">
        <x:v>46262</x:v>
      </x:c>
      <x:c r="E10" s="19" t="n">
        <x:v>46268</x:v>
      </x:c>
      <x:c r="F10" s="13" t="str">
        <x:v>이권욱</x:v>
      </x:c>
      <x:c r="G10" s="23" t="str">
        <x:f>IF($D10="","",IF($E10="",IF(G$4=$D10,1,""),IF(AND(G$4&gt;=$D10,G$4&lt;=$E10),1,"")))</x:f>
      </x:c>
      <x:c r="H10" s="23" t="str">
        <x:f>IF($D10="","",IF($E10="",IF(H$4=$D10,1,""),IF(AND(H$4&gt;=$D10,H$4&lt;=$E10),1,"")))</x:f>
      </x:c>
      <x:c r="I10" s="23" t="n">
        <x:f>IF($D10="","",IF($E10="",IF(I$4=$D10,1,""),IF(AND(I$4&gt;=$D10,I$4&lt;=$E10),1,"")))</x:f>
        <x:v>1</x:v>
      </x:c>
      <x:c r="J10" s="25" t="n">
        <x:f>IF($D10="","",IF($E10="",IF(J$4=$D10,1,""),IF(AND(J$4&gt;=$D10,J$4&lt;=$E10),1,"")))</x:f>
        <x:v>1</x:v>
      </x:c>
      <x:c r="K10" s="25" t="n">
        <x:f>IF($D10="","",IF($E10="",IF(K$4=$D10,1,""),IF(AND(K$4&gt;=$D10,K$4&lt;=$E10),1,"")))</x:f>
        <x:v>1</x:v>
      </x:c>
      <x:c r="L10" s="23" t="n">
        <x:f>IF($D10="","",IF($E10="",IF(L$4=$D10,1,""),IF(AND(L$4&gt;=$D10,L$4&lt;=$E10),1,"")))</x:f>
        <x:v>1</x:v>
      </x:c>
      <x:c r="M10" s="27" t="n">
        <x:f>IF($D10="","",IF($E10="",IF(M$4=$D10,1,""),IF(AND(M$4&gt;=$D10,M$4&lt;=$E10),1,"")))</x:f>
        <x:v>1</x:v>
      </x:c>
      <x:c r="N10" s="23" t="n">
        <x:f>IF($D10="","",IF($E10="",IF(N$4=$D10,1,""),IF(AND(N$4&gt;=$D10,N$4&lt;=$E10),1,"")))</x:f>
        <x:v>1</x:v>
      </x:c>
      <x:c r="O10" s="23" t="n">
        <x:f>IF($D10="","",IF($E10="",IF(O$4=$D10,1,""),IF(AND(O$4&gt;=$D10,O$4&lt;=$E10),1,"")))</x:f>
        <x:v>1</x:v>
      </x:c>
      <x:c r="P10" s="23" t="str">
        <x:f>IF($D10="","",IF($E10="",IF(P$4=$D10,1,""),IF(AND(P$4&gt;=$D10,P$4&lt;=$E10),1,"")))</x:f>
      </x:c>
      <x:c r="Q10" s="25" t="str">
        <x:f>IF($D10="","",IF($E10="",IF(Q$4=$D10,1,""),IF(AND(Q$4&gt;=$D10,Q$4&lt;=$E10),1,"")))</x:f>
      </x:c>
      <x:c r="R10" s="25" t="str">
        <x:f>IF($D10="","",IF($E10="",IF(R$4=$D10,1,""),IF(AND(R$4&gt;=$D10,R$4&lt;=$E10),1,"")))</x:f>
      </x:c>
      <x:c r="S10" s="23" t="str">
        <x:f>IF($D10="","",IF($E10="",IF(S$4=$D10,1,""),IF(AND(S$4&gt;=$D10,S$4&lt;=$E10),1,"")))</x:f>
      </x:c>
      <x:c r="T10" s="23" t="str">
        <x:f>IF($D10="","",IF($E10="",IF(T$4=$D10,1,""),IF(AND(T$4&gt;=$D10,T$4&lt;=$E10),1,"")))</x:f>
      </x:c>
      <x:c r="U10" s="23" t="str">
        <x:f>IF($D10="","",IF($E10="",IF(U$4=$D10,1,""),IF(AND(U$4&gt;=$D10,U$4&lt;=$E10),1,"")))</x:f>
      </x:c>
      <x:c r="V10" s="23" t="str">
        <x:f>IF($D10="","",IF($E10="",IF(V$4=$D10,1,""),IF(AND(V$4&gt;=$D10,V$4&lt;=$E10),1,"")))</x:f>
      </x:c>
      <x:c r="W10" s="23" t="str">
        <x:f>IF($D10="","",IF($E10="",IF(W$4=$D10,1,""),IF(AND(W$4&gt;=$D10,W$4&lt;=$E10),1,"")))</x:f>
      </x:c>
      <x:c r="X10" s="25" t="str">
        <x:f>IF($D10="","",IF($E10="",IF(X$4=$D10,1,""),IF(AND(X$4&gt;=$D10,X$4&lt;=$E10),1,"")))</x:f>
      </x:c>
      <x:c r="Y10" s="25" t="str">
        <x:f>IF($D10="","",IF($E10="",IF(Y$4=$D10,1,""),IF(AND(Y$4&gt;=$D10,Y$4&lt;=$E10),1,"")))</x:f>
      </x:c>
      <x:c r="Z10" s="23" t="str">
        <x:f>IF($D10="","",IF($E10="",IF(Z$4=$D10,1,""),IF(AND(Z$4&gt;=$D10,Z$4&lt;=$E10),1,"")))</x:f>
      </x:c>
      <x:c r="AA10" s="23" t="str">
        <x:f>IF($D10="","",IF($E10="",IF(AA$4=$D10,1,""),IF(AND(AA$4&gt;=$D10,AA$4&lt;=$E10),1,"")))</x:f>
      </x:c>
      <x:c r="AB10" s="23" t="str">
        <x:f>IF($D10="","",IF($E10="",IF(AB$4=$D10,1,""),IF(AND(AB$4&gt;=$D10,AB$4&lt;=$E10),1,"")))</x:f>
      </x:c>
      <x:c r="AC10" s="23" t="str">
        <x:f>IF($D10="","",IF($E10="",IF(AC$4=$D10,1,""),IF(AND(AC$4&gt;=$D10,AC$4&lt;=$E10),1,"")))</x:f>
      </x:c>
      <x:c r="AD10" s="23" t="str">
        <x:f>IF($D10="","",IF($E10="",IF(AD$4=$D10,1,""),IF(AND(AD$4&gt;=$D10,AD$4&lt;=$E10),1,"")))</x:f>
      </x:c>
      <x:c r="AE10" s="25" t="str">
        <x:f>IF($D10="","",IF($E10="",IF(AE$4=$D10,1,""),IF(AND(AE$4&gt;=$D10,AE$4&lt;=$E10),1,"")))</x:f>
      </x:c>
      <x:c r="AF10" s="25" t="str">
        <x:f>IF($D10="","",IF($E10="",IF(AF$4=$D10,1,""),IF(AND(AF$4&gt;=$D10,AF$4&lt;=$E10),1,"")))</x:f>
      </x:c>
      <x:c r="AG10" s="23" t="str">
        <x:f>IF($D10="","",IF($E10="",IF(AG$4=$D10,1,""),IF(AND(AG$4&gt;=$D10,AG$4&lt;=$E10),1,"")))</x:f>
      </x:c>
      <x:c r="AH10" s="23" t="str">
        <x:f>IF($D10="","",IF($E10="",IF(AH$4=$D10,1,""),IF(AND(AH$4&gt;=$D10,AH$4&lt;=$E10),1,"")))</x:f>
      </x:c>
      <x:c r="AI10" s="23" t="str">
        <x:f>IF($D10="","",IF($E10="",IF(AI$4=$D10,1,""),IF(AND(AI$4&gt;=$D10,AI$4&lt;=$E10),1,"")))</x:f>
      </x:c>
    </x:row>
    <x:row r="11" ht="24" customHeight="1">
      <x:c r="A11" s="13" t="str">
        <x:v>P1-HBR-01</x:v>
      </x:c>
      <x:c r="B11" s="13" t="str">
        <x:v>Harbor / Trivy Registry</x:v>
      </x:c>
      <x:c r="C11" s="13" t="str">
        <x:v>To Do</x:v>
      </x:c>
      <x:c r="D11" s="19" t="n">
        <x:v>46265</x:v>
      </x:c>
      <x:c r="E11" s="19" t="n">
        <x:v>46269</x:v>
      </x:c>
      <x:c r="F11" s="13" t="str">
        <x:v>이하영</x:v>
      </x:c>
      <x:c r="G11" s="23" t="str">
        <x:f>IF($D11="","",IF($E11="",IF(G$4=$D11,1,""),IF(AND(G$4&gt;=$D11,G$4&lt;=$E11),1,"")))</x:f>
      </x:c>
      <x:c r="H11" s="23" t="str">
        <x:f>IF($D11="","",IF($E11="",IF(H$4=$D11,1,""),IF(AND(H$4&gt;=$D11,H$4&lt;=$E11),1,"")))</x:f>
      </x:c>
      <x:c r="I11" s="23" t="str">
        <x:f>IF($D11="","",IF($E11="",IF(I$4=$D11,1,""),IF(AND(I$4&gt;=$D11,I$4&lt;=$E11),1,"")))</x:f>
      </x:c>
      <x:c r="J11" s="25" t="str">
        <x:f>IF($D11="","",IF($E11="",IF(J$4=$D11,1,""),IF(AND(J$4&gt;=$D11,J$4&lt;=$E11),1,"")))</x:f>
      </x:c>
      <x:c r="K11" s="25" t="str">
        <x:f>IF($D11="","",IF($E11="",IF(K$4=$D11,1,""),IF(AND(K$4&gt;=$D11,K$4&lt;=$E11),1,"")))</x:f>
      </x:c>
      <x:c r="L11" s="23" t="n">
        <x:f>IF($D11="","",IF($E11="",IF(L$4=$D11,1,""),IF(AND(L$4&gt;=$D11,L$4&lt;=$E11),1,"")))</x:f>
        <x:v>1</x:v>
      </x:c>
      <x:c r="M11" s="27" t="n">
        <x:f>IF($D11="","",IF($E11="",IF(M$4=$D11,1,""),IF(AND(M$4&gt;=$D11,M$4&lt;=$E11),1,"")))</x:f>
        <x:v>1</x:v>
      </x:c>
      <x:c r="N11" s="23" t="n">
        <x:f>IF($D11="","",IF($E11="",IF(N$4=$D11,1,""),IF(AND(N$4&gt;=$D11,N$4&lt;=$E11),1,"")))</x:f>
        <x:v>1</x:v>
      </x:c>
      <x:c r="O11" s="23" t="n">
        <x:f>IF($D11="","",IF($E11="",IF(O$4=$D11,1,""),IF(AND(O$4&gt;=$D11,O$4&lt;=$E11),1,"")))</x:f>
        <x:v>1</x:v>
      </x:c>
      <x:c r="P11" s="23" t="n">
        <x:f>IF($D11="","",IF($E11="",IF(P$4=$D11,1,""),IF(AND(P$4&gt;=$D11,P$4&lt;=$E11),1,"")))</x:f>
        <x:v>1</x:v>
      </x:c>
      <x:c r="Q11" s="25" t="str">
        <x:f>IF($D11="","",IF($E11="",IF(Q$4=$D11,1,""),IF(AND(Q$4&gt;=$D11,Q$4&lt;=$E11),1,"")))</x:f>
      </x:c>
      <x:c r="R11" s="25" t="str">
        <x:f>IF($D11="","",IF($E11="",IF(R$4=$D11,1,""),IF(AND(R$4&gt;=$D11,R$4&lt;=$E11),1,"")))</x:f>
      </x:c>
      <x:c r="S11" s="23" t="str">
        <x:f>IF($D11="","",IF($E11="",IF(S$4=$D11,1,""),IF(AND(S$4&gt;=$D11,S$4&lt;=$E11),1,"")))</x:f>
      </x:c>
      <x:c r="T11" s="23" t="str">
        <x:f>IF($D11="","",IF($E11="",IF(T$4=$D11,1,""),IF(AND(T$4&gt;=$D11,T$4&lt;=$E11),1,"")))</x:f>
      </x:c>
      <x:c r="U11" s="23" t="str">
        <x:f>IF($D11="","",IF($E11="",IF(U$4=$D11,1,""),IF(AND(U$4&gt;=$D11,U$4&lt;=$E11),1,"")))</x:f>
      </x:c>
      <x:c r="V11" s="23" t="str">
        <x:f>IF($D11="","",IF($E11="",IF(V$4=$D11,1,""),IF(AND(V$4&gt;=$D11,V$4&lt;=$E11),1,"")))</x:f>
      </x:c>
      <x:c r="W11" s="23" t="str">
        <x:f>IF($D11="","",IF($E11="",IF(W$4=$D11,1,""),IF(AND(W$4&gt;=$D11,W$4&lt;=$E11),1,"")))</x:f>
      </x:c>
      <x:c r="X11" s="25" t="str">
        <x:f>IF($D11="","",IF($E11="",IF(X$4=$D11,1,""),IF(AND(X$4&gt;=$D11,X$4&lt;=$E11),1,"")))</x:f>
      </x:c>
      <x:c r="Y11" s="25" t="str">
        <x:f>IF($D11="","",IF($E11="",IF(Y$4=$D11,1,""),IF(AND(Y$4&gt;=$D11,Y$4&lt;=$E11),1,"")))</x:f>
      </x:c>
      <x:c r="Z11" s="23" t="str">
        <x:f>IF($D11="","",IF($E11="",IF(Z$4=$D11,1,""),IF(AND(Z$4&gt;=$D11,Z$4&lt;=$E11),1,"")))</x:f>
      </x:c>
      <x:c r="AA11" s="23" t="str">
        <x:f>IF($D11="","",IF($E11="",IF(AA$4=$D11,1,""),IF(AND(AA$4&gt;=$D11,AA$4&lt;=$E11),1,"")))</x:f>
      </x:c>
      <x:c r="AB11" s="23" t="str">
        <x:f>IF($D11="","",IF($E11="",IF(AB$4=$D11,1,""),IF(AND(AB$4&gt;=$D11,AB$4&lt;=$E11),1,"")))</x:f>
      </x:c>
      <x:c r="AC11" s="23" t="str">
        <x:f>IF($D11="","",IF($E11="",IF(AC$4=$D11,1,""),IF(AND(AC$4&gt;=$D11,AC$4&lt;=$E11),1,"")))</x:f>
      </x:c>
      <x:c r="AD11" s="23" t="str">
        <x:f>IF($D11="","",IF($E11="",IF(AD$4=$D11,1,""),IF(AND(AD$4&gt;=$D11,AD$4&lt;=$E11),1,"")))</x:f>
      </x:c>
      <x:c r="AE11" s="25" t="str">
        <x:f>IF($D11="","",IF($E11="",IF(AE$4=$D11,1,""),IF(AND(AE$4&gt;=$D11,AE$4&lt;=$E11),1,"")))</x:f>
      </x:c>
      <x:c r="AF11" s="25" t="str">
        <x:f>IF($D11="","",IF($E11="",IF(AF$4=$D11,1,""),IF(AND(AF$4&gt;=$D11,AF$4&lt;=$E11),1,"")))</x:f>
      </x:c>
      <x:c r="AG11" s="23" t="str">
        <x:f>IF($D11="","",IF($E11="",IF(AG$4=$D11,1,""),IF(AND(AG$4&gt;=$D11,AG$4&lt;=$E11),1,"")))</x:f>
      </x:c>
      <x:c r="AH11" s="23" t="str">
        <x:f>IF($D11="","",IF($E11="",IF(AH$4=$D11,1,""),IF(AND(AH$4&gt;=$D11,AH$4&lt;=$E11),1,"")))</x:f>
      </x:c>
      <x:c r="AI11" s="23" t="str">
        <x:f>IF($D11="","",IF($E11="",IF(AI$4=$D11,1,""),IF(AND(AI$4&gt;=$D11,AI$4&lt;=$E11),1,"")))</x:f>
      </x:c>
    </x:row>
    <x:row r="12" ht="24" customHeight="1">
      <x:c r="A12" s="13" t="str">
        <x:v>ICR-D-NET-01-01</x:v>
      </x:c>
      <x:c r="B12" s="13" t="str">
        <x:v>Kubernetes Node Host Firewall &amp; Monitoring Route</x:v>
      </x:c>
      <x:c r="C12" s="13" t="str">
        <x:v>In Progress</x:v>
      </x:c>
      <x:c r="D12" s="19" t="n">
        <x:v>46266</x:v>
      </x:c>
      <x:c r="E12" s="19"/>
      <x:c r="F12" s="13" t="str">
        <x:v>이권욱</x:v>
      </x:c>
      <x:c r="G12" s="23" t="str">
        <x:f>IF($D12="","",IF($E12="",IF(G$4=$D12,1,""),IF(AND(G$4&gt;=$D12,G$4&lt;=$E12),1,"")))</x:f>
      </x:c>
      <x:c r="H12" s="23" t="str">
        <x:f>IF($D12="","",IF($E12="",IF(H$4=$D12,1,""),IF(AND(H$4&gt;=$D12,H$4&lt;=$E12),1,"")))</x:f>
      </x:c>
      <x:c r="I12" s="23" t="str">
        <x:f>IF($D12="","",IF($E12="",IF(I$4=$D12,1,""),IF(AND(I$4&gt;=$D12,I$4&lt;=$E12),1,"")))</x:f>
      </x:c>
      <x:c r="J12" s="25" t="str">
        <x:f>IF($D12="","",IF($E12="",IF(J$4=$D12,1,""),IF(AND(J$4&gt;=$D12,J$4&lt;=$E12),1,"")))</x:f>
      </x:c>
      <x:c r="K12" s="25" t="str">
        <x:f>IF($D12="","",IF($E12="",IF(K$4=$D12,1,""),IF(AND(K$4&gt;=$D12,K$4&lt;=$E12),1,"")))</x:f>
      </x:c>
      <x:c r="L12" s="23" t="str">
        <x:f>IF($D12="","",IF($E12="",IF(L$4=$D12,1,""),IF(AND(L$4&gt;=$D12,L$4&lt;=$E12),1,"")))</x:f>
      </x:c>
      <x:c r="M12" s="27" t="n">
        <x:f>IF($D12="","",IF($E12="",IF(M$4=$D12,1,""),IF(AND(M$4&gt;=$D12,M$4&lt;=$E12),1,"")))</x:f>
        <x:v>1</x:v>
      </x:c>
      <x:c r="N12" s="23" t="str">
        <x:f>IF($D12="","",IF($E12="",IF(N$4=$D12,1,""),IF(AND(N$4&gt;=$D12,N$4&lt;=$E12),1,"")))</x:f>
      </x:c>
      <x:c r="O12" s="23" t="str">
        <x:f>IF($D12="","",IF($E12="",IF(O$4=$D12,1,""),IF(AND(O$4&gt;=$D12,O$4&lt;=$E12),1,"")))</x:f>
      </x:c>
      <x:c r="P12" s="23" t="str">
        <x:f>IF($D12="","",IF($E12="",IF(P$4=$D12,1,""),IF(AND(P$4&gt;=$D12,P$4&lt;=$E12),1,"")))</x:f>
      </x:c>
      <x:c r="Q12" s="25" t="str">
        <x:f>IF($D12="","",IF($E12="",IF(Q$4=$D12,1,""),IF(AND(Q$4&gt;=$D12,Q$4&lt;=$E12),1,"")))</x:f>
      </x:c>
      <x:c r="R12" s="25" t="str">
        <x:f>IF($D12="","",IF($E12="",IF(R$4=$D12,1,""),IF(AND(R$4&gt;=$D12,R$4&lt;=$E12),1,"")))</x:f>
      </x:c>
      <x:c r="S12" s="23" t="str">
        <x:f>IF($D12="","",IF($E12="",IF(S$4=$D12,1,""),IF(AND(S$4&gt;=$D12,S$4&lt;=$E12),1,"")))</x:f>
      </x:c>
      <x:c r="T12" s="23" t="str">
        <x:f>IF($D12="","",IF($E12="",IF(T$4=$D12,1,""),IF(AND(T$4&gt;=$D12,T$4&lt;=$E12),1,"")))</x:f>
      </x:c>
      <x:c r="U12" s="23" t="str">
        <x:f>IF($D12="","",IF($E12="",IF(U$4=$D12,1,""),IF(AND(U$4&gt;=$D12,U$4&lt;=$E12),1,"")))</x:f>
      </x:c>
      <x:c r="V12" s="23" t="str">
        <x:f>IF($D12="","",IF($E12="",IF(V$4=$D12,1,""),IF(AND(V$4&gt;=$D12,V$4&lt;=$E12),1,"")))</x:f>
      </x:c>
      <x:c r="W12" s="23" t="str">
        <x:f>IF($D12="","",IF($E12="",IF(W$4=$D12,1,""),IF(AND(W$4&gt;=$D12,W$4&lt;=$E12),1,"")))</x:f>
      </x:c>
      <x:c r="X12" s="25" t="str">
        <x:f>IF($D12="","",IF($E12="",IF(X$4=$D12,1,""),IF(AND(X$4&gt;=$D12,X$4&lt;=$E12),1,"")))</x:f>
      </x:c>
      <x:c r="Y12" s="25" t="str">
        <x:f>IF($D12="","",IF($E12="",IF(Y$4=$D12,1,""),IF(AND(Y$4&gt;=$D12,Y$4&lt;=$E12),1,"")))</x:f>
      </x:c>
      <x:c r="Z12" s="23" t="str">
        <x:f>IF($D12="","",IF($E12="",IF(Z$4=$D12,1,""),IF(AND(Z$4&gt;=$D12,Z$4&lt;=$E12),1,"")))</x:f>
      </x:c>
      <x:c r="AA12" s="23" t="str">
        <x:f>IF($D12="","",IF($E12="",IF(AA$4=$D12,1,""),IF(AND(AA$4&gt;=$D12,AA$4&lt;=$E12),1,"")))</x:f>
      </x:c>
      <x:c r="AB12" s="23" t="str">
        <x:f>IF($D12="","",IF($E12="",IF(AB$4=$D12,1,""),IF(AND(AB$4&gt;=$D12,AB$4&lt;=$E12),1,"")))</x:f>
      </x:c>
      <x:c r="AC12" s="23" t="str">
        <x:f>IF($D12="","",IF($E12="",IF(AC$4=$D12,1,""),IF(AND(AC$4&gt;=$D12,AC$4&lt;=$E12),1,"")))</x:f>
      </x:c>
      <x:c r="AD12" s="23" t="str">
        <x:f>IF($D12="","",IF($E12="",IF(AD$4=$D12,1,""),IF(AND(AD$4&gt;=$D12,AD$4&lt;=$E12),1,"")))</x:f>
      </x:c>
      <x:c r="AE12" s="25" t="str">
        <x:f>IF($D12="","",IF($E12="",IF(AE$4=$D12,1,""),IF(AND(AE$4&gt;=$D12,AE$4&lt;=$E12),1,"")))</x:f>
      </x:c>
      <x:c r="AF12" s="25" t="str">
        <x:f>IF($D12="","",IF($E12="",IF(AF$4=$D12,1,""),IF(AND(AF$4&gt;=$D12,AF$4&lt;=$E12),1,"")))</x:f>
      </x:c>
      <x:c r="AG12" s="23" t="str">
        <x:f>IF($D12="","",IF($E12="",IF(AG$4=$D12,1,""),IF(AND(AG$4&gt;=$D12,AG$4&lt;=$E12),1,"")))</x:f>
      </x:c>
      <x:c r="AH12" s="23" t="str">
        <x:f>IF($D12="","",IF($E12="",IF(AH$4=$D12,1,""),IF(AND(AH$4&gt;=$D12,AH$4&lt;=$E12),1,"")))</x:f>
      </x:c>
      <x:c r="AI12" s="23" t="str">
        <x:f>IF($D12="","",IF($E12="",IF(AI$4=$D12,1,""),IF(AND(AI$4&gt;=$D12,AI$4&lt;=$E12),1,"")))</x:f>
      </x:c>
    </x:row>
    <x:row r="13" ht="24" customHeight="1">
      <x:c r="A13" s="13" t="str">
        <x:v>P1-APP-01</x:v>
      </x:c>
      <x:c r="B13" s="13" t="str">
        <x:v>transaction-api / fds-engine</x:v>
      </x:c>
      <x:c r="C13" s="13" t="str">
        <x:v>In Progress</x:v>
      </x:c>
      <x:c r="D13" s="19" t="n">
        <x:v>46266</x:v>
      </x:c>
      <x:c r="E13" s="19" t="n">
        <x:v>46275</x:v>
      </x:c>
      <x:c r="F13" s="13" t="str">
        <x:v>이재환</x:v>
      </x:c>
      <x:c r="G13" s="23" t="str">
        <x:f>IF($D13="","",IF($E13="",IF(G$4=$D13,1,""),IF(AND(G$4&gt;=$D13,G$4&lt;=$E13),1,"")))</x:f>
      </x:c>
      <x:c r="H13" s="23" t="str">
        <x:f>IF($D13="","",IF($E13="",IF(H$4=$D13,1,""),IF(AND(H$4&gt;=$D13,H$4&lt;=$E13),1,"")))</x:f>
      </x:c>
      <x:c r="I13" s="23" t="str">
        <x:f>IF($D13="","",IF($E13="",IF(I$4=$D13,1,""),IF(AND(I$4&gt;=$D13,I$4&lt;=$E13),1,"")))</x:f>
      </x:c>
      <x:c r="J13" s="25" t="str">
        <x:f>IF($D13="","",IF($E13="",IF(J$4=$D13,1,""),IF(AND(J$4&gt;=$D13,J$4&lt;=$E13),1,"")))</x:f>
      </x:c>
      <x:c r="K13" s="25" t="str">
        <x:f>IF($D13="","",IF($E13="",IF(K$4=$D13,1,""),IF(AND(K$4&gt;=$D13,K$4&lt;=$E13),1,"")))</x:f>
      </x:c>
      <x:c r="L13" s="23" t="str">
        <x:f>IF($D13="","",IF($E13="",IF(L$4=$D13,1,""),IF(AND(L$4&gt;=$D13,L$4&lt;=$E13),1,"")))</x:f>
      </x:c>
      <x:c r="M13" s="27" t="n">
        <x:f>IF($D13="","",IF($E13="",IF(M$4=$D13,1,""),IF(AND(M$4&gt;=$D13,M$4&lt;=$E13),1,"")))</x:f>
        <x:v>1</x:v>
      </x:c>
      <x:c r="N13" s="23" t="n">
        <x:f>IF($D13="","",IF($E13="",IF(N$4=$D13,1,""),IF(AND(N$4&gt;=$D13,N$4&lt;=$E13),1,"")))</x:f>
        <x:v>1</x:v>
      </x:c>
      <x:c r="O13" s="23" t="n">
        <x:f>IF($D13="","",IF($E13="",IF(O$4=$D13,1,""),IF(AND(O$4&gt;=$D13,O$4&lt;=$E13),1,"")))</x:f>
        <x:v>1</x:v>
      </x:c>
      <x:c r="P13" s="66" t="str">
        <x:v>L</x:v>
      </x:c>
      <x:c r="Q13" s="25" t="n">
        <x:f>IF($D13="","",IF($E13="",IF(Q$4=$D13,1,""),IF(AND(Q$4&gt;=$D13,Q$4&lt;=$E13),1,"")))</x:f>
        <x:v>1</x:v>
      </x:c>
      <x:c r="R13" s="25" t="n">
        <x:f>IF($D13="","",IF($E13="",IF(R$4=$D13,1,""),IF(AND(R$4&gt;=$D13,R$4&lt;=$E13),1,"")))</x:f>
        <x:v>1</x:v>
      </x:c>
      <x:c r="S13" s="23" t="n">
        <x:f>IF($D13="","",IF($E13="",IF(S$4=$D13,1,""),IF(AND(S$4&gt;=$D13,S$4&lt;=$E13),1,"")))</x:f>
        <x:v>1</x:v>
      </x:c>
      <x:c r="T13" s="23" t="n">
        <x:f>IF($D13="","",IF($E13="",IF(T$4=$D13,1,""),IF(AND(T$4&gt;=$D13,T$4&lt;=$E13),1,"")))</x:f>
        <x:v>1</x:v>
      </x:c>
      <x:c r="U13" s="23" t="n">
        <x:f>IF($D13="","",IF($E13="",IF(U$4=$D13,1,""),IF(AND(U$4&gt;=$D13,U$4&lt;=$E13),1,"")))</x:f>
        <x:v>1</x:v>
      </x:c>
      <x:c r="V13" s="23" t="n">
        <x:f>IF($D13="","",IF($E13="",IF(V$4=$D13,1,""),IF(AND(V$4&gt;=$D13,V$4&lt;=$E13),1,"")))</x:f>
        <x:v>1</x:v>
      </x:c>
      <x:c r="W13" s="23" t="str">
        <x:f>IF($D13="","",IF($E13="",IF(W$4=$D13,1,""),IF(AND(W$4&gt;=$D13,W$4&lt;=$E13),1,"")))</x:f>
      </x:c>
      <x:c r="X13" s="25" t="str">
        <x:f>IF($D13="","",IF($E13="",IF(X$4=$D13,1,""),IF(AND(X$4&gt;=$D13,X$4&lt;=$E13),1,"")))</x:f>
      </x:c>
      <x:c r="Y13" s="25" t="str">
        <x:f>IF($D13="","",IF($E13="",IF(Y$4=$D13,1,""),IF(AND(Y$4&gt;=$D13,Y$4&lt;=$E13),1,"")))</x:f>
      </x:c>
      <x:c r="Z13" s="23" t="str">
        <x:f>IF($D13="","",IF($E13="",IF(Z$4=$D13,1,""),IF(AND(Z$4&gt;=$D13,Z$4&lt;=$E13),1,"")))</x:f>
      </x:c>
      <x:c r="AA13" s="23" t="str">
        <x:f>IF($D13="","",IF($E13="",IF(AA$4=$D13,1,""),IF(AND(AA$4&gt;=$D13,AA$4&lt;=$E13),1,"")))</x:f>
      </x:c>
      <x:c r="AB13" s="23" t="str">
        <x:f>IF($D13="","",IF($E13="",IF(AB$4=$D13,1,""),IF(AND(AB$4&gt;=$D13,AB$4&lt;=$E13),1,"")))</x:f>
      </x:c>
      <x:c r="AC13" s="23" t="str">
        <x:f>IF($D13="","",IF($E13="",IF(AC$4=$D13,1,""),IF(AND(AC$4&gt;=$D13,AC$4&lt;=$E13),1,"")))</x:f>
      </x:c>
      <x:c r="AD13" s="23" t="str">
        <x:f>IF($D13="","",IF($E13="",IF(AD$4=$D13,1,""),IF(AND(AD$4&gt;=$D13,AD$4&lt;=$E13),1,"")))</x:f>
      </x:c>
      <x:c r="AE13" s="25" t="str">
        <x:f>IF($D13="","",IF($E13="",IF(AE$4=$D13,1,""),IF(AND(AE$4&gt;=$D13,AE$4&lt;=$E13),1,"")))</x:f>
      </x:c>
      <x:c r="AF13" s="25" t="str">
        <x:f>IF($D13="","",IF($E13="",IF(AF$4=$D13,1,""),IF(AND(AF$4&gt;=$D13,AF$4&lt;=$E13),1,"")))</x:f>
      </x:c>
      <x:c r="AG13" s="23" t="str">
        <x:f>IF($D13="","",IF($E13="",IF(AG$4=$D13,1,""),IF(AND(AG$4&gt;=$D13,AG$4&lt;=$E13),1,"")))</x:f>
      </x:c>
      <x:c r="AH13" s="23" t="str">
        <x:f>IF($D13="","",IF($E13="",IF(AH$4=$D13,1,""),IF(AND(AH$4&gt;=$D13,AH$4&lt;=$E13),1,"")))</x:f>
      </x:c>
      <x:c r="AI13" s="23" t="str">
        <x:f>IF($D13="","",IF($E13="",IF(AI$4=$D13,1,""),IF(AND(AI$4&gt;=$D13,AI$4&lt;=$E13),1,"")))</x:f>
      </x:c>
    </x:row>
    <x:row r="14" ht="24" customHeight="1">
      <x:c r="A14" s="13" t="str">
        <x:v>P1-CICD-01</x:v>
      </x:c>
      <x:c r="B14" s="13" t="str">
        <x:v>GitHub Actions / Self-hosted Runner Delivery</x:v>
      </x:c>
      <x:c r="C14" s="13" t="str">
        <x:v>To Do</x:v>
      </x:c>
      <x:c r="D14" s="19" t="n">
        <x:v>46266</x:v>
      </x:c>
      <x:c r="E14" s="19" t="n">
        <x:v>46274</x:v>
      </x:c>
      <x:c r="F14" s="13" t="str">
        <x:v>이권욱</x:v>
      </x:c>
      <x:c r="G14" s="23" t="str">
        <x:f>IF($D14="","",IF($E14="",IF(G$4=$D14,1,""),IF(AND(G$4&gt;=$D14,G$4&lt;=$E14),1,"")))</x:f>
      </x:c>
      <x:c r="H14" s="23" t="str">
        <x:f>IF($D14="","",IF($E14="",IF(H$4=$D14,1,""),IF(AND(H$4&gt;=$D14,H$4&lt;=$E14),1,"")))</x:f>
      </x:c>
      <x:c r="I14" s="23" t="str">
        <x:f>IF($D14="","",IF($E14="",IF(I$4=$D14,1,""),IF(AND(I$4&gt;=$D14,I$4&lt;=$E14),1,"")))</x:f>
      </x:c>
      <x:c r="J14" s="25" t="str">
        <x:f>IF($D14="","",IF($E14="",IF(J$4=$D14,1,""),IF(AND(J$4&gt;=$D14,J$4&lt;=$E14),1,"")))</x:f>
      </x:c>
      <x:c r="K14" s="25" t="str">
        <x:f>IF($D14="","",IF($E14="",IF(K$4=$D14,1,""),IF(AND(K$4&gt;=$D14,K$4&lt;=$E14),1,"")))</x:f>
      </x:c>
      <x:c r="L14" s="23" t="str">
        <x:f>IF($D14="","",IF($E14="",IF(L$4=$D14,1,""),IF(AND(L$4&gt;=$D14,L$4&lt;=$E14),1,"")))</x:f>
      </x:c>
      <x:c r="M14" s="27" t="n">
        <x:f>IF($D14="","",IF($E14="",IF(M$4=$D14,1,""),IF(AND(M$4&gt;=$D14,M$4&lt;=$E14),1,"")))</x:f>
        <x:v>1</x:v>
      </x:c>
      <x:c r="N14" s="23" t="n">
        <x:f>IF($D14="","",IF($E14="",IF(N$4=$D14,1,""),IF(AND(N$4&gt;=$D14,N$4&lt;=$E14),1,"")))</x:f>
        <x:v>1</x:v>
      </x:c>
      <x:c r="O14" s="23" t="n">
        <x:f>IF($D14="","",IF($E14="",IF(O$4=$D14,1,""),IF(AND(O$4&gt;=$D14,O$4&lt;=$E14),1,"")))</x:f>
        <x:v>1</x:v>
      </x:c>
      <x:c r="P14" s="23" t="n">
        <x:f>IF($D14="","",IF($E14="",IF(P$4=$D14,1,""),IF(AND(P$4&gt;=$D14,P$4&lt;=$E14),1,"")))</x:f>
        <x:v>1</x:v>
      </x:c>
      <x:c r="Q14" s="25" t="n">
        <x:f>IF($D14="","",IF($E14="",IF(Q$4=$D14,1,""),IF(AND(Q$4&gt;=$D14,Q$4&lt;=$E14),1,"")))</x:f>
        <x:v>1</x:v>
      </x:c>
      <x:c r="R14" s="25" t="n">
        <x:f>IF($D14="","",IF($E14="",IF(R$4=$D14,1,""),IF(AND(R$4&gt;=$D14,R$4&lt;=$E14),1,"")))</x:f>
        <x:v>1</x:v>
      </x:c>
      <x:c r="S14" s="23" t="n">
        <x:f>IF($D14="","",IF($E14="",IF(S$4=$D14,1,""),IF(AND(S$4&gt;=$D14,S$4&lt;=$E14),1,"")))</x:f>
        <x:v>1</x:v>
      </x:c>
      <x:c r="T14" s="23" t="n">
        <x:f>IF($D14="","",IF($E14="",IF(T$4=$D14,1,""),IF(AND(T$4&gt;=$D14,T$4&lt;=$E14),1,"")))</x:f>
        <x:v>1</x:v>
      </x:c>
      <x:c r="U14" s="23" t="n">
        <x:f>IF($D14="","",IF($E14="",IF(U$4=$D14,1,""),IF(AND(U$4&gt;=$D14,U$4&lt;=$E14),1,"")))</x:f>
        <x:v>1</x:v>
      </x:c>
      <x:c r="V14" s="23" t="str">
        <x:f>IF($D14="","",IF($E14="",IF(V$4=$D14,1,""),IF(AND(V$4&gt;=$D14,V$4&lt;=$E14),1,"")))</x:f>
      </x:c>
      <x:c r="W14" s="23" t="str">
        <x:f>IF($D14="","",IF($E14="",IF(W$4=$D14,1,""),IF(AND(W$4&gt;=$D14,W$4&lt;=$E14),1,"")))</x:f>
      </x:c>
      <x:c r="X14" s="25" t="str">
        <x:f>IF($D14="","",IF($E14="",IF(X$4=$D14,1,""),IF(AND(X$4&gt;=$D14,X$4&lt;=$E14),1,"")))</x:f>
      </x:c>
      <x:c r="Y14" s="25" t="str">
        <x:f>IF($D14="","",IF($E14="",IF(Y$4=$D14,1,""),IF(AND(Y$4&gt;=$D14,Y$4&lt;=$E14),1,"")))</x:f>
      </x:c>
      <x:c r="Z14" s="23" t="str">
        <x:f>IF($D14="","",IF($E14="",IF(Z$4=$D14,1,""),IF(AND(Z$4&gt;=$D14,Z$4&lt;=$E14),1,"")))</x:f>
      </x:c>
      <x:c r="AA14" s="23" t="str">
        <x:f>IF($D14="","",IF($E14="",IF(AA$4=$D14,1,""),IF(AND(AA$4&gt;=$D14,AA$4&lt;=$E14),1,"")))</x:f>
      </x:c>
      <x:c r="AB14" s="23" t="str">
        <x:f>IF($D14="","",IF($E14="",IF(AB$4=$D14,1,""),IF(AND(AB$4&gt;=$D14,AB$4&lt;=$E14),1,"")))</x:f>
      </x:c>
      <x:c r="AC14" s="23" t="str">
        <x:f>IF($D14="","",IF($E14="",IF(AC$4=$D14,1,""),IF(AND(AC$4&gt;=$D14,AC$4&lt;=$E14),1,"")))</x:f>
      </x:c>
      <x:c r="AD14" s="23" t="str">
        <x:f>IF($D14="","",IF($E14="",IF(AD$4=$D14,1,""),IF(AND(AD$4&gt;=$D14,AD$4&lt;=$E14),1,"")))</x:f>
      </x:c>
      <x:c r="AE14" s="25" t="str">
        <x:f>IF($D14="","",IF($E14="",IF(AE$4=$D14,1,""),IF(AND(AE$4&gt;=$D14,AE$4&lt;=$E14),1,"")))</x:f>
      </x:c>
      <x:c r="AF14" s="25" t="str">
        <x:f>IF($D14="","",IF($E14="",IF(AF$4=$D14,1,""),IF(AND(AF$4&gt;=$D14,AF$4&lt;=$E14),1,"")))</x:f>
      </x:c>
      <x:c r="AG14" s="23" t="str">
        <x:f>IF($D14="","",IF($E14="",IF(AG$4=$D14,1,""),IF(AND(AG$4&gt;=$D14,AG$4&lt;=$E14),1,"")))</x:f>
      </x:c>
      <x:c r="AH14" s="23" t="str">
        <x:f>IF($D14="","",IF($E14="",IF(AH$4=$D14,1,""),IF(AND(AH$4&gt;=$D14,AH$4&lt;=$E14),1,"")))</x:f>
      </x:c>
      <x:c r="AI14" s="23" t="str">
        <x:f>IF($D14="","",IF($E14="",IF(AI$4=$D14,1,""),IF(AND(AI$4&gt;=$D14,AI$4&lt;=$E14),1,"")))</x:f>
      </x:c>
    </x:row>
    <x:row r="15" ht="24" customHeight="1">
      <x:c r="A15" s="13" t="str">
        <x:v>MS-G1-01</x:v>
      </x:c>
      <x:c r="B15" s="13" t="str">
        <x:v>G1 Infrastructure Ready</x:v>
      </x:c>
      <x:c r="C15" s="13" t="str">
        <x:v>To Do</x:v>
      </x:c>
      <x:c r="D15" s="19" t="n">
        <x:v>46272</x:v>
      </x:c>
      <x:c r="E15" s="19" t="n">
        <x:v>46272</x:v>
      </x:c>
      <x:c r="F15" s="13" t="str">
        <x:v>이권욱</x:v>
      </x:c>
      <x:c r="G15" s="23" t="str">
        <x:f>IF($D15="","",IF($E15="",IF(G$4=$D15,1,""),IF(AND(G$4&gt;=$D15,G$4&lt;=$E15),1,"")))</x:f>
      </x:c>
      <x:c r="H15" s="23" t="str">
        <x:f>IF($D15="","",IF($E15="",IF(H$4=$D15,1,""),IF(AND(H$4&gt;=$D15,H$4&lt;=$E15),1,"")))</x:f>
      </x:c>
      <x:c r="I15" s="23" t="str">
        <x:f>IF($D15="","",IF($E15="",IF(I$4=$D15,1,""),IF(AND(I$4&gt;=$D15,I$4&lt;=$E15),1,"")))</x:f>
      </x:c>
      <x:c r="J15" s="25" t="str">
        <x:f>IF($D15="","",IF($E15="",IF(J$4=$D15,1,""),IF(AND(J$4&gt;=$D15,J$4&lt;=$E15),1,"")))</x:f>
      </x:c>
      <x:c r="K15" s="25" t="str">
        <x:f>IF($D15="","",IF($E15="",IF(K$4=$D15,1,""),IF(AND(K$4&gt;=$D15,K$4&lt;=$E15),1,"")))</x:f>
      </x:c>
      <x:c r="L15" s="23" t="str">
        <x:f>IF($D15="","",IF($E15="",IF(L$4=$D15,1,""),IF(AND(L$4&gt;=$D15,L$4&lt;=$E15),1,"")))</x:f>
      </x:c>
      <x:c r="M15" s="27" t="str">
        <x:f>IF($D15="","",IF($E15="",IF(M$4=$D15,1,""),IF(AND(M$4&gt;=$D15,M$4&lt;=$E15),1,"")))</x:f>
      </x:c>
      <x:c r="N15" s="23" t="str">
        <x:f>IF($D15="","",IF($E15="",IF(N$4=$D15,1,""),IF(AND(N$4&gt;=$D15,N$4&lt;=$E15),1,"")))</x:f>
      </x:c>
      <x:c r="O15" s="23" t="str">
        <x:f>IF($D15="","",IF($E15="",IF(O$4=$D15,1,""),IF(AND(O$4&gt;=$D15,O$4&lt;=$E15),1,"")))</x:f>
      </x:c>
      <x:c r="P15" s="23" t="str">
        <x:f>IF($D15="","",IF($E15="",IF(P$4=$D15,1,""),IF(AND(P$4&gt;=$D15,P$4&lt;=$E15),1,"")))</x:f>
      </x:c>
      <x:c r="Q15" s="25" t="str">
        <x:f>IF($D15="","",IF($E15="",IF(Q$4=$D15,1,""),IF(AND(Q$4&gt;=$D15,Q$4&lt;=$E15),1,"")))</x:f>
      </x:c>
      <x:c r="R15" s="25" t="str">
        <x:f>IF($D15="","",IF($E15="",IF(R$4=$D15,1,""),IF(AND(R$4&gt;=$D15,R$4&lt;=$E15),1,"")))</x:f>
      </x:c>
      <x:c r="S15" s="23" t="n">
        <x:f>IF($D15="","",IF($E15="",IF(S$4=$D15,1,""),IF(AND(S$4&gt;=$D15,S$4&lt;=$E15),1,"")))</x:f>
        <x:v>1</x:v>
      </x:c>
      <x:c r="T15" s="23" t="str">
        <x:f>IF($D15="","",IF($E15="",IF(T$4=$D15,1,""),IF(AND(T$4&gt;=$D15,T$4&lt;=$E15),1,"")))</x:f>
      </x:c>
      <x:c r="U15" s="23" t="str">
        <x:f>IF($D15="","",IF($E15="",IF(U$4=$D15,1,""),IF(AND(U$4&gt;=$D15,U$4&lt;=$E15),1,"")))</x:f>
      </x:c>
      <x:c r="V15" s="23" t="str">
        <x:f>IF($D15="","",IF($E15="",IF(V$4=$D15,1,""),IF(AND(V$4&gt;=$D15,V$4&lt;=$E15),1,"")))</x:f>
      </x:c>
      <x:c r="W15" s="23" t="str">
        <x:f>IF($D15="","",IF($E15="",IF(W$4=$D15,1,""),IF(AND(W$4&gt;=$D15,W$4&lt;=$E15),1,"")))</x:f>
      </x:c>
      <x:c r="X15" s="25" t="str">
        <x:f>IF($D15="","",IF($E15="",IF(X$4=$D15,1,""),IF(AND(X$4&gt;=$D15,X$4&lt;=$E15),1,"")))</x:f>
      </x:c>
      <x:c r="Y15" s="25" t="str">
        <x:f>IF($D15="","",IF($E15="",IF(Y$4=$D15,1,""),IF(AND(Y$4&gt;=$D15,Y$4&lt;=$E15),1,"")))</x:f>
      </x:c>
      <x:c r="Z15" s="23" t="str">
        <x:f>IF($D15="","",IF($E15="",IF(Z$4=$D15,1,""),IF(AND(Z$4&gt;=$D15,Z$4&lt;=$E15),1,"")))</x:f>
      </x:c>
      <x:c r="AA15" s="23" t="str">
        <x:f>IF($D15="","",IF($E15="",IF(AA$4=$D15,1,""),IF(AND(AA$4&gt;=$D15,AA$4&lt;=$E15),1,"")))</x:f>
      </x:c>
      <x:c r="AB15" s="23" t="str">
        <x:f>IF($D15="","",IF($E15="",IF(AB$4=$D15,1,""),IF(AND(AB$4&gt;=$D15,AB$4&lt;=$E15),1,"")))</x:f>
      </x:c>
      <x:c r="AC15" s="23" t="str">
        <x:f>IF($D15="","",IF($E15="",IF(AC$4=$D15,1,""),IF(AND(AC$4&gt;=$D15,AC$4&lt;=$E15),1,"")))</x:f>
      </x:c>
      <x:c r="AD15" s="23" t="str">
        <x:f>IF($D15="","",IF($E15="",IF(AD$4=$D15,1,""),IF(AND(AD$4&gt;=$D15,AD$4&lt;=$E15),1,"")))</x:f>
      </x:c>
      <x:c r="AE15" s="25" t="str">
        <x:f>IF($D15="","",IF($E15="",IF(AE$4=$D15,1,""),IF(AND(AE$4&gt;=$D15,AE$4&lt;=$E15),1,"")))</x:f>
      </x:c>
      <x:c r="AF15" s="25" t="str">
        <x:f>IF($D15="","",IF($E15="",IF(AF$4=$D15,1,""),IF(AND(AF$4&gt;=$D15,AF$4&lt;=$E15),1,"")))</x:f>
      </x:c>
      <x:c r="AG15" s="23" t="str">
        <x:f>IF($D15="","",IF($E15="",IF(AG$4=$D15,1,""),IF(AND(AG$4&gt;=$D15,AG$4&lt;=$E15),1,"")))</x:f>
      </x:c>
      <x:c r="AH15" s="23" t="str">
        <x:f>IF($D15="","",IF($E15="",IF(AH$4=$D15,1,""),IF(AND(AH$4&gt;=$D15,AH$4&lt;=$E15),1,"")))</x:f>
      </x:c>
      <x:c r="AI15" s="23" t="str">
        <x:f>IF($D15="","",IF($E15="",IF(AI$4=$D15,1,""),IF(AND(AI$4&gt;=$D15,AI$4&lt;=$E15),1,"")))</x:f>
      </x:c>
    </x:row>
    <x:row r="16" ht="24" customHeight="1">
      <x:c r="A16" s="13" t="str">
        <x:v>P1-MON-01</x:v>
      </x:c>
      <x:c r="B16" s="13" t="str">
        <x:v>Prometheus / Node / App Metrics</x:v>
      </x:c>
      <x:c r="C16" s="13" t="str">
        <x:v>In Progress</x:v>
      </x:c>
      <x:c r="D16" s="19" t="n">
        <x:v>46272</x:v>
      </x:c>
      <x:c r="E16" s="19" t="n">
        <x:v>46276</x:v>
      </x:c>
      <x:c r="F16" s="13" t="str">
        <x:v>이재환</x:v>
      </x:c>
      <x:c r="G16" s="23" t="str">
        <x:f>IF($D16="","",IF($E16="",IF(G$4=$D16,1,""),IF(AND(G$4&gt;=$D16,G$4&lt;=$E16),1,"")))</x:f>
      </x:c>
      <x:c r="H16" s="23" t="str">
        <x:f>IF($D16="","",IF($E16="",IF(H$4=$D16,1,""),IF(AND(H$4&gt;=$D16,H$4&lt;=$E16),1,"")))</x:f>
      </x:c>
      <x:c r="I16" s="23" t="str">
        <x:f>IF($D16="","",IF($E16="",IF(I$4=$D16,1,""),IF(AND(I$4&gt;=$D16,I$4&lt;=$E16),1,"")))</x:f>
      </x:c>
      <x:c r="J16" s="25" t="str">
        <x:f>IF($D16="","",IF($E16="",IF(J$4=$D16,1,""),IF(AND(J$4&gt;=$D16,J$4&lt;=$E16),1,"")))</x:f>
      </x:c>
      <x:c r="K16" s="25" t="str">
        <x:f>IF($D16="","",IF($E16="",IF(K$4=$D16,1,""),IF(AND(K$4&gt;=$D16,K$4&lt;=$E16),1,"")))</x:f>
      </x:c>
      <x:c r="L16" s="23" t="str">
        <x:f>IF($D16="","",IF($E16="",IF(L$4=$D16,1,""),IF(AND(L$4&gt;=$D16,L$4&lt;=$E16),1,"")))</x:f>
      </x:c>
      <x:c r="M16" s="27" t="str">
        <x:f>IF($D16="","",IF($E16="",IF(M$4=$D16,1,""),IF(AND(M$4&gt;=$D16,M$4&lt;=$E16),1,"")))</x:f>
      </x:c>
      <x:c r="N16" s="23" t="str">
        <x:f>IF($D16="","",IF($E16="",IF(N$4=$D16,1,""),IF(AND(N$4&gt;=$D16,N$4&lt;=$E16),1,"")))</x:f>
      </x:c>
      <x:c r="O16" s="23" t="str">
        <x:f>IF($D16="","",IF($E16="",IF(O$4=$D16,1,""),IF(AND(O$4&gt;=$D16,O$4&lt;=$E16),1,"")))</x:f>
      </x:c>
      <x:c r="P16" s="66" t="str">
        <x:v>L</x:v>
      </x:c>
      <x:c r="Q16" s="25" t="str">
        <x:f>IF($D16="","",IF($E16="",IF(Q$4=$D16,1,""),IF(AND(Q$4&gt;=$D16,Q$4&lt;=$E16),1,"")))</x:f>
      </x:c>
      <x:c r="R16" s="25" t="str">
        <x:f>IF($D16="","",IF($E16="",IF(R$4=$D16,1,""),IF(AND(R$4&gt;=$D16,R$4&lt;=$E16),1,"")))</x:f>
      </x:c>
      <x:c r="S16" s="23" t="n">
        <x:f>IF($D16="","",IF($E16="",IF(S$4=$D16,1,""),IF(AND(S$4&gt;=$D16,S$4&lt;=$E16),1,"")))</x:f>
        <x:v>1</x:v>
      </x:c>
      <x:c r="T16" s="23" t="n">
        <x:f>IF($D16="","",IF($E16="",IF(T$4=$D16,1,""),IF(AND(T$4&gt;=$D16,T$4&lt;=$E16),1,"")))</x:f>
        <x:v>1</x:v>
      </x:c>
      <x:c r="U16" s="23" t="n">
        <x:f>IF($D16="","",IF($E16="",IF(U$4=$D16,1,""),IF(AND(U$4&gt;=$D16,U$4&lt;=$E16),1,"")))</x:f>
        <x:v>1</x:v>
      </x:c>
      <x:c r="V16" s="23" t="n">
        <x:f>IF($D16="","",IF($E16="",IF(V$4=$D16,1,""),IF(AND(V$4&gt;=$D16,V$4&lt;=$E16),1,"")))</x:f>
        <x:v>1</x:v>
      </x:c>
      <x:c r="W16" s="23" t="n">
        <x:f>IF($D16="","",IF($E16="",IF(W$4=$D16,1,""),IF(AND(W$4&gt;=$D16,W$4&lt;=$E16),1,"")))</x:f>
        <x:v>1</x:v>
      </x:c>
      <x:c r="X16" s="25" t="str">
        <x:f>IF($D16="","",IF($E16="",IF(X$4=$D16,1,""),IF(AND(X$4&gt;=$D16,X$4&lt;=$E16),1,"")))</x:f>
      </x:c>
      <x:c r="Y16" s="25" t="str">
        <x:f>IF($D16="","",IF($E16="",IF(Y$4=$D16,1,""),IF(AND(Y$4&gt;=$D16,Y$4&lt;=$E16),1,"")))</x:f>
      </x:c>
      <x:c r="Z16" s="23" t="str">
        <x:f>IF($D16="","",IF($E16="",IF(Z$4=$D16,1,""),IF(AND(Z$4&gt;=$D16,Z$4&lt;=$E16),1,"")))</x:f>
      </x:c>
      <x:c r="AA16" s="23" t="str">
        <x:f>IF($D16="","",IF($E16="",IF(AA$4=$D16,1,""),IF(AND(AA$4&gt;=$D16,AA$4&lt;=$E16),1,"")))</x:f>
      </x:c>
      <x:c r="AB16" s="23" t="str">
        <x:f>IF($D16="","",IF($E16="",IF(AB$4=$D16,1,""),IF(AND(AB$4&gt;=$D16,AB$4&lt;=$E16),1,"")))</x:f>
      </x:c>
      <x:c r="AC16" s="23" t="str">
        <x:f>IF($D16="","",IF($E16="",IF(AC$4=$D16,1,""),IF(AND(AC$4&gt;=$D16,AC$4&lt;=$E16),1,"")))</x:f>
      </x:c>
      <x:c r="AD16" s="23" t="str">
        <x:f>IF($D16="","",IF($E16="",IF(AD$4=$D16,1,""),IF(AND(AD$4&gt;=$D16,AD$4&lt;=$E16),1,"")))</x:f>
      </x:c>
      <x:c r="AE16" s="25" t="str">
        <x:f>IF($D16="","",IF($E16="",IF(AE$4=$D16,1,""),IF(AND(AE$4&gt;=$D16,AE$4&lt;=$E16),1,"")))</x:f>
      </x:c>
      <x:c r="AF16" s="25" t="str">
        <x:f>IF($D16="","",IF($E16="",IF(AF$4=$D16,1,""),IF(AND(AF$4&gt;=$D16,AF$4&lt;=$E16),1,"")))</x:f>
      </x:c>
      <x:c r="AG16" s="23" t="str">
        <x:f>IF($D16="","",IF($E16="",IF(AG$4=$D16,1,""),IF(AND(AG$4&gt;=$D16,AG$4&lt;=$E16),1,"")))</x:f>
      </x:c>
      <x:c r="AH16" s="23" t="str">
        <x:f>IF($D16="","",IF($E16="",IF(AH$4=$D16,1,""),IF(AND(AH$4&gt;=$D16,AH$4&lt;=$E16),1,"")))</x:f>
      </x:c>
      <x:c r="AI16" s="23" t="str">
        <x:f>IF($D16="","",IF($E16="",IF(AI$4=$D16,1,""),IF(AND(AI$4&gt;=$D16,AI$4&lt;=$E16),1,"")))</x:f>
      </x:c>
    </x:row>
    <x:row r="17" ht="24" customHeight="1">
      <x:c r="A17" s="13" t="str">
        <x:v>P1-SEC-01</x:v>
      </x:c>
      <x:c r="B17" s="13" t="str">
        <x:v>Kubernetes Security Controls</x:v>
      </x:c>
      <x:c r="C17" s="13" t="str">
        <x:v>To Do</x:v>
      </x:c>
      <x:c r="D17" s="19" t="n">
        <x:v>46269</x:v>
      </x:c>
      <x:c r="E17" s="19" t="n">
        <x:v>46276</x:v>
      </x:c>
      <x:c r="F17" s="13" t="str">
        <x:v>이하영</x:v>
      </x:c>
      <x:c r="G17" s="23" t="str">
        <x:f>IF($D17="","",IF($E17="",IF(G$4=$D17,1,""),IF(AND(G$4&gt;=$D17,G$4&lt;=$E17),1,"")))</x:f>
      </x:c>
      <x:c r="H17" s="23" t="str">
        <x:f>IF($D17="","",IF($E17="",IF(H$4=$D17,1,""),IF(AND(H$4&gt;=$D17,H$4&lt;=$E17),1,"")))</x:f>
      </x:c>
      <x:c r="I17" s="23" t="str">
        <x:f>IF($D17="","",IF($E17="",IF(I$4=$D17,1,""),IF(AND(I$4&gt;=$D17,I$4&lt;=$E17),1,"")))</x:f>
      </x:c>
      <x:c r="J17" s="25" t="str">
        <x:f>IF($D17="","",IF($E17="",IF(J$4=$D17,1,""),IF(AND(J$4&gt;=$D17,J$4&lt;=$E17),1,"")))</x:f>
      </x:c>
      <x:c r="K17" s="25" t="str">
        <x:f>IF($D17="","",IF($E17="",IF(K$4=$D17,1,""),IF(AND(K$4&gt;=$D17,K$4&lt;=$E17),1,"")))</x:f>
      </x:c>
      <x:c r="L17" s="23" t="str">
        <x:f>IF($D17="","",IF($E17="",IF(L$4=$D17,1,""),IF(AND(L$4&gt;=$D17,L$4&lt;=$E17),1,"")))</x:f>
      </x:c>
      <x:c r="M17" s="27" t="str">
        <x:f>IF($D17="","",IF($E17="",IF(M$4=$D17,1,""),IF(AND(M$4&gt;=$D17,M$4&lt;=$E17),1,"")))</x:f>
      </x:c>
      <x:c r="N17" s="23" t="str">
        <x:f>IF($D17="","",IF($E17="",IF(N$4=$D17,1,""),IF(AND(N$4&gt;=$D17,N$4&lt;=$E17),1,"")))</x:f>
      </x:c>
      <x:c r="O17" s="23" t="str">
        <x:f>IF($D17="","",IF($E17="",IF(O$4=$D17,1,""),IF(AND(O$4&gt;=$D17,O$4&lt;=$E17),1,"")))</x:f>
      </x:c>
      <x:c r="P17" s="23" t="n">
        <x:f>IF($D17="","",IF($E17="",IF(P$4=$D17,1,""),IF(AND(P$4&gt;=$D17,P$4&lt;=$E17),1,"")))</x:f>
        <x:v>1</x:v>
      </x:c>
      <x:c r="Q17" s="25" t="n">
        <x:f>IF($D17="","",IF($E17="",IF(Q$4=$D17,1,""),IF(AND(Q$4&gt;=$D17,Q$4&lt;=$E17),1,"")))</x:f>
        <x:v>1</x:v>
      </x:c>
      <x:c r="R17" s="25" t="n">
        <x:f>IF($D17="","",IF($E17="",IF(R$4=$D17,1,""),IF(AND(R$4&gt;=$D17,R$4&lt;=$E17),1,"")))</x:f>
        <x:v>1</x:v>
      </x:c>
      <x:c r="S17" s="23" t="n">
        <x:f>IF($D17="","",IF($E17="",IF(S$4=$D17,1,""),IF(AND(S$4&gt;=$D17,S$4&lt;=$E17),1,"")))</x:f>
        <x:v>1</x:v>
      </x:c>
      <x:c r="T17" s="23" t="n">
        <x:f>IF($D17="","",IF($E17="",IF(T$4=$D17,1,""),IF(AND(T$4&gt;=$D17,T$4&lt;=$E17),1,"")))</x:f>
        <x:v>1</x:v>
      </x:c>
      <x:c r="U17" s="23" t="n">
        <x:f>IF($D17="","",IF($E17="",IF(U$4=$D17,1,""),IF(AND(U$4&gt;=$D17,U$4&lt;=$E17),1,"")))</x:f>
        <x:v>1</x:v>
      </x:c>
      <x:c r="V17" s="23" t="n">
        <x:f>IF($D17="","",IF($E17="",IF(V$4=$D17,1,""),IF(AND(V$4&gt;=$D17,V$4&lt;=$E17),1,"")))</x:f>
        <x:v>1</x:v>
      </x:c>
      <x:c r="W17" s="23" t="n">
        <x:f>IF($D17="","",IF($E17="",IF(W$4=$D17,1,""),IF(AND(W$4&gt;=$D17,W$4&lt;=$E17),1,"")))</x:f>
        <x:v>1</x:v>
      </x:c>
      <x:c r="X17" s="25" t="str">
        <x:f>IF($D17="","",IF($E17="",IF(X$4=$D17,1,""),IF(AND(X$4&gt;=$D17,X$4&lt;=$E17),1,"")))</x:f>
      </x:c>
      <x:c r="Y17" s="25" t="str">
        <x:f>IF($D17="","",IF($E17="",IF(Y$4=$D17,1,""),IF(AND(Y$4&gt;=$D17,Y$4&lt;=$E17),1,"")))</x:f>
      </x:c>
      <x:c r="Z17" s="23" t="str">
        <x:f>IF($D17="","",IF($E17="",IF(Z$4=$D17,1,""),IF(AND(Z$4&gt;=$D17,Z$4&lt;=$E17),1,"")))</x:f>
      </x:c>
      <x:c r="AA17" s="23" t="str">
        <x:f>IF($D17="","",IF($E17="",IF(AA$4=$D17,1,""),IF(AND(AA$4&gt;=$D17,AA$4&lt;=$E17),1,"")))</x:f>
      </x:c>
      <x:c r="AB17" s="23" t="str">
        <x:f>IF($D17="","",IF($E17="",IF(AB$4=$D17,1,""),IF(AND(AB$4&gt;=$D17,AB$4&lt;=$E17),1,"")))</x:f>
      </x:c>
      <x:c r="AC17" s="23" t="str">
        <x:f>IF($D17="","",IF($E17="",IF(AC$4=$D17,1,""),IF(AND(AC$4&gt;=$D17,AC$4&lt;=$E17),1,"")))</x:f>
      </x:c>
      <x:c r="AD17" s="23" t="str">
        <x:f>IF($D17="","",IF($E17="",IF(AD$4=$D17,1,""),IF(AND(AD$4&gt;=$D17,AD$4&lt;=$E17),1,"")))</x:f>
      </x:c>
      <x:c r="AE17" s="25" t="str">
        <x:f>IF($D17="","",IF($E17="",IF(AE$4=$D17,1,""),IF(AND(AE$4&gt;=$D17,AE$4&lt;=$E17),1,"")))</x:f>
      </x:c>
      <x:c r="AF17" s="25" t="str">
        <x:f>IF($D17="","",IF($E17="",IF(AF$4=$D17,1,""),IF(AND(AF$4&gt;=$D17,AF$4&lt;=$E17),1,"")))</x:f>
      </x:c>
      <x:c r="AG17" s="23" t="str">
        <x:f>IF($D17="","",IF($E17="",IF(AG$4=$D17,1,""),IF(AND(AG$4&gt;=$D17,AG$4&lt;=$E17),1,"")))</x:f>
      </x:c>
      <x:c r="AH17" s="23" t="str">
        <x:f>IF($D17="","",IF($E17="",IF(AH$4=$D17,1,""),IF(AND(AH$4&gt;=$D17,AH$4&lt;=$E17),1,"")))</x:f>
      </x:c>
      <x:c r="AI17" s="23" t="str">
        <x:f>IF($D17="","",IF($E17="",IF(AI$4=$D17,1,""),IF(AND(AI$4&gt;=$D17,AI$4&lt;=$E17),1,"")))</x:f>
      </x:c>
    </x:row>
    <x:row r="18" ht="24" customHeight="1">
      <x:c r="A18" s="13" t="str">
        <x:v>P1-E2E-01</x:v>
      </x:c>
      <x:c r="B18" s="13" t="str">
        <x:v>Initial / Final E2E &amp; Regression</x:v>
      </x:c>
      <x:c r="C18" s="13" t="str">
        <x:v>To Do</x:v>
      </x:c>
      <x:c r="D18" s="19" t="n">
        <x:v>46274</x:v>
      </x:c>
      <x:c r="E18" s="19" t="n">
        <x:v>46283</x:v>
      </x:c>
      <x:c r="F18" s="13" t="str">
        <x:v>이재환</x:v>
      </x:c>
      <x:c r="G18" s="23" t="str">
        <x:f>IF($D18="","",IF($E18="",IF(G$4=$D18,1,""),IF(AND(G$4&gt;=$D18,G$4&lt;=$E18),1,"")))</x:f>
      </x:c>
      <x:c r="H18" s="23" t="str">
        <x:f>IF($D18="","",IF($E18="",IF(H$4=$D18,1,""),IF(AND(H$4&gt;=$D18,H$4&lt;=$E18),1,"")))</x:f>
      </x:c>
      <x:c r="I18" s="23" t="str">
        <x:f>IF($D18="","",IF($E18="",IF(I$4=$D18,1,""),IF(AND(I$4&gt;=$D18,I$4&lt;=$E18),1,"")))</x:f>
      </x:c>
      <x:c r="J18" s="25" t="str">
        <x:f>IF($D18="","",IF($E18="",IF(J$4=$D18,1,""),IF(AND(J$4&gt;=$D18,J$4&lt;=$E18),1,"")))</x:f>
      </x:c>
      <x:c r="K18" s="25" t="str">
        <x:f>IF($D18="","",IF($E18="",IF(K$4=$D18,1,""),IF(AND(K$4&gt;=$D18,K$4&lt;=$E18),1,"")))</x:f>
      </x:c>
      <x:c r="L18" s="23" t="str">
        <x:f>IF($D18="","",IF($E18="",IF(L$4=$D18,1,""),IF(AND(L$4&gt;=$D18,L$4&lt;=$E18),1,"")))</x:f>
      </x:c>
      <x:c r="M18" s="27" t="str">
        <x:f>IF($D18="","",IF($E18="",IF(M$4=$D18,1,""),IF(AND(M$4&gt;=$D18,M$4&lt;=$E18),1,"")))</x:f>
      </x:c>
      <x:c r="N18" s="23" t="str">
        <x:f>IF($D18="","",IF($E18="",IF(N$4=$D18,1,""),IF(AND(N$4&gt;=$D18,N$4&lt;=$E18),1,"")))</x:f>
      </x:c>
      <x:c r="O18" s="23" t="str">
        <x:f>IF($D18="","",IF($E18="",IF(O$4=$D18,1,""),IF(AND(O$4&gt;=$D18,O$4&lt;=$E18),1,"")))</x:f>
      </x:c>
      <x:c r="P18" s="23" t="str">
        <x:f>IF($D18="","",IF($E18="",IF(P$4=$D18,1,""),IF(AND(P$4&gt;=$D18,P$4&lt;=$E18),1,"")))</x:f>
      </x:c>
      <x:c r="Q18" s="25" t="str">
        <x:f>IF($D18="","",IF($E18="",IF(Q$4=$D18,1,""),IF(AND(Q$4&gt;=$D18,Q$4&lt;=$E18),1,"")))</x:f>
      </x:c>
      <x:c r="R18" s="25" t="str">
        <x:f>IF($D18="","",IF($E18="",IF(R$4=$D18,1,""),IF(AND(R$4&gt;=$D18,R$4&lt;=$E18),1,"")))</x:f>
      </x:c>
      <x:c r="S18" s="23" t="str">
        <x:f>IF($D18="","",IF($E18="",IF(S$4=$D18,1,""),IF(AND(S$4&gt;=$D18,S$4&lt;=$E18),1,"")))</x:f>
      </x:c>
      <x:c r="T18" s="23" t="str">
        <x:f>IF($D18="","",IF($E18="",IF(T$4=$D18,1,""),IF(AND(T$4&gt;=$D18,T$4&lt;=$E18),1,"")))</x:f>
      </x:c>
      <x:c r="U18" s="23" t="n">
        <x:f>IF($D18="","",IF($E18="",IF(U$4=$D18,1,""),IF(AND(U$4&gt;=$D18,U$4&lt;=$E18),1,"")))</x:f>
        <x:v>1</x:v>
      </x:c>
      <x:c r="V18" s="23" t="n">
        <x:f>IF($D18="","",IF($E18="",IF(V$4=$D18,1,""),IF(AND(V$4&gt;=$D18,V$4&lt;=$E18),1,"")))</x:f>
        <x:v>1</x:v>
      </x:c>
      <x:c r="W18" s="23" t="n">
        <x:f>IF($D18="","",IF($E18="",IF(W$4=$D18,1,""),IF(AND(W$4&gt;=$D18,W$4&lt;=$E18),1,"")))</x:f>
        <x:v>1</x:v>
      </x:c>
      <x:c r="X18" s="25" t="n">
        <x:f>IF($D18="","",IF($E18="",IF(X$4=$D18,1,""),IF(AND(X$4&gt;=$D18,X$4&lt;=$E18),1,"")))</x:f>
        <x:v>1</x:v>
      </x:c>
      <x:c r="Y18" s="25" t="n">
        <x:f>IF($D18="","",IF($E18="",IF(Y$4=$D18,1,""),IF(AND(Y$4&gt;=$D18,Y$4&lt;=$E18),1,"")))</x:f>
        <x:v>1</x:v>
      </x:c>
      <x:c r="Z18" s="23" t="n">
        <x:f>IF($D18="","",IF($E18="",IF(Z$4=$D18,1,""),IF(AND(Z$4&gt;=$D18,Z$4&lt;=$E18),1,"")))</x:f>
        <x:v>1</x:v>
      </x:c>
      <x:c r="AA18" s="23" t="n">
        <x:f>IF($D18="","",IF($E18="",IF(AA$4=$D18,1,""),IF(AND(AA$4&gt;=$D18,AA$4&lt;=$E18),1,"")))</x:f>
        <x:v>1</x:v>
      </x:c>
      <x:c r="AB18" s="23" t="n">
        <x:f>IF($D18="","",IF($E18="",IF(AB$4=$D18,1,""),IF(AND(AB$4&gt;=$D18,AB$4&lt;=$E18),1,"")))</x:f>
        <x:v>1</x:v>
      </x:c>
      <x:c r="AC18" s="23" t="n">
        <x:f>IF($D18="","",IF($E18="",IF(AC$4=$D18,1,""),IF(AND(AC$4&gt;=$D18,AC$4&lt;=$E18),1,"")))</x:f>
        <x:v>1</x:v>
      </x:c>
      <x:c r="AD18" s="23" t="n">
        <x:f>IF($D18="","",IF($E18="",IF(AD$4=$D18,1,""),IF(AND(AD$4&gt;=$D18,AD$4&lt;=$E18),1,"")))</x:f>
        <x:v>1</x:v>
      </x:c>
      <x:c r="AE18" s="25" t="str">
        <x:f>IF($D18="","",IF($E18="",IF(AE$4=$D18,1,""),IF(AND(AE$4&gt;=$D18,AE$4&lt;=$E18),1,"")))</x:f>
      </x:c>
      <x:c r="AF18" s="25" t="str">
        <x:f>IF($D18="","",IF($E18="",IF(AF$4=$D18,1,""),IF(AND(AF$4&gt;=$D18,AF$4&lt;=$E18),1,"")))</x:f>
      </x:c>
      <x:c r="AG18" s="23" t="str">
        <x:f>IF($D18="","",IF($E18="",IF(AG$4=$D18,1,""),IF(AND(AG$4&gt;=$D18,AG$4&lt;=$E18),1,"")))</x:f>
      </x:c>
      <x:c r="AH18" s="23" t="str">
        <x:f>IF($D18="","",IF($E18="",IF(AH$4=$D18,1,""),IF(AND(AH$4&gt;=$D18,AH$4&lt;=$E18),1,"")))</x:f>
      </x:c>
      <x:c r="AI18" s="23" t="str">
        <x:f>IF($D18="","",IF($E18="",IF(AI$4=$D18,1,""),IF(AND(AI$4&gt;=$D18,AI$4&lt;=$E18),1,"")))</x:f>
      </x:c>
    </x:row>
    <x:row r="19" ht="24" customHeight="1">
      <x:c r="A19" s="13" t="str">
        <x:v>P1-DR-01</x:v>
      </x:c>
      <x:c r="B19" s="13" t="str">
        <x:v>PostgreSQL Backup / Restore</x:v>
      </x:c>
      <x:c r="C19" s="13" t="str">
        <x:v>To Do</x:v>
      </x:c>
      <x:c r="D19" s="19" t="n">
        <x:v>46275</x:v>
      </x:c>
      <x:c r="E19" s="19" t="n">
        <x:v>46278</x:v>
      </x:c>
      <x:c r="F19" s="13" t="str">
        <x:v>이재환</x:v>
      </x:c>
      <x:c r="G19" s="23" t="str">
        <x:f>IF($D19="","",IF($E19="",IF(G$4=$D19,1,""),IF(AND(G$4&gt;=$D19,G$4&lt;=$E19),1,"")))</x:f>
      </x:c>
      <x:c r="H19" s="23" t="str">
        <x:f>IF($D19="","",IF($E19="",IF(H$4=$D19,1,""),IF(AND(H$4&gt;=$D19,H$4&lt;=$E19),1,"")))</x:f>
      </x:c>
      <x:c r="I19" s="23" t="str">
        <x:f>IF($D19="","",IF($E19="",IF(I$4=$D19,1,""),IF(AND(I$4&gt;=$D19,I$4&lt;=$E19),1,"")))</x:f>
      </x:c>
      <x:c r="J19" s="25" t="str">
        <x:f>IF($D19="","",IF($E19="",IF(J$4=$D19,1,""),IF(AND(J$4&gt;=$D19,J$4&lt;=$E19),1,"")))</x:f>
      </x:c>
      <x:c r="K19" s="25" t="str">
        <x:f>IF($D19="","",IF($E19="",IF(K$4=$D19,1,""),IF(AND(K$4&gt;=$D19,K$4&lt;=$E19),1,"")))</x:f>
      </x:c>
      <x:c r="L19" s="23" t="str">
        <x:f>IF($D19="","",IF($E19="",IF(L$4=$D19,1,""),IF(AND(L$4&gt;=$D19,L$4&lt;=$E19),1,"")))</x:f>
      </x:c>
      <x:c r="M19" s="27" t="str">
        <x:f>IF($D19="","",IF($E19="",IF(M$4=$D19,1,""),IF(AND(M$4&gt;=$D19,M$4&lt;=$E19),1,"")))</x:f>
      </x:c>
      <x:c r="N19" s="23" t="str">
        <x:f>IF($D19="","",IF($E19="",IF(N$4=$D19,1,""),IF(AND(N$4&gt;=$D19,N$4&lt;=$E19),1,"")))</x:f>
      </x:c>
      <x:c r="O19" s="23" t="str">
        <x:f>IF($D19="","",IF($E19="",IF(O$4=$D19,1,""),IF(AND(O$4&gt;=$D19,O$4&lt;=$E19),1,"")))</x:f>
      </x:c>
      <x:c r="P19" s="23" t="str">
        <x:f>IF($D19="","",IF($E19="",IF(P$4=$D19,1,""),IF(AND(P$4&gt;=$D19,P$4&lt;=$E19),1,"")))</x:f>
      </x:c>
      <x:c r="Q19" s="25" t="str">
        <x:f>IF($D19="","",IF($E19="",IF(Q$4=$D19,1,""),IF(AND(Q$4&gt;=$D19,Q$4&lt;=$E19),1,"")))</x:f>
      </x:c>
      <x:c r="R19" s="25" t="str">
        <x:f>IF($D19="","",IF($E19="",IF(R$4=$D19,1,""),IF(AND(R$4&gt;=$D19,R$4&lt;=$E19),1,"")))</x:f>
      </x:c>
      <x:c r="S19" s="23" t="str">
        <x:f>IF($D19="","",IF($E19="",IF(S$4=$D19,1,""),IF(AND(S$4&gt;=$D19,S$4&lt;=$E19),1,"")))</x:f>
      </x:c>
      <x:c r="T19" s="23" t="str">
        <x:f>IF($D19="","",IF($E19="",IF(T$4=$D19,1,""),IF(AND(T$4&gt;=$D19,T$4&lt;=$E19),1,"")))</x:f>
      </x:c>
      <x:c r="U19" s="23" t="str">
        <x:f>IF($D19="","",IF($E19="",IF(U$4=$D19,1,""),IF(AND(U$4&gt;=$D19,U$4&lt;=$E19),1,"")))</x:f>
      </x:c>
      <x:c r="V19" s="23" t="n">
        <x:f>IF($D19="","",IF($E19="",IF(V$4=$D19,1,""),IF(AND(V$4&gt;=$D19,V$4&lt;=$E19),1,"")))</x:f>
        <x:v>1</x:v>
      </x:c>
      <x:c r="W19" s="23" t="n">
        <x:f>IF($D19="","",IF($E19="",IF(W$4=$D19,1,""),IF(AND(W$4&gt;=$D19,W$4&lt;=$E19),1,"")))</x:f>
        <x:v>1</x:v>
      </x:c>
      <x:c r="X19" s="25" t="n">
        <x:f>IF($D19="","",IF($E19="",IF(X$4=$D19,1,""),IF(AND(X$4&gt;=$D19,X$4&lt;=$E19),1,"")))</x:f>
        <x:v>1</x:v>
      </x:c>
      <x:c r="Y19" s="25" t="n">
        <x:f>IF($D19="","",IF($E19="",IF(Y$4=$D19,1,""),IF(AND(Y$4&gt;=$D19,Y$4&lt;=$E19),1,"")))</x:f>
        <x:v>1</x:v>
      </x:c>
      <x:c r="Z19" s="23" t="str">
        <x:f>IF($D19="","",IF($E19="",IF(Z$4=$D19,1,""),IF(AND(Z$4&gt;=$D19,Z$4&lt;=$E19),1,"")))</x:f>
      </x:c>
      <x:c r="AA19" s="23" t="str">
        <x:f>IF($D19="","",IF($E19="",IF(AA$4=$D19,1,""),IF(AND(AA$4&gt;=$D19,AA$4&lt;=$E19),1,"")))</x:f>
      </x:c>
      <x:c r="AB19" s="23" t="str">
        <x:f>IF($D19="","",IF($E19="",IF(AB$4=$D19,1,""),IF(AND(AB$4&gt;=$D19,AB$4&lt;=$E19),1,"")))</x:f>
      </x:c>
      <x:c r="AC19" s="23" t="str">
        <x:f>IF($D19="","",IF($E19="",IF(AC$4=$D19,1,""),IF(AND(AC$4&gt;=$D19,AC$4&lt;=$E19),1,"")))</x:f>
      </x:c>
      <x:c r="AD19" s="23" t="str">
        <x:f>IF($D19="","",IF($E19="",IF(AD$4=$D19,1,""),IF(AND(AD$4&gt;=$D19,AD$4&lt;=$E19),1,"")))</x:f>
      </x:c>
      <x:c r="AE19" s="25" t="str">
        <x:f>IF($D19="","",IF($E19="",IF(AE$4=$D19,1,""),IF(AND(AE$4&gt;=$D19,AE$4&lt;=$E19),1,"")))</x:f>
      </x:c>
      <x:c r="AF19" s="25" t="str">
        <x:f>IF($D19="","",IF($E19="",IF(AF$4=$D19,1,""),IF(AND(AF$4&gt;=$D19,AF$4&lt;=$E19),1,"")))</x:f>
      </x:c>
      <x:c r="AG19" s="23" t="str">
        <x:f>IF($D19="","",IF($E19="",IF(AG$4=$D19,1,""),IF(AND(AG$4&gt;=$D19,AG$4&lt;=$E19),1,"")))</x:f>
      </x:c>
      <x:c r="AH19" s="23" t="str">
        <x:f>IF($D19="","",IF($E19="",IF(AH$4=$D19,1,""),IF(AND(AH$4&gt;=$D19,AH$4&lt;=$E19),1,"")))</x:f>
      </x:c>
      <x:c r="AI19" s="23" t="str">
        <x:f>IF($D19="","",IF($E19="",IF(AI$4=$D19,1,""),IF(AND(AI$4&gt;=$D19,AI$4&lt;=$E19),1,"")))</x:f>
      </x:c>
    </x:row>
    <x:row r="20" ht="24" customHeight="1">
      <x:c r="A20" s="13" t="str">
        <x:v>P1-HA-01</x:v>
      </x:c>
      <x:c r="B20" s="13" t="str">
        <x:v>Worker Drain Continuity</x:v>
      </x:c>
      <x:c r="C20" s="13" t="str">
        <x:v>To Do</x:v>
      </x:c>
      <x:c r="D20" s="19" t="n">
        <x:v>46275</x:v>
      </x:c>
      <x:c r="E20" s="19" t="n">
        <x:v>46278</x:v>
      </x:c>
      <x:c r="F20" s="13" t="str">
        <x:v>이재환</x:v>
      </x:c>
      <x:c r="G20" s="23" t="str">
        <x:f>IF($D20="","",IF($E20="",IF(G$4=$D20,1,""),IF(AND(G$4&gt;=$D20,G$4&lt;=$E20),1,"")))</x:f>
      </x:c>
      <x:c r="H20" s="23" t="str">
        <x:f>IF($D20="","",IF($E20="",IF(H$4=$D20,1,""),IF(AND(H$4&gt;=$D20,H$4&lt;=$E20),1,"")))</x:f>
      </x:c>
      <x:c r="I20" s="23" t="str">
        <x:f>IF($D20="","",IF($E20="",IF(I$4=$D20,1,""),IF(AND(I$4&gt;=$D20,I$4&lt;=$E20),1,"")))</x:f>
      </x:c>
      <x:c r="J20" s="25" t="str">
        <x:f>IF($D20="","",IF($E20="",IF(J$4=$D20,1,""),IF(AND(J$4&gt;=$D20,J$4&lt;=$E20),1,"")))</x:f>
      </x:c>
      <x:c r="K20" s="25" t="str">
        <x:f>IF($D20="","",IF($E20="",IF(K$4=$D20,1,""),IF(AND(K$4&gt;=$D20,K$4&lt;=$E20),1,"")))</x:f>
      </x:c>
      <x:c r="L20" s="23" t="str">
        <x:f>IF($D20="","",IF($E20="",IF(L$4=$D20,1,""),IF(AND(L$4&gt;=$D20,L$4&lt;=$E20),1,"")))</x:f>
      </x:c>
      <x:c r="M20" s="27" t="str">
        <x:f>IF($D20="","",IF($E20="",IF(M$4=$D20,1,""),IF(AND(M$4&gt;=$D20,M$4&lt;=$E20),1,"")))</x:f>
      </x:c>
      <x:c r="N20" s="23" t="str">
        <x:f>IF($D20="","",IF($E20="",IF(N$4=$D20,1,""),IF(AND(N$4&gt;=$D20,N$4&lt;=$E20),1,"")))</x:f>
      </x:c>
      <x:c r="O20" s="23" t="str">
        <x:f>IF($D20="","",IF($E20="",IF(O$4=$D20,1,""),IF(AND(O$4&gt;=$D20,O$4&lt;=$E20),1,"")))</x:f>
      </x:c>
      <x:c r="P20" s="23" t="str">
        <x:f>IF($D20="","",IF($E20="",IF(P$4=$D20,1,""),IF(AND(P$4&gt;=$D20,P$4&lt;=$E20),1,"")))</x:f>
      </x:c>
      <x:c r="Q20" s="25" t="str">
        <x:f>IF($D20="","",IF($E20="",IF(Q$4=$D20,1,""),IF(AND(Q$4&gt;=$D20,Q$4&lt;=$E20),1,"")))</x:f>
      </x:c>
      <x:c r="R20" s="25" t="str">
        <x:f>IF($D20="","",IF($E20="",IF(R$4=$D20,1,""),IF(AND(R$4&gt;=$D20,R$4&lt;=$E20),1,"")))</x:f>
      </x:c>
      <x:c r="S20" s="23" t="str">
        <x:f>IF($D20="","",IF($E20="",IF(S$4=$D20,1,""),IF(AND(S$4&gt;=$D20,S$4&lt;=$E20),1,"")))</x:f>
      </x:c>
      <x:c r="T20" s="23" t="str">
        <x:f>IF($D20="","",IF($E20="",IF(T$4=$D20,1,""),IF(AND(T$4&gt;=$D20,T$4&lt;=$E20),1,"")))</x:f>
      </x:c>
      <x:c r="U20" s="23" t="str">
        <x:f>IF($D20="","",IF($E20="",IF(U$4=$D20,1,""),IF(AND(U$4&gt;=$D20,U$4&lt;=$E20),1,"")))</x:f>
      </x:c>
      <x:c r="V20" s="23" t="n">
        <x:f>IF($D20="","",IF($E20="",IF(V$4=$D20,1,""),IF(AND(V$4&gt;=$D20,V$4&lt;=$E20),1,"")))</x:f>
        <x:v>1</x:v>
      </x:c>
      <x:c r="W20" s="23" t="n">
        <x:f>IF($D20="","",IF($E20="",IF(W$4=$D20,1,""),IF(AND(W$4&gt;=$D20,W$4&lt;=$E20),1,"")))</x:f>
        <x:v>1</x:v>
      </x:c>
      <x:c r="X20" s="25" t="n">
        <x:f>IF($D20="","",IF($E20="",IF(X$4=$D20,1,""),IF(AND(X$4&gt;=$D20,X$4&lt;=$E20),1,"")))</x:f>
        <x:v>1</x:v>
      </x:c>
      <x:c r="Y20" s="25" t="n">
        <x:f>IF($D20="","",IF($E20="",IF(Y$4=$D20,1,""),IF(AND(Y$4&gt;=$D20,Y$4&lt;=$E20),1,"")))</x:f>
        <x:v>1</x:v>
      </x:c>
      <x:c r="Z20" s="23" t="str">
        <x:f>IF($D20="","",IF($E20="",IF(Z$4=$D20,1,""),IF(AND(Z$4&gt;=$D20,Z$4&lt;=$E20),1,"")))</x:f>
      </x:c>
      <x:c r="AA20" s="23" t="str">
        <x:f>IF($D20="","",IF($E20="",IF(AA$4=$D20,1,""),IF(AND(AA$4&gt;=$D20,AA$4&lt;=$E20),1,"")))</x:f>
      </x:c>
      <x:c r="AB20" s="23" t="str">
        <x:f>IF($D20="","",IF($E20="",IF(AB$4=$D20,1,""),IF(AND(AB$4&gt;=$D20,AB$4&lt;=$E20),1,"")))</x:f>
      </x:c>
      <x:c r="AC20" s="23" t="str">
        <x:f>IF($D20="","",IF($E20="",IF(AC$4=$D20,1,""),IF(AND(AC$4&gt;=$D20,AC$4&lt;=$E20),1,"")))</x:f>
      </x:c>
      <x:c r="AD20" s="23" t="str">
        <x:f>IF($D20="","",IF($E20="",IF(AD$4=$D20,1,""),IF(AND(AD$4&gt;=$D20,AD$4&lt;=$E20),1,"")))</x:f>
      </x:c>
      <x:c r="AE20" s="25" t="str">
        <x:f>IF($D20="","",IF($E20="",IF(AE$4=$D20,1,""),IF(AND(AE$4&gt;=$D20,AE$4&lt;=$E20),1,"")))</x:f>
      </x:c>
      <x:c r="AF20" s="25" t="str">
        <x:f>IF($D20="","",IF($E20="",IF(AF$4=$D20,1,""),IF(AND(AF$4&gt;=$D20,AF$4&lt;=$E20),1,"")))</x:f>
      </x:c>
      <x:c r="AG20" s="23" t="str">
        <x:f>IF($D20="","",IF($E20="",IF(AG$4=$D20,1,""),IF(AND(AG$4&gt;=$D20,AG$4&lt;=$E20),1,"")))</x:f>
      </x:c>
      <x:c r="AH20" s="23" t="str">
        <x:f>IF($D20="","",IF($E20="",IF(AH$4=$D20,1,""),IF(AND(AH$4&gt;=$D20,AH$4&lt;=$E20),1,"")))</x:f>
      </x:c>
      <x:c r="AI20" s="23" t="str">
        <x:f>IF($D20="","",IF($E20="",IF(AI$4=$D20,1,""),IF(AND(AI$4&gt;=$D20,AI$4&lt;=$E20),1,"")))</x:f>
      </x:c>
    </x:row>
    <x:row r="21" ht="24" customHeight="1">
      <x:c r="A21" s="13" t="str">
        <x:v>MS-G2-01</x:v>
      </x:c>
      <x:c r="B21" s="13" t="str">
        <x:v>G2 Security / Feature Ready</x:v>
      </x:c>
      <x:c r="C21" s="13" t="str">
        <x:v>To Do</x:v>
      </x:c>
      <x:c r="D21" s="19" t="n">
        <x:v>46276</x:v>
      </x:c>
      <x:c r="E21" s="19" t="n">
        <x:v>46276</x:v>
      </x:c>
      <x:c r="F21" s="13" t="str">
        <x:v>이하영</x:v>
      </x:c>
      <x:c r="G21" s="23" t="str">
        <x:f>IF($D21="","",IF($E21="",IF(G$4=$D21,1,""),IF(AND(G$4&gt;=$D21,G$4&lt;=$E21),1,"")))</x:f>
      </x:c>
      <x:c r="H21" s="23" t="str">
        <x:f>IF($D21="","",IF($E21="",IF(H$4=$D21,1,""),IF(AND(H$4&gt;=$D21,H$4&lt;=$E21),1,"")))</x:f>
      </x:c>
      <x:c r="I21" s="23" t="str">
        <x:f>IF($D21="","",IF($E21="",IF(I$4=$D21,1,""),IF(AND(I$4&gt;=$D21,I$4&lt;=$E21),1,"")))</x:f>
      </x:c>
      <x:c r="J21" s="25" t="str">
        <x:f>IF($D21="","",IF($E21="",IF(J$4=$D21,1,""),IF(AND(J$4&gt;=$D21,J$4&lt;=$E21),1,"")))</x:f>
      </x:c>
      <x:c r="K21" s="25" t="str">
        <x:f>IF($D21="","",IF($E21="",IF(K$4=$D21,1,""),IF(AND(K$4&gt;=$D21,K$4&lt;=$E21),1,"")))</x:f>
      </x:c>
      <x:c r="L21" s="23" t="str">
        <x:f>IF($D21="","",IF($E21="",IF(L$4=$D21,1,""),IF(AND(L$4&gt;=$D21,L$4&lt;=$E21),1,"")))</x:f>
      </x:c>
      <x:c r="M21" s="27" t="str">
        <x:f>IF($D21="","",IF($E21="",IF(M$4=$D21,1,""),IF(AND(M$4&gt;=$D21,M$4&lt;=$E21),1,"")))</x:f>
      </x:c>
      <x:c r="N21" s="23" t="str">
        <x:f>IF($D21="","",IF($E21="",IF(N$4=$D21,1,""),IF(AND(N$4&gt;=$D21,N$4&lt;=$E21),1,"")))</x:f>
      </x:c>
      <x:c r="O21" s="23" t="str">
        <x:f>IF($D21="","",IF($E21="",IF(O$4=$D21,1,""),IF(AND(O$4&gt;=$D21,O$4&lt;=$E21),1,"")))</x:f>
      </x:c>
      <x:c r="P21" s="23" t="str">
        <x:f>IF($D21="","",IF($E21="",IF(P$4=$D21,1,""),IF(AND(P$4&gt;=$D21,P$4&lt;=$E21),1,"")))</x:f>
      </x:c>
      <x:c r="Q21" s="25" t="str">
        <x:f>IF($D21="","",IF($E21="",IF(Q$4=$D21,1,""),IF(AND(Q$4&gt;=$D21,Q$4&lt;=$E21),1,"")))</x:f>
      </x:c>
      <x:c r="R21" s="25" t="str">
        <x:f>IF($D21="","",IF($E21="",IF(R$4=$D21,1,""),IF(AND(R$4&gt;=$D21,R$4&lt;=$E21),1,"")))</x:f>
      </x:c>
      <x:c r="S21" s="23" t="str">
        <x:f>IF($D21="","",IF($E21="",IF(S$4=$D21,1,""),IF(AND(S$4&gt;=$D21,S$4&lt;=$E21),1,"")))</x:f>
      </x:c>
      <x:c r="T21" s="23" t="str">
        <x:f>IF($D21="","",IF($E21="",IF(T$4=$D21,1,""),IF(AND(T$4&gt;=$D21,T$4&lt;=$E21),1,"")))</x:f>
      </x:c>
      <x:c r="U21" s="23" t="str">
        <x:f>IF($D21="","",IF($E21="",IF(U$4=$D21,1,""),IF(AND(U$4&gt;=$D21,U$4&lt;=$E21),1,"")))</x:f>
      </x:c>
      <x:c r="V21" s="23" t="str">
        <x:f>IF($D21="","",IF($E21="",IF(V$4=$D21,1,""),IF(AND(V$4&gt;=$D21,V$4&lt;=$E21),1,"")))</x:f>
      </x:c>
      <x:c r="W21" s="23" t="n">
        <x:f>IF($D21="","",IF($E21="",IF(W$4=$D21,1,""),IF(AND(W$4&gt;=$D21,W$4&lt;=$E21),1,"")))</x:f>
        <x:v>1</x:v>
      </x:c>
      <x:c r="X21" s="25" t="str">
        <x:f>IF($D21="","",IF($E21="",IF(X$4=$D21,1,""),IF(AND(X$4&gt;=$D21,X$4&lt;=$E21),1,"")))</x:f>
      </x:c>
      <x:c r="Y21" s="25" t="str">
        <x:f>IF($D21="","",IF($E21="",IF(Y$4=$D21,1,""),IF(AND(Y$4&gt;=$D21,Y$4&lt;=$E21),1,"")))</x:f>
      </x:c>
      <x:c r="Z21" s="23" t="str">
        <x:f>IF($D21="","",IF($E21="",IF(Z$4=$D21,1,""),IF(AND(Z$4&gt;=$D21,Z$4&lt;=$E21),1,"")))</x:f>
      </x:c>
      <x:c r="AA21" s="23" t="str">
        <x:f>IF($D21="","",IF($E21="",IF(AA$4=$D21,1,""),IF(AND(AA$4&gt;=$D21,AA$4&lt;=$E21),1,"")))</x:f>
      </x:c>
      <x:c r="AB21" s="23" t="str">
        <x:f>IF($D21="","",IF($E21="",IF(AB$4=$D21,1,""),IF(AND(AB$4&gt;=$D21,AB$4&lt;=$E21),1,"")))</x:f>
      </x:c>
      <x:c r="AC21" s="23" t="str">
        <x:f>IF($D21="","",IF($E21="",IF(AC$4=$D21,1,""),IF(AND(AC$4&gt;=$D21,AC$4&lt;=$E21),1,"")))</x:f>
      </x:c>
      <x:c r="AD21" s="23" t="str">
        <x:f>IF($D21="","",IF($E21="",IF(AD$4=$D21,1,""),IF(AND(AD$4&gt;=$D21,AD$4&lt;=$E21),1,"")))</x:f>
      </x:c>
      <x:c r="AE21" s="25" t="str">
        <x:f>IF($D21="","",IF($E21="",IF(AE$4=$D21,1,""),IF(AND(AE$4&gt;=$D21,AE$4&lt;=$E21),1,"")))</x:f>
      </x:c>
      <x:c r="AF21" s="25" t="str">
        <x:f>IF($D21="","",IF($E21="",IF(AF$4=$D21,1,""),IF(AND(AF$4&gt;=$D21,AF$4&lt;=$E21),1,"")))</x:f>
      </x:c>
      <x:c r="AG21" s="23" t="str">
        <x:f>IF($D21="","",IF($E21="",IF(AG$4=$D21,1,""),IF(AND(AG$4&gt;=$D21,AG$4&lt;=$E21),1,"")))</x:f>
      </x:c>
      <x:c r="AH21" s="23" t="str">
        <x:f>IF($D21="","",IF($E21="",IF(AH$4=$D21,1,""),IF(AND(AH$4&gt;=$D21,AH$4&lt;=$E21),1,"")))</x:f>
      </x:c>
      <x:c r="AI21" s="23" t="str">
        <x:f>IF($D21="","",IF($E21="",IF(AI$4=$D21,1,""),IF(AND(AI$4&gt;=$D21,AI$4&lt;=$E21),1,"")))</x:f>
      </x:c>
    </x:row>
    <x:row r="22" ht="24" customHeight="1">
      <x:c r="A22" s="13" t="str">
        <x:v>P1-DOC-01</x:v>
      </x:c>
      <x:c r="B22" s="13" t="str">
        <x:v>Architecture / Test / Runbook Freeze</x:v>
      </x:c>
      <x:c r="C22" s="13" t="str">
        <x:v>To Do</x:v>
      </x:c>
      <x:c r="D22" s="19" t="n">
        <x:v>46277</x:v>
      </x:c>
      <x:c r="E22" s="19" t="n">
        <x:v>46283</x:v>
      </x:c>
      <x:c r="F22" s="13" t="str">
        <x:v>이권욱</x:v>
      </x:c>
      <x:c r="G22" s="23" t="str">
        <x:f>IF($D22="","",IF($E22="",IF(G$4=$D22,1,""),IF(AND(G$4&gt;=$D22,G$4&lt;=$E22),1,"")))</x:f>
      </x:c>
      <x:c r="H22" s="23" t="str">
        <x:f>IF($D22="","",IF($E22="",IF(H$4=$D22,1,""),IF(AND(H$4&gt;=$D22,H$4&lt;=$E22),1,"")))</x:f>
      </x:c>
      <x:c r="I22" s="23" t="str">
        <x:f>IF($D22="","",IF($E22="",IF(I$4=$D22,1,""),IF(AND(I$4&gt;=$D22,I$4&lt;=$E22),1,"")))</x:f>
      </x:c>
      <x:c r="J22" s="25" t="str">
        <x:f>IF($D22="","",IF($E22="",IF(J$4=$D22,1,""),IF(AND(J$4&gt;=$D22,J$4&lt;=$E22),1,"")))</x:f>
      </x:c>
      <x:c r="K22" s="25" t="str">
        <x:f>IF($D22="","",IF($E22="",IF(K$4=$D22,1,""),IF(AND(K$4&gt;=$D22,K$4&lt;=$E22),1,"")))</x:f>
      </x:c>
      <x:c r="L22" s="23" t="str">
        <x:f>IF($D22="","",IF($E22="",IF(L$4=$D22,1,""),IF(AND(L$4&gt;=$D22,L$4&lt;=$E22),1,"")))</x:f>
      </x:c>
      <x:c r="M22" s="27" t="str">
        <x:f>IF($D22="","",IF($E22="",IF(M$4=$D22,1,""),IF(AND(M$4&gt;=$D22,M$4&lt;=$E22),1,"")))</x:f>
      </x:c>
      <x:c r="N22" s="23" t="str">
        <x:f>IF($D22="","",IF($E22="",IF(N$4=$D22,1,""),IF(AND(N$4&gt;=$D22,N$4&lt;=$E22),1,"")))</x:f>
      </x:c>
      <x:c r="O22" s="23" t="str">
        <x:f>IF($D22="","",IF($E22="",IF(O$4=$D22,1,""),IF(AND(O$4&gt;=$D22,O$4&lt;=$E22),1,"")))</x:f>
      </x:c>
      <x:c r="P22" s="23" t="str">
        <x:f>IF($D22="","",IF($E22="",IF(P$4=$D22,1,""),IF(AND(P$4&gt;=$D22,P$4&lt;=$E22),1,"")))</x:f>
      </x:c>
      <x:c r="Q22" s="25" t="str">
        <x:f>IF($D22="","",IF($E22="",IF(Q$4=$D22,1,""),IF(AND(Q$4&gt;=$D22,Q$4&lt;=$E22),1,"")))</x:f>
      </x:c>
      <x:c r="R22" s="25" t="str">
        <x:f>IF($D22="","",IF($E22="",IF(R$4=$D22,1,""),IF(AND(R$4&gt;=$D22,R$4&lt;=$E22),1,"")))</x:f>
      </x:c>
      <x:c r="S22" s="23" t="str">
        <x:f>IF($D22="","",IF($E22="",IF(S$4=$D22,1,""),IF(AND(S$4&gt;=$D22,S$4&lt;=$E22),1,"")))</x:f>
      </x:c>
      <x:c r="T22" s="23" t="str">
        <x:f>IF($D22="","",IF($E22="",IF(T$4=$D22,1,""),IF(AND(T$4&gt;=$D22,T$4&lt;=$E22),1,"")))</x:f>
      </x:c>
      <x:c r="U22" s="23" t="str">
        <x:f>IF($D22="","",IF($E22="",IF(U$4=$D22,1,""),IF(AND(U$4&gt;=$D22,U$4&lt;=$E22),1,"")))</x:f>
      </x:c>
      <x:c r="V22" s="23" t="str">
        <x:f>IF($D22="","",IF($E22="",IF(V$4=$D22,1,""),IF(AND(V$4&gt;=$D22,V$4&lt;=$E22),1,"")))</x:f>
      </x:c>
      <x:c r="W22" s="23" t="str">
        <x:f>IF($D22="","",IF($E22="",IF(W$4=$D22,1,""),IF(AND(W$4&gt;=$D22,W$4&lt;=$E22),1,"")))</x:f>
      </x:c>
      <x:c r="X22" s="25" t="n">
        <x:f>IF($D22="","",IF($E22="",IF(X$4=$D22,1,""),IF(AND(X$4&gt;=$D22,X$4&lt;=$E22),1,"")))</x:f>
        <x:v>1</x:v>
      </x:c>
      <x:c r="Y22" s="25" t="n">
        <x:f>IF($D22="","",IF($E22="",IF(Y$4=$D22,1,""),IF(AND(Y$4&gt;=$D22,Y$4&lt;=$E22),1,"")))</x:f>
        <x:v>1</x:v>
      </x:c>
      <x:c r="Z22" s="23" t="n">
        <x:f>IF($D22="","",IF($E22="",IF(Z$4=$D22,1,""),IF(AND(Z$4&gt;=$D22,Z$4&lt;=$E22),1,"")))</x:f>
        <x:v>1</x:v>
      </x:c>
      <x:c r="AA22" s="23" t="n">
        <x:f>IF($D22="","",IF($E22="",IF(AA$4=$D22,1,""),IF(AND(AA$4&gt;=$D22,AA$4&lt;=$E22),1,"")))</x:f>
        <x:v>1</x:v>
      </x:c>
      <x:c r="AB22" s="23" t="n">
        <x:f>IF($D22="","",IF($E22="",IF(AB$4=$D22,1,""),IF(AND(AB$4&gt;=$D22,AB$4&lt;=$E22),1,"")))</x:f>
        <x:v>1</x:v>
      </x:c>
      <x:c r="AC22" s="23" t="n">
        <x:f>IF($D22="","",IF($E22="",IF(AC$4=$D22,1,""),IF(AND(AC$4&gt;=$D22,AC$4&lt;=$E22),1,"")))</x:f>
        <x:v>1</x:v>
      </x:c>
      <x:c r="AD22" s="23" t="n">
        <x:f>IF($D22="","",IF($E22="",IF(AD$4=$D22,1,""),IF(AND(AD$4&gt;=$D22,AD$4&lt;=$E22),1,"")))</x:f>
        <x:v>1</x:v>
      </x:c>
      <x:c r="AE22" s="25" t="str">
        <x:f>IF($D22="","",IF($E22="",IF(AE$4=$D22,1,""),IF(AND(AE$4&gt;=$D22,AE$4&lt;=$E22),1,"")))</x:f>
      </x:c>
      <x:c r="AF22" s="25" t="str">
        <x:f>IF($D22="","",IF($E22="",IF(AF$4=$D22,1,""),IF(AND(AF$4&gt;=$D22,AF$4&lt;=$E22),1,"")))</x:f>
      </x:c>
      <x:c r="AG22" s="23" t="str">
        <x:f>IF($D22="","",IF($E22="",IF(AG$4=$D22,1,""),IF(AND(AG$4&gt;=$D22,AG$4&lt;=$E22),1,"")))</x:f>
      </x:c>
      <x:c r="AH22" s="23" t="str">
        <x:f>IF($D22="","",IF($E22="",IF(AH$4=$D22,1,""),IF(AND(AH$4&gt;=$D22,AH$4&lt;=$E22),1,"")))</x:f>
      </x:c>
      <x:c r="AI22" s="23" t="str">
        <x:f>IF($D22="","",IF($E22="",IF(AI$4=$D22,1,""),IF(AND(AI$4&gt;=$D22,AI$4&lt;=$E22),1,"")))</x:f>
      </x:c>
    </x:row>
    <x:row r="23" ht="24" customHeight="1">
      <x:c r="A23" s="13" t="str">
        <x:v>P1-MON-02</x:v>
      </x:c>
      <x:c r="B23" s="13" t="str">
        <x:v>Dashboard / Alert Enhancement</x:v>
      </x:c>
      <x:c r="C23" s="13" t="str">
        <x:v>To Do</x:v>
      </x:c>
      <x:c r="D23" s="19" t="n">
        <x:v>46277</x:v>
      </x:c>
      <x:c r="E23" s="19" t="n">
        <x:v>46283</x:v>
      </x:c>
      <x:c r="F23" s="13" t="str">
        <x:v>이재환</x:v>
      </x:c>
      <x:c r="G23" s="23" t="str">
        <x:f>IF($D23="","",IF($E23="",IF(G$4=$D23,1,""),IF(AND(G$4&gt;=$D23,G$4&lt;=$E23),1,"")))</x:f>
      </x:c>
      <x:c r="H23" s="23" t="str">
        <x:f>IF($D23="","",IF($E23="",IF(H$4=$D23,1,""),IF(AND(H$4&gt;=$D23,H$4&lt;=$E23),1,"")))</x:f>
      </x:c>
      <x:c r="I23" s="23" t="str">
        <x:f>IF($D23="","",IF($E23="",IF(I$4=$D23,1,""),IF(AND(I$4&gt;=$D23,I$4&lt;=$E23),1,"")))</x:f>
      </x:c>
      <x:c r="J23" s="25" t="str">
        <x:f>IF($D23="","",IF($E23="",IF(J$4=$D23,1,""),IF(AND(J$4&gt;=$D23,J$4&lt;=$E23),1,"")))</x:f>
      </x:c>
      <x:c r="K23" s="25" t="str">
        <x:f>IF($D23="","",IF($E23="",IF(K$4=$D23,1,""),IF(AND(K$4&gt;=$D23,K$4&lt;=$E23),1,"")))</x:f>
      </x:c>
      <x:c r="L23" s="23" t="str">
        <x:f>IF($D23="","",IF($E23="",IF(L$4=$D23,1,""),IF(AND(L$4&gt;=$D23,L$4&lt;=$E23),1,"")))</x:f>
      </x:c>
      <x:c r="M23" s="27" t="str">
        <x:f>IF($D23="","",IF($E23="",IF(M$4=$D23,1,""),IF(AND(M$4&gt;=$D23,M$4&lt;=$E23),1,"")))</x:f>
      </x:c>
      <x:c r="N23" s="23" t="str">
        <x:f>IF($D23="","",IF($E23="",IF(N$4=$D23,1,""),IF(AND(N$4&gt;=$D23,N$4&lt;=$E23),1,"")))</x:f>
      </x:c>
      <x:c r="O23" s="23" t="str">
        <x:f>IF($D23="","",IF($E23="",IF(O$4=$D23,1,""),IF(AND(O$4&gt;=$D23,O$4&lt;=$E23),1,"")))</x:f>
      </x:c>
      <x:c r="P23" s="23" t="str">
        <x:f>IF($D23="","",IF($E23="",IF(P$4=$D23,1,""),IF(AND(P$4&gt;=$D23,P$4&lt;=$E23),1,"")))</x:f>
      </x:c>
      <x:c r="Q23" s="25" t="str">
        <x:f>IF($D23="","",IF($E23="",IF(Q$4=$D23,1,""),IF(AND(Q$4&gt;=$D23,Q$4&lt;=$E23),1,"")))</x:f>
      </x:c>
      <x:c r="R23" s="25" t="str">
        <x:f>IF($D23="","",IF($E23="",IF(R$4=$D23,1,""),IF(AND(R$4&gt;=$D23,R$4&lt;=$E23),1,"")))</x:f>
      </x:c>
      <x:c r="S23" s="23" t="str">
        <x:f>IF($D23="","",IF($E23="",IF(S$4=$D23,1,""),IF(AND(S$4&gt;=$D23,S$4&lt;=$E23),1,"")))</x:f>
      </x:c>
      <x:c r="T23" s="23" t="str">
        <x:f>IF($D23="","",IF($E23="",IF(T$4=$D23,1,""),IF(AND(T$4&gt;=$D23,T$4&lt;=$E23),1,"")))</x:f>
      </x:c>
      <x:c r="U23" s="23" t="str">
        <x:f>IF($D23="","",IF($E23="",IF(U$4=$D23,1,""),IF(AND(U$4&gt;=$D23,U$4&lt;=$E23),1,"")))</x:f>
      </x:c>
      <x:c r="V23" s="23" t="str">
        <x:f>IF($D23="","",IF($E23="",IF(V$4=$D23,1,""),IF(AND(V$4&gt;=$D23,V$4&lt;=$E23),1,"")))</x:f>
      </x:c>
      <x:c r="W23" s="23" t="str">
        <x:f>IF($D23="","",IF($E23="",IF(W$4=$D23,1,""),IF(AND(W$4&gt;=$D23,W$4&lt;=$E23),1,"")))</x:f>
      </x:c>
      <x:c r="X23" s="25" t="n">
        <x:f>IF($D23="","",IF($E23="",IF(X$4=$D23,1,""),IF(AND(X$4&gt;=$D23,X$4&lt;=$E23),1,"")))</x:f>
        <x:v>1</x:v>
      </x:c>
      <x:c r="Y23" s="25" t="n">
        <x:f>IF($D23="","",IF($E23="",IF(Y$4=$D23,1,""),IF(AND(Y$4&gt;=$D23,Y$4&lt;=$E23),1,"")))</x:f>
        <x:v>1</x:v>
      </x:c>
      <x:c r="Z23" s="23" t="n">
        <x:f>IF($D23="","",IF($E23="",IF(Z$4=$D23,1,""),IF(AND(Z$4&gt;=$D23,Z$4&lt;=$E23),1,"")))</x:f>
        <x:v>1</x:v>
      </x:c>
      <x:c r="AA23" s="23" t="n">
        <x:f>IF($D23="","",IF($E23="",IF(AA$4=$D23,1,""),IF(AND(AA$4&gt;=$D23,AA$4&lt;=$E23),1,"")))</x:f>
        <x:v>1</x:v>
      </x:c>
      <x:c r="AB23" s="23" t="n">
        <x:f>IF($D23="","",IF($E23="",IF(AB$4=$D23,1,""),IF(AND(AB$4&gt;=$D23,AB$4&lt;=$E23),1,"")))</x:f>
        <x:v>1</x:v>
      </x:c>
      <x:c r="AC23" s="23" t="n">
        <x:f>IF($D23="","",IF($E23="",IF(AC$4=$D23,1,""),IF(AND(AC$4&gt;=$D23,AC$4&lt;=$E23),1,"")))</x:f>
        <x:v>1</x:v>
      </x:c>
      <x:c r="AD23" s="23" t="n">
        <x:f>IF($D23="","",IF($E23="",IF(AD$4=$D23,1,""),IF(AND(AD$4&gt;=$D23,AD$4&lt;=$E23),1,"")))</x:f>
        <x:v>1</x:v>
      </x:c>
      <x:c r="AE23" s="25" t="str">
        <x:f>IF($D23="","",IF($E23="",IF(AE$4=$D23,1,""),IF(AND(AE$4&gt;=$D23,AE$4&lt;=$E23),1,"")))</x:f>
      </x:c>
      <x:c r="AF23" s="25" t="str">
        <x:f>IF($D23="","",IF($E23="",IF(AF$4=$D23,1,""),IF(AND(AF$4&gt;=$D23,AF$4&lt;=$E23),1,"")))</x:f>
      </x:c>
      <x:c r="AG23" s="23" t="str">
        <x:f>IF($D23="","",IF($E23="",IF(AG$4=$D23,1,""),IF(AND(AG$4&gt;=$D23,AG$4&lt;=$E23),1,"")))</x:f>
      </x:c>
      <x:c r="AH23" s="23" t="str">
        <x:f>IF($D23="","",IF($E23="",IF(AH$4=$D23,1,""),IF(AND(AH$4&gt;=$D23,AH$4&lt;=$E23),1,"")))</x:f>
      </x:c>
      <x:c r="AI23" s="23" t="str">
        <x:f>IF($D23="","",IF($E23="",IF(AI$4=$D23,1,""),IF(AND(AI$4&gt;=$D23,AI$4&lt;=$E23),1,"")))</x:f>
      </x:c>
    </x:row>
    <x:row r="24" ht="24" customHeight="1">
      <x:c r="A24" s="13" t="str">
        <x:v>P1-DR-02</x:v>
      </x:c>
      <x:c r="B24" s="13" t="str">
        <x:v>Harbor / etcd Backup and Restore</x:v>
      </x:c>
      <x:c r="C24" s="13" t="str">
        <x:v>To Do</x:v>
      </x:c>
      <x:c r="D24" s="19" t="n">
        <x:v>46279</x:v>
      </x:c>
      <x:c r="E24" s="19" t="n">
        <x:v>46283</x:v>
      </x:c>
      <x:c r="F24" s="13" t="str">
        <x:v>이하영</x:v>
      </x:c>
      <x:c r="G24" s="23" t="str">
        <x:f>IF($D24="","",IF($E24="",IF(G$4=$D24,1,""),IF(AND(G$4&gt;=$D24,G$4&lt;=$E24),1,"")))</x:f>
      </x:c>
      <x:c r="H24" s="23" t="str">
        <x:f>IF($D24="","",IF($E24="",IF(H$4=$D24,1,""),IF(AND(H$4&gt;=$D24,H$4&lt;=$E24),1,"")))</x:f>
      </x:c>
      <x:c r="I24" s="23" t="str">
        <x:f>IF($D24="","",IF($E24="",IF(I$4=$D24,1,""),IF(AND(I$4&gt;=$D24,I$4&lt;=$E24),1,"")))</x:f>
      </x:c>
      <x:c r="J24" s="25" t="str">
        <x:f>IF($D24="","",IF($E24="",IF(J$4=$D24,1,""),IF(AND(J$4&gt;=$D24,J$4&lt;=$E24),1,"")))</x:f>
      </x:c>
      <x:c r="K24" s="25" t="str">
        <x:f>IF($D24="","",IF($E24="",IF(K$4=$D24,1,""),IF(AND(K$4&gt;=$D24,K$4&lt;=$E24),1,"")))</x:f>
      </x:c>
      <x:c r="L24" s="23" t="str">
        <x:f>IF($D24="","",IF($E24="",IF(L$4=$D24,1,""),IF(AND(L$4&gt;=$D24,L$4&lt;=$E24),1,"")))</x:f>
      </x:c>
      <x:c r="M24" s="27" t="str">
        <x:f>IF($D24="","",IF($E24="",IF(M$4=$D24,1,""),IF(AND(M$4&gt;=$D24,M$4&lt;=$E24),1,"")))</x:f>
      </x:c>
      <x:c r="N24" s="23" t="str">
        <x:f>IF($D24="","",IF($E24="",IF(N$4=$D24,1,""),IF(AND(N$4&gt;=$D24,N$4&lt;=$E24),1,"")))</x:f>
      </x:c>
      <x:c r="O24" s="23" t="str">
        <x:f>IF($D24="","",IF($E24="",IF(O$4=$D24,1,""),IF(AND(O$4&gt;=$D24,O$4&lt;=$E24),1,"")))</x:f>
      </x:c>
      <x:c r="P24" s="23" t="str">
        <x:f>IF($D24="","",IF($E24="",IF(P$4=$D24,1,""),IF(AND(P$4&gt;=$D24,P$4&lt;=$E24),1,"")))</x:f>
      </x:c>
      <x:c r="Q24" s="25" t="str">
        <x:f>IF($D24="","",IF($E24="",IF(Q$4=$D24,1,""),IF(AND(Q$4&gt;=$D24,Q$4&lt;=$E24),1,"")))</x:f>
      </x:c>
      <x:c r="R24" s="25" t="str">
        <x:f>IF($D24="","",IF($E24="",IF(R$4=$D24,1,""),IF(AND(R$4&gt;=$D24,R$4&lt;=$E24),1,"")))</x:f>
      </x:c>
      <x:c r="S24" s="23" t="str">
        <x:f>IF($D24="","",IF($E24="",IF(S$4=$D24,1,""),IF(AND(S$4&gt;=$D24,S$4&lt;=$E24),1,"")))</x:f>
      </x:c>
      <x:c r="T24" s="23" t="str">
        <x:f>IF($D24="","",IF($E24="",IF(T$4=$D24,1,""),IF(AND(T$4&gt;=$D24,T$4&lt;=$E24),1,"")))</x:f>
      </x:c>
      <x:c r="U24" s="23" t="str">
        <x:f>IF($D24="","",IF($E24="",IF(U$4=$D24,1,""),IF(AND(U$4&gt;=$D24,U$4&lt;=$E24),1,"")))</x:f>
      </x:c>
      <x:c r="V24" s="23" t="str">
        <x:f>IF($D24="","",IF($E24="",IF(V$4=$D24,1,""),IF(AND(V$4&gt;=$D24,V$4&lt;=$E24),1,"")))</x:f>
      </x:c>
      <x:c r="W24" s="23" t="str">
        <x:f>IF($D24="","",IF($E24="",IF(W$4=$D24,1,""),IF(AND(W$4&gt;=$D24,W$4&lt;=$E24),1,"")))</x:f>
      </x:c>
      <x:c r="X24" s="25" t="str">
        <x:f>IF($D24="","",IF($E24="",IF(X$4=$D24,1,""),IF(AND(X$4&gt;=$D24,X$4&lt;=$E24),1,"")))</x:f>
      </x:c>
      <x:c r="Y24" s="25" t="str">
        <x:f>IF($D24="","",IF($E24="",IF(Y$4=$D24,1,""),IF(AND(Y$4&gt;=$D24,Y$4&lt;=$E24),1,"")))</x:f>
      </x:c>
      <x:c r="Z24" s="23" t="n">
        <x:f>IF($D24="","",IF($E24="",IF(Z$4=$D24,1,""),IF(AND(Z$4&gt;=$D24,Z$4&lt;=$E24),1,"")))</x:f>
        <x:v>1</x:v>
      </x:c>
      <x:c r="AA24" s="23" t="n">
        <x:f>IF($D24="","",IF($E24="",IF(AA$4=$D24,1,""),IF(AND(AA$4&gt;=$D24,AA$4&lt;=$E24),1,"")))</x:f>
        <x:v>1</x:v>
      </x:c>
      <x:c r="AB24" s="23" t="n">
        <x:f>IF($D24="","",IF($E24="",IF(AB$4=$D24,1,""),IF(AND(AB$4&gt;=$D24,AB$4&lt;=$E24),1,"")))</x:f>
        <x:v>1</x:v>
      </x:c>
      <x:c r="AC24" s="23" t="n">
        <x:f>IF($D24="","",IF($E24="",IF(AC$4=$D24,1,""),IF(AND(AC$4&gt;=$D24,AC$4&lt;=$E24),1,"")))</x:f>
        <x:v>1</x:v>
      </x:c>
      <x:c r="AD24" s="23" t="n">
        <x:f>IF($D24="","",IF($E24="",IF(AD$4=$D24,1,""),IF(AND(AD$4&gt;=$D24,AD$4&lt;=$E24),1,"")))</x:f>
        <x:v>1</x:v>
      </x:c>
      <x:c r="AE24" s="25" t="str">
        <x:f>IF($D24="","",IF($E24="",IF(AE$4=$D24,1,""),IF(AND(AE$4&gt;=$D24,AE$4&lt;=$E24),1,"")))</x:f>
      </x:c>
      <x:c r="AF24" s="25" t="str">
        <x:f>IF($D24="","",IF($E24="",IF(AF$4=$D24,1,""),IF(AND(AF$4&gt;=$D24,AF$4&lt;=$E24),1,"")))</x:f>
      </x:c>
      <x:c r="AG24" s="23" t="str">
        <x:f>IF($D24="","",IF($E24="",IF(AG$4=$D24,1,""),IF(AND(AG$4&gt;=$D24,AG$4&lt;=$E24),1,"")))</x:f>
      </x:c>
      <x:c r="AH24" s="23" t="str">
        <x:f>IF($D24="","",IF($E24="",IF(AH$4=$D24,1,""),IF(AND(AH$4&gt;=$D24,AH$4&lt;=$E24),1,"")))</x:f>
      </x:c>
      <x:c r="AI24" s="23" t="str">
        <x:f>IF($D24="","",IF($E24="",IF(AI$4=$D24,1,""),IF(AND(AI$4&gt;=$D24,AI$4&lt;=$E24),1,"")))</x:f>
      </x:c>
    </x:row>
    <x:row r="25" ht="24" customHeight="1">
      <x:c r="A25" s="13" t="str">
        <x:v>P1-HA-02</x:v>
      </x:c>
      <x:c r="B25" s="13" t="str">
        <x:v>Platform Resilience P1 Validation</x:v>
      </x:c>
      <x:c r="C25" s="13" t="str">
        <x:v>To Do</x:v>
      </x:c>
      <x:c r="D25" s="19" t="n">
        <x:v>46279</x:v>
      </x:c>
      <x:c r="E25" s="19" t="n">
        <x:v>46283</x:v>
      </x:c>
      <x:c r="F25" s="13" t="str">
        <x:v>이하영</x:v>
      </x:c>
      <x:c r="G25" s="23" t="str">
        <x:f>IF($D25="","",IF($E25="",IF(G$4=$D25,1,""),IF(AND(G$4&gt;=$D25,G$4&lt;=$E25),1,"")))</x:f>
      </x:c>
      <x:c r="H25" s="23" t="str">
        <x:f>IF($D25="","",IF($E25="",IF(H$4=$D25,1,""),IF(AND(H$4&gt;=$D25,H$4&lt;=$E25),1,"")))</x:f>
      </x:c>
      <x:c r="I25" s="23" t="str">
        <x:f>IF($D25="","",IF($E25="",IF(I$4=$D25,1,""),IF(AND(I$4&gt;=$D25,I$4&lt;=$E25),1,"")))</x:f>
      </x:c>
      <x:c r="J25" s="25" t="str">
        <x:f>IF($D25="","",IF($E25="",IF(J$4=$D25,1,""),IF(AND(J$4&gt;=$D25,J$4&lt;=$E25),1,"")))</x:f>
      </x:c>
      <x:c r="K25" s="25" t="str">
        <x:f>IF($D25="","",IF($E25="",IF(K$4=$D25,1,""),IF(AND(K$4&gt;=$D25,K$4&lt;=$E25),1,"")))</x:f>
      </x:c>
      <x:c r="L25" s="23" t="str">
        <x:f>IF($D25="","",IF($E25="",IF(L$4=$D25,1,""),IF(AND(L$4&gt;=$D25,L$4&lt;=$E25),1,"")))</x:f>
      </x:c>
      <x:c r="M25" s="27" t="str">
        <x:f>IF($D25="","",IF($E25="",IF(M$4=$D25,1,""),IF(AND(M$4&gt;=$D25,M$4&lt;=$E25),1,"")))</x:f>
      </x:c>
      <x:c r="N25" s="23" t="str">
        <x:f>IF($D25="","",IF($E25="",IF(N$4=$D25,1,""),IF(AND(N$4&gt;=$D25,N$4&lt;=$E25),1,"")))</x:f>
      </x:c>
      <x:c r="O25" s="23" t="str">
        <x:f>IF($D25="","",IF($E25="",IF(O$4=$D25,1,""),IF(AND(O$4&gt;=$D25,O$4&lt;=$E25),1,"")))</x:f>
      </x:c>
      <x:c r="P25" s="23" t="str">
        <x:f>IF($D25="","",IF($E25="",IF(P$4=$D25,1,""),IF(AND(P$4&gt;=$D25,P$4&lt;=$E25),1,"")))</x:f>
      </x:c>
      <x:c r="Q25" s="25" t="str">
        <x:f>IF($D25="","",IF($E25="",IF(Q$4=$D25,1,""),IF(AND(Q$4&gt;=$D25,Q$4&lt;=$E25),1,"")))</x:f>
      </x:c>
      <x:c r="R25" s="25" t="str">
        <x:f>IF($D25="","",IF($E25="",IF(R$4=$D25,1,""),IF(AND(R$4&gt;=$D25,R$4&lt;=$E25),1,"")))</x:f>
      </x:c>
      <x:c r="S25" s="23" t="str">
        <x:f>IF($D25="","",IF($E25="",IF(S$4=$D25,1,""),IF(AND(S$4&gt;=$D25,S$4&lt;=$E25),1,"")))</x:f>
      </x:c>
      <x:c r="T25" s="23" t="str">
        <x:f>IF($D25="","",IF($E25="",IF(T$4=$D25,1,""),IF(AND(T$4&gt;=$D25,T$4&lt;=$E25),1,"")))</x:f>
      </x:c>
      <x:c r="U25" s="23" t="str">
        <x:f>IF($D25="","",IF($E25="",IF(U$4=$D25,1,""),IF(AND(U$4&gt;=$D25,U$4&lt;=$E25),1,"")))</x:f>
      </x:c>
      <x:c r="V25" s="23" t="str">
        <x:f>IF($D25="","",IF($E25="",IF(V$4=$D25,1,""),IF(AND(V$4&gt;=$D25,V$4&lt;=$E25),1,"")))</x:f>
      </x:c>
      <x:c r="W25" s="23" t="str">
        <x:f>IF($D25="","",IF($E25="",IF(W$4=$D25,1,""),IF(AND(W$4&gt;=$D25,W$4&lt;=$E25),1,"")))</x:f>
      </x:c>
      <x:c r="X25" s="25" t="str">
        <x:f>IF($D25="","",IF($E25="",IF(X$4=$D25,1,""),IF(AND(X$4&gt;=$D25,X$4&lt;=$E25),1,"")))</x:f>
      </x:c>
      <x:c r="Y25" s="25" t="str">
        <x:f>IF($D25="","",IF($E25="",IF(Y$4=$D25,1,""),IF(AND(Y$4&gt;=$D25,Y$4&lt;=$E25),1,"")))</x:f>
      </x:c>
      <x:c r="Z25" s="23" t="n">
        <x:f>IF($D25="","",IF($E25="",IF(Z$4=$D25,1,""),IF(AND(Z$4&gt;=$D25,Z$4&lt;=$E25),1,"")))</x:f>
        <x:v>1</x:v>
      </x:c>
      <x:c r="AA25" s="23" t="n">
        <x:f>IF($D25="","",IF($E25="",IF(AA$4=$D25,1,""),IF(AND(AA$4&gt;=$D25,AA$4&lt;=$E25),1,"")))</x:f>
        <x:v>1</x:v>
      </x:c>
      <x:c r="AB25" s="23" t="n">
        <x:f>IF($D25="","",IF($E25="",IF(AB$4=$D25,1,""),IF(AND(AB$4&gt;=$D25,AB$4&lt;=$E25),1,"")))</x:f>
        <x:v>1</x:v>
      </x:c>
      <x:c r="AC25" s="23" t="n">
        <x:f>IF($D25="","",IF($E25="",IF(AC$4=$D25,1,""),IF(AND(AC$4&gt;=$D25,AC$4&lt;=$E25),1,"")))</x:f>
        <x:v>1</x:v>
      </x:c>
      <x:c r="AD25" s="23" t="n">
        <x:f>IF($D25="","",IF($E25="",IF(AD$4=$D25,1,""),IF(AND(AD$4&gt;=$D25,AD$4&lt;=$E25),1,"")))</x:f>
        <x:v>1</x:v>
      </x:c>
      <x:c r="AE25" s="25" t="str">
        <x:f>IF($D25="","",IF($E25="",IF(AE$4=$D25,1,""),IF(AND(AE$4&gt;=$D25,AE$4&lt;=$E25),1,"")))</x:f>
      </x:c>
      <x:c r="AF25" s="25" t="str">
        <x:f>IF($D25="","",IF($E25="",IF(AF$4=$D25,1,""),IF(AND(AF$4&gt;=$D25,AF$4&lt;=$E25),1,"")))</x:f>
      </x:c>
      <x:c r="AG25" s="23" t="str">
        <x:f>IF($D25="","",IF($E25="",IF(AG$4=$D25,1,""),IF(AND(AG$4&gt;=$D25,AG$4&lt;=$E25),1,"")))</x:f>
      </x:c>
      <x:c r="AH25" s="23" t="str">
        <x:f>IF($D25="","",IF($E25="",IF(AH$4=$D25,1,""),IF(AND(AH$4&gt;=$D25,AH$4&lt;=$E25),1,"")))</x:f>
      </x:c>
      <x:c r="AI25" s="23" t="str">
        <x:f>IF($D25="","",IF($E25="",IF(AI$4=$D25,1,""),IF(AND(AI$4&gt;=$D25,AI$4&lt;=$E25),1,"")))</x:f>
      </x:c>
    </x:row>
    <x:row r="26" ht="24" customHeight="1">
      <x:c r="A26" s="13" t="str">
        <x:v>DEC-CAL-P1-01</x:v>
      </x:c>
      <x:c r="B26" s="13" t="str">
        <x:v>Phase 1 Weekend Review Decision</x:v>
      </x:c>
      <x:c r="C26" s="13" t="str">
        <x:v>To Do</x:v>
      </x:c>
      <x:c r="D26" s="19" t="n">
        <x:v>46282</x:v>
      </x:c>
      <x:c r="E26" s="19" t="n">
        <x:v>46283</x:v>
      </x:c>
      <x:c r="F26" s="13" t="str">
        <x:v>이권욱</x:v>
      </x:c>
      <x:c r="G26" s="23" t="str">
        <x:f>IF($D26="","",IF($E26="",IF(G$4=$D26,1,""),IF(AND(G$4&gt;=$D26,G$4&lt;=$E26),1,"")))</x:f>
      </x:c>
      <x:c r="H26" s="23" t="str">
        <x:f>IF($D26="","",IF($E26="",IF(H$4=$D26,1,""),IF(AND(H$4&gt;=$D26,H$4&lt;=$E26),1,"")))</x:f>
      </x:c>
      <x:c r="I26" s="23" t="str">
        <x:f>IF($D26="","",IF($E26="",IF(I$4=$D26,1,""),IF(AND(I$4&gt;=$D26,I$4&lt;=$E26),1,"")))</x:f>
      </x:c>
      <x:c r="J26" s="25" t="str">
        <x:f>IF($D26="","",IF($E26="",IF(J$4=$D26,1,""),IF(AND(J$4&gt;=$D26,J$4&lt;=$E26),1,"")))</x:f>
      </x:c>
      <x:c r="K26" s="25" t="str">
        <x:f>IF($D26="","",IF($E26="",IF(K$4=$D26,1,""),IF(AND(K$4&gt;=$D26,K$4&lt;=$E26),1,"")))</x:f>
      </x:c>
      <x:c r="L26" s="23" t="str">
        <x:f>IF($D26="","",IF($E26="",IF(L$4=$D26,1,""),IF(AND(L$4&gt;=$D26,L$4&lt;=$E26),1,"")))</x:f>
      </x:c>
      <x:c r="M26" s="27" t="str">
        <x:f>IF($D26="","",IF($E26="",IF(M$4=$D26,1,""),IF(AND(M$4&gt;=$D26,M$4&lt;=$E26),1,"")))</x:f>
      </x:c>
      <x:c r="N26" s="23" t="str">
        <x:f>IF($D26="","",IF($E26="",IF(N$4=$D26,1,""),IF(AND(N$4&gt;=$D26,N$4&lt;=$E26),1,"")))</x:f>
      </x:c>
      <x:c r="O26" s="23" t="str">
        <x:f>IF($D26="","",IF($E26="",IF(O$4=$D26,1,""),IF(AND(O$4&gt;=$D26,O$4&lt;=$E26),1,"")))</x:f>
      </x:c>
      <x:c r="P26" s="23" t="str">
        <x:f>IF($D26="","",IF($E26="",IF(P$4=$D26,1,""),IF(AND(P$4&gt;=$D26,P$4&lt;=$E26),1,"")))</x:f>
      </x:c>
      <x:c r="Q26" s="25" t="str">
        <x:f>IF($D26="","",IF($E26="",IF(Q$4=$D26,1,""),IF(AND(Q$4&gt;=$D26,Q$4&lt;=$E26),1,"")))</x:f>
      </x:c>
      <x:c r="R26" s="25" t="str">
        <x:f>IF($D26="","",IF($E26="",IF(R$4=$D26,1,""),IF(AND(R$4&gt;=$D26,R$4&lt;=$E26),1,"")))</x:f>
      </x:c>
      <x:c r="S26" s="23" t="str">
        <x:f>IF($D26="","",IF($E26="",IF(S$4=$D26,1,""),IF(AND(S$4&gt;=$D26,S$4&lt;=$E26),1,"")))</x:f>
      </x:c>
      <x:c r="T26" s="23" t="str">
        <x:f>IF($D26="","",IF($E26="",IF(T$4=$D26,1,""),IF(AND(T$4&gt;=$D26,T$4&lt;=$E26),1,"")))</x:f>
      </x:c>
      <x:c r="U26" s="23" t="str">
        <x:f>IF($D26="","",IF($E26="",IF(U$4=$D26,1,""),IF(AND(U$4&gt;=$D26,U$4&lt;=$E26),1,"")))</x:f>
      </x:c>
      <x:c r="V26" s="23" t="str">
        <x:f>IF($D26="","",IF($E26="",IF(V$4=$D26,1,""),IF(AND(V$4&gt;=$D26,V$4&lt;=$E26),1,"")))</x:f>
      </x:c>
      <x:c r="W26" s="23" t="str">
        <x:f>IF($D26="","",IF($E26="",IF(W$4=$D26,1,""),IF(AND(W$4&gt;=$D26,W$4&lt;=$E26),1,"")))</x:f>
      </x:c>
      <x:c r="X26" s="25" t="str">
        <x:f>IF($D26="","",IF($E26="",IF(X$4=$D26,1,""),IF(AND(X$4&gt;=$D26,X$4&lt;=$E26),1,"")))</x:f>
      </x:c>
      <x:c r="Y26" s="25" t="str">
        <x:f>IF($D26="","",IF($E26="",IF(Y$4=$D26,1,""),IF(AND(Y$4&gt;=$D26,Y$4&lt;=$E26),1,"")))</x:f>
      </x:c>
      <x:c r="Z26" s="23" t="str">
        <x:f>IF($D26="","",IF($E26="",IF(Z$4=$D26,1,""),IF(AND(Z$4&gt;=$D26,Z$4&lt;=$E26),1,"")))</x:f>
      </x:c>
      <x:c r="AA26" s="23" t="str">
        <x:f>IF($D26="","",IF($E26="",IF(AA$4=$D26,1,""),IF(AND(AA$4&gt;=$D26,AA$4&lt;=$E26),1,"")))</x:f>
      </x:c>
      <x:c r="AB26" s="23" t="str">
        <x:f>IF($D26="","",IF($E26="",IF(AB$4=$D26,1,""),IF(AND(AB$4&gt;=$D26,AB$4&lt;=$E26),1,"")))</x:f>
      </x:c>
      <x:c r="AC26" s="23" t="n">
        <x:f>IF($D26="","",IF($E26="",IF(AC$4=$D26,1,""),IF(AND(AC$4&gt;=$D26,AC$4&lt;=$E26),1,"")))</x:f>
        <x:v>1</x:v>
      </x:c>
      <x:c r="AD26" s="23" t="n">
        <x:f>IF($D26="","",IF($E26="",IF(AD$4=$D26,1,""),IF(AND(AD$4&gt;=$D26,AD$4&lt;=$E26),1,"")))</x:f>
        <x:v>1</x:v>
      </x:c>
      <x:c r="AE26" s="25" t="str">
        <x:f>IF($D26="","",IF($E26="",IF(AE$4=$D26,1,""),IF(AND(AE$4&gt;=$D26,AE$4&lt;=$E26),1,"")))</x:f>
      </x:c>
      <x:c r="AF26" s="25" t="str">
        <x:f>IF($D26="","",IF($E26="",IF(AF$4=$D26,1,""),IF(AND(AF$4&gt;=$D26,AF$4&lt;=$E26),1,"")))</x:f>
      </x:c>
      <x:c r="AG26" s="23" t="str">
        <x:f>IF($D26="","",IF($E26="",IF(AG$4=$D26,1,""),IF(AND(AG$4&gt;=$D26,AG$4&lt;=$E26),1,"")))</x:f>
      </x:c>
      <x:c r="AH26" s="23" t="str">
        <x:f>IF($D26="","",IF($E26="",IF(AH$4=$D26,1,""),IF(AND(AH$4&gt;=$D26,AH$4&lt;=$E26),1,"")))</x:f>
      </x:c>
      <x:c r="AI26" s="23" t="str">
        <x:f>IF($D26="","",IF($E26="",IF(AI$4=$D26,1,""),IF(AND(AI$4&gt;=$D26,AI$4&lt;=$E26),1,"")))</x:f>
      </x:c>
    </x:row>
    <x:row r="27" ht="24" customHeight="1">
      <x:c r="A27" s="13" t="str">
        <x:v>MS-G3-01</x:v>
      </x:c>
      <x:c r="B27" s="13" t="str">
        <x:v>G3 Review Ready</x:v>
      </x:c>
      <x:c r="C27" s="13" t="str">
        <x:v>To Do</x:v>
      </x:c>
      <x:c r="D27" s="19" t="n">
        <x:v>46283</x:v>
      </x:c>
      <x:c r="E27" s="19" t="n">
        <x:v>46283</x:v>
      </x:c>
      <x:c r="F27" s="13" t="str">
        <x:v>이권욱</x:v>
      </x:c>
      <x:c r="G27" s="23" t="str">
        <x:f>IF($D27="","",IF($E27="",IF(G$4=$D27,1,""),IF(AND(G$4&gt;=$D27,G$4&lt;=$E27),1,"")))</x:f>
      </x:c>
      <x:c r="H27" s="23" t="str">
        <x:f>IF($D27="","",IF($E27="",IF(H$4=$D27,1,""),IF(AND(H$4&gt;=$D27,H$4&lt;=$E27),1,"")))</x:f>
      </x:c>
      <x:c r="I27" s="23" t="str">
        <x:f>IF($D27="","",IF($E27="",IF(I$4=$D27,1,""),IF(AND(I$4&gt;=$D27,I$4&lt;=$E27),1,"")))</x:f>
      </x:c>
      <x:c r="J27" s="25" t="str">
        <x:f>IF($D27="","",IF($E27="",IF(J$4=$D27,1,""),IF(AND(J$4&gt;=$D27,J$4&lt;=$E27),1,"")))</x:f>
      </x:c>
      <x:c r="K27" s="25" t="str">
        <x:f>IF($D27="","",IF($E27="",IF(K$4=$D27,1,""),IF(AND(K$4&gt;=$D27,K$4&lt;=$E27),1,"")))</x:f>
      </x:c>
      <x:c r="L27" s="23" t="str">
        <x:f>IF($D27="","",IF($E27="",IF(L$4=$D27,1,""),IF(AND(L$4&gt;=$D27,L$4&lt;=$E27),1,"")))</x:f>
      </x:c>
      <x:c r="M27" s="27" t="str">
        <x:f>IF($D27="","",IF($E27="",IF(M$4=$D27,1,""),IF(AND(M$4&gt;=$D27,M$4&lt;=$E27),1,"")))</x:f>
      </x:c>
      <x:c r="N27" s="23" t="str">
        <x:f>IF($D27="","",IF($E27="",IF(N$4=$D27,1,""),IF(AND(N$4&gt;=$D27,N$4&lt;=$E27),1,"")))</x:f>
      </x:c>
      <x:c r="O27" s="23" t="str">
        <x:f>IF($D27="","",IF($E27="",IF(O$4=$D27,1,""),IF(AND(O$4&gt;=$D27,O$4&lt;=$E27),1,"")))</x:f>
      </x:c>
      <x:c r="P27" s="23" t="str">
        <x:f>IF($D27="","",IF($E27="",IF(P$4=$D27,1,""),IF(AND(P$4&gt;=$D27,P$4&lt;=$E27),1,"")))</x:f>
      </x:c>
      <x:c r="Q27" s="25" t="str">
        <x:f>IF($D27="","",IF($E27="",IF(Q$4=$D27,1,""),IF(AND(Q$4&gt;=$D27,Q$4&lt;=$E27),1,"")))</x:f>
      </x:c>
      <x:c r="R27" s="25" t="str">
        <x:f>IF($D27="","",IF($E27="",IF(R$4=$D27,1,""),IF(AND(R$4&gt;=$D27,R$4&lt;=$E27),1,"")))</x:f>
      </x:c>
      <x:c r="S27" s="23" t="str">
        <x:f>IF($D27="","",IF($E27="",IF(S$4=$D27,1,""),IF(AND(S$4&gt;=$D27,S$4&lt;=$E27),1,"")))</x:f>
      </x:c>
      <x:c r="T27" s="23" t="str">
        <x:f>IF($D27="","",IF($E27="",IF(T$4=$D27,1,""),IF(AND(T$4&gt;=$D27,T$4&lt;=$E27),1,"")))</x:f>
      </x:c>
      <x:c r="U27" s="23" t="str">
        <x:f>IF($D27="","",IF($E27="",IF(U$4=$D27,1,""),IF(AND(U$4&gt;=$D27,U$4&lt;=$E27),1,"")))</x:f>
      </x:c>
      <x:c r="V27" s="23" t="str">
        <x:f>IF($D27="","",IF($E27="",IF(V$4=$D27,1,""),IF(AND(V$4&gt;=$D27,V$4&lt;=$E27),1,"")))</x:f>
      </x:c>
      <x:c r="W27" s="23" t="str">
        <x:f>IF($D27="","",IF($E27="",IF(W$4=$D27,1,""),IF(AND(W$4&gt;=$D27,W$4&lt;=$E27),1,"")))</x:f>
      </x:c>
      <x:c r="X27" s="25" t="str">
        <x:f>IF($D27="","",IF($E27="",IF(X$4=$D27,1,""),IF(AND(X$4&gt;=$D27,X$4&lt;=$E27),1,"")))</x:f>
      </x:c>
      <x:c r="Y27" s="25" t="str">
        <x:f>IF($D27="","",IF($E27="",IF(Y$4=$D27,1,""),IF(AND(Y$4&gt;=$D27,Y$4&lt;=$E27),1,"")))</x:f>
      </x:c>
      <x:c r="Z27" s="23" t="str">
        <x:f>IF($D27="","",IF($E27="",IF(Z$4=$D27,1,""),IF(AND(Z$4&gt;=$D27,Z$4&lt;=$E27),1,"")))</x:f>
      </x:c>
      <x:c r="AA27" s="23" t="str">
        <x:f>IF($D27="","",IF($E27="",IF(AA$4=$D27,1,""),IF(AND(AA$4&gt;=$D27,AA$4&lt;=$E27),1,"")))</x:f>
      </x:c>
      <x:c r="AB27" s="23" t="str">
        <x:f>IF($D27="","",IF($E27="",IF(AB$4=$D27,1,""),IF(AND(AB$4&gt;=$D27,AB$4&lt;=$E27),1,"")))</x:f>
      </x:c>
      <x:c r="AC27" s="23" t="str">
        <x:f>IF($D27="","",IF($E27="",IF(AC$4=$D27,1,""),IF(AND(AC$4&gt;=$D27,AC$4&lt;=$E27),1,"")))</x:f>
      </x:c>
      <x:c r="AD27" s="23" t="n">
        <x:f>IF($D27="","",IF($E27="",IF(AD$4=$D27,1,""),IF(AND(AD$4&gt;=$D27,AD$4&lt;=$E27),1,"")))</x:f>
        <x:v>1</x:v>
      </x:c>
      <x:c r="AE27" s="25" t="str">
        <x:f>IF($D27="","",IF($E27="",IF(AE$4=$D27,1,""),IF(AND(AE$4&gt;=$D27,AE$4&lt;=$E27),1,"")))</x:f>
      </x:c>
      <x:c r="AF27" s="25" t="str">
        <x:f>IF($D27="","",IF($E27="",IF(AF$4=$D27,1,""),IF(AND(AF$4&gt;=$D27,AF$4&lt;=$E27),1,"")))</x:f>
      </x:c>
      <x:c r="AG27" s="23" t="str">
        <x:f>IF($D27="","",IF($E27="",IF(AG$4=$D27,1,""),IF(AND(AG$4&gt;=$D27,AG$4&lt;=$E27),1,"")))</x:f>
      </x:c>
      <x:c r="AH27" s="23" t="str">
        <x:f>IF($D27="","",IF($E27="",IF(AH$4=$D27,1,""),IF(AND(AH$4&gt;=$D27,AH$4&lt;=$E27),1,"")))</x:f>
      </x:c>
      <x:c r="AI27" s="23" t="str">
        <x:f>IF($D27="","",IF($E27="",IF(AI$4=$D27,1,""),IF(AND(AI$4&gt;=$D27,AI$4&lt;=$E27),1,"")))</x:f>
      </x:c>
    </x:row>
    <x:row r="28" ht="24" customHeight="1">
      <x:c r="A28" s="13" t="str">
        <x:v>P1-REV-01</x:v>
      </x:c>
      <x:c r="B28" s="13" t="str">
        <x:v>Phase 1 Review / Close Execution</x:v>
      </x:c>
      <x:c r="C28" s="13" t="str">
        <x:v>To Do</x:v>
      </x:c>
      <x:c r="D28" s="19" t="n">
        <x:v>46283</x:v>
      </x:c>
      <x:c r="E28" s="19" t="n">
        <x:v>46288</x:v>
      </x:c>
      <x:c r="F28" s="13" t="str">
        <x:v>이권욱</x:v>
      </x:c>
      <x:c r="G28" s="23" t="str">
        <x:f>IF($D28="","",IF($E28="",IF(G$4=$D28,1,""),IF(AND(G$4&gt;=$D28,G$4&lt;=$E28),1,"")))</x:f>
      </x:c>
      <x:c r="H28" s="23" t="str">
        <x:f>IF($D28="","",IF($E28="",IF(H$4=$D28,1,""),IF(AND(H$4&gt;=$D28,H$4&lt;=$E28),1,"")))</x:f>
      </x:c>
      <x:c r="I28" s="23" t="str">
        <x:f>IF($D28="","",IF($E28="",IF(I$4=$D28,1,""),IF(AND(I$4&gt;=$D28,I$4&lt;=$E28),1,"")))</x:f>
      </x:c>
      <x:c r="J28" s="25" t="str">
        <x:f>IF($D28="","",IF($E28="",IF(J$4=$D28,1,""),IF(AND(J$4&gt;=$D28,J$4&lt;=$E28),1,"")))</x:f>
      </x:c>
      <x:c r="K28" s="25" t="str">
        <x:f>IF($D28="","",IF($E28="",IF(K$4=$D28,1,""),IF(AND(K$4&gt;=$D28,K$4&lt;=$E28),1,"")))</x:f>
      </x:c>
      <x:c r="L28" s="23" t="str">
        <x:f>IF($D28="","",IF($E28="",IF(L$4=$D28,1,""),IF(AND(L$4&gt;=$D28,L$4&lt;=$E28),1,"")))</x:f>
      </x:c>
      <x:c r="M28" s="27" t="str">
        <x:f>IF($D28="","",IF($E28="",IF(M$4=$D28,1,""),IF(AND(M$4&gt;=$D28,M$4&lt;=$E28),1,"")))</x:f>
      </x:c>
      <x:c r="N28" s="23" t="str">
        <x:f>IF($D28="","",IF($E28="",IF(N$4=$D28,1,""),IF(AND(N$4&gt;=$D28,N$4&lt;=$E28),1,"")))</x:f>
      </x:c>
      <x:c r="O28" s="23" t="str">
        <x:f>IF($D28="","",IF($E28="",IF(O$4=$D28,1,""),IF(AND(O$4&gt;=$D28,O$4&lt;=$E28),1,"")))</x:f>
      </x:c>
      <x:c r="P28" s="23" t="str">
        <x:f>IF($D28="","",IF($E28="",IF(P$4=$D28,1,""),IF(AND(P$4&gt;=$D28,P$4&lt;=$E28),1,"")))</x:f>
      </x:c>
      <x:c r="Q28" s="25" t="str">
        <x:f>IF($D28="","",IF($E28="",IF(Q$4=$D28,1,""),IF(AND(Q$4&gt;=$D28,Q$4&lt;=$E28),1,"")))</x:f>
      </x:c>
      <x:c r="R28" s="25" t="str">
        <x:f>IF($D28="","",IF($E28="",IF(R$4=$D28,1,""),IF(AND(R$4&gt;=$D28,R$4&lt;=$E28),1,"")))</x:f>
      </x:c>
      <x:c r="S28" s="23" t="str">
        <x:f>IF($D28="","",IF($E28="",IF(S$4=$D28,1,""),IF(AND(S$4&gt;=$D28,S$4&lt;=$E28),1,"")))</x:f>
      </x:c>
      <x:c r="T28" s="23" t="str">
        <x:f>IF($D28="","",IF($E28="",IF(T$4=$D28,1,""),IF(AND(T$4&gt;=$D28,T$4&lt;=$E28),1,"")))</x:f>
      </x:c>
      <x:c r="U28" s="23" t="str">
        <x:f>IF($D28="","",IF($E28="",IF(U$4=$D28,1,""),IF(AND(U$4&gt;=$D28,U$4&lt;=$E28),1,"")))</x:f>
      </x:c>
      <x:c r="V28" s="23" t="str">
        <x:f>IF($D28="","",IF($E28="",IF(V$4=$D28,1,""),IF(AND(V$4&gt;=$D28,V$4&lt;=$E28),1,"")))</x:f>
      </x:c>
      <x:c r="W28" s="23" t="str">
        <x:f>IF($D28="","",IF($E28="",IF(W$4=$D28,1,""),IF(AND(W$4&gt;=$D28,W$4&lt;=$E28),1,"")))</x:f>
      </x:c>
      <x:c r="X28" s="25" t="str">
        <x:f>IF($D28="","",IF($E28="",IF(X$4=$D28,1,""),IF(AND(X$4&gt;=$D28,X$4&lt;=$E28),1,"")))</x:f>
      </x:c>
      <x:c r="Y28" s="25" t="str">
        <x:f>IF($D28="","",IF($E28="",IF(Y$4=$D28,1,""),IF(AND(Y$4&gt;=$D28,Y$4&lt;=$E28),1,"")))</x:f>
      </x:c>
      <x:c r="Z28" s="23" t="str">
        <x:f>IF($D28="","",IF($E28="",IF(Z$4=$D28,1,""),IF(AND(Z$4&gt;=$D28,Z$4&lt;=$E28),1,"")))</x:f>
      </x:c>
      <x:c r="AA28" s="23" t="str">
        <x:f>IF($D28="","",IF($E28="",IF(AA$4=$D28,1,""),IF(AND(AA$4&gt;=$D28,AA$4&lt;=$E28),1,"")))</x:f>
      </x:c>
      <x:c r="AB28" s="23" t="str">
        <x:f>IF($D28="","",IF($E28="",IF(AB$4=$D28,1,""),IF(AND(AB$4&gt;=$D28,AB$4&lt;=$E28),1,"")))</x:f>
      </x:c>
      <x:c r="AC28" s="23" t="str">
        <x:f>IF($D28="","",IF($E28="",IF(AC$4=$D28,1,""),IF(AND(AC$4&gt;=$D28,AC$4&lt;=$E28),1,"")))</x:f>
      </x:c>
      <x:c r="AD28" s="23" t="n">
        <x:f>IF($D28="","",IF($E28="",IF(AD$4=$D28,1,""),IF(AND(AD$4&gt;=$D28,AD$4&lt;=$E28),1,"")))</x:f>
        <x:v>1</x:v>
      </x:c>
      <x:c r="AE28" s="25" t="n">
        <x:f>IF($D28="","",IF($E28="",IF(AE$4=$D28,1,""),IF(AND(AE$4&gt;=$D28,AE$4&lt;=$E28),1,"")))</x:f>
        <x:v>1</x:v>
      </x:c>
      <x:c r="AF28" s="25" t="n">
        <x:f>IF($D28="","",IF($E28="",IF(AF$4=$D28,1,""),IF(AND(AF$4&gt;=$D28,AF$4&lt;=$E28),1,"")))</x:f>
        <x:v>1</x:v>
      </x:c>
      <x:c r="AG28" s="23" t="n">
        <x:f>IF($D28="","",IF($E28="",IF(AG$4=$D28,1,""),IF(AND(AG$4&gt;=$D28,AG$4&lt;=$E28),1,"")))</x:f>
        <x:v>1</x:v>
      </x:c>
      <x:c r="AH28" s="23" t="n">
        <x:f>IF($D28="","",IF($E28="",IF(AH$4=$D28,1,""),IF(AND(AH$4&gt;=$D28,AH$4&lt;=$E28),1,"")))</x:f>
        <x:v>1</x:v>
      </x:c>
      <x:c r="AI28" s="23" t="n">
        <x:f>IF($D28="","",IF($E28="",IF(AI$4=$D28,1,""),IF(AND(AI$4&gt;=$D28,AI$4&lt;=$E28),1,"")))</x:f>
        <x:v>1</x:v>
      </x:c>
    </x:row>
    <x:row r="29" ht="24" customHeight="1">
      <x:c r="A29" s="13" t="str">
        <x:v>MS-P1-REVIEW-01</x:v>
      </x:c>
      <x:c r="B29" s="13" t="str">
        <x:v>Phase 1 Review</x:v>
      </x:c>
      <x:c r="C29" s="13" t="str">
        <x:v>To Do</x:v>
      </x:c>
      <x:c r="D29" s="19" t="n">
        <x:v>46285</x:v>
      </x:c>
      <x:c r="E29" s="19" t="n">
        <x:v>46285</x:v>
      </x:c>
      <x:c r="F29" s="13" t="str">
        <x:v>이권욱</x:v>
      </x:c>
      <x:c r="G29" s="23" t="str">
        <x:f>IF($D29="","",IF($E29="",IF(G$4=$D29,1,""),IF(AND(G$4&gt;=$D29,G$4&lt;=$E29),1,"")))</x:f>
      </x:c>
      <x:c r="H29" s="23" t="str">
        <x:f>IF($D29="","",IF($E29="",IF(H$4=$D29,1,""),IF(AND(H$4&gt;=$D29,H$4&lt;=$E29),1,"")))</x:f>
      </x:c>
      <x:c r="I29" s="23" t="str">
        <x:f>IF($D29="","",IF($E29="",IF(I$4=$D29,1,""),IF(AND(I$4&gt;=$D29,I$4&lt;=$E29),1,"")))</x:f>
      </x:c>
      <x:c r="J29" s="25" t="str">
        <x:f>IF($D29="","",IF($E29="",IF(J$4=$D29,1,""),IF(AND(J$4&gt;=$D29,J$4&lt;=$E29),1,"")))</x:f>
      </x:c>
      <x:c r="K29" s="25" t="str">
        <x:f>IF($D29="","",IF($E29="",IF(K$4=$D29,1,""),IF(AND(K$4&gt;=$D29,K$4&lt;=$E29),1,"")))</x:f>
      </x:c>
      <x:c r="L29" s="23" t="str">
        <x:f>IF($D29="","",IF($E29="",IF(L$4=$D29,1,""),IF(AND(L$4&gt;=$D29,L$4&lt;=$E29),1,"")))</x:f>
      </x:c>
      <x:c r="M29" s="27" t="str">
        <x:f>IF($D29="","",IF($E29="",IF(M$4=$D29,1,""),IF(AND(M$4&gt;=$D29,M$4&lt;=$E29),1,"")))</x:f>
      </x:c>
      <x:c r="N29" s="23" t="str">
        <x:f>IF($D29="","",IF($E29="",IF(N$4=$D29,1,""),IF(AND(N$4&gt;=$D29,N$4&lt;=$E29),1,"")))</x:f>
      </x:c>
      <x:c r="O29" s="23" t="str">
        <x:f>IF($D29="","",IF($E29="",IF(O$4=$D29,1,""),IF(AND(O$4&gt;=$D29,O$4&lt;=$E29),1,"")))</x:f>
      </x:c>
      <x:c r="P29" s="23" t="str">
        <x:f>IF($D29="","",IF($E29="",IF(P$4=$D29,1,""),IF(AND(P$4&gt;=$D29,P$4&lt;=$E29),1,"")))</x:f>
      </x:c>
      <x:c r="Q29" s="25" t="str">
        <x:f>IF($D29="","",IF($E29="",IF(Q$4=$D29,1,""),IF(AND(Q$4&gt;=$D29,Q$4&lt;=$E29),1,"")))</x:f>
      </x:c>
      <x:c r="R29" s="25" t="str">
        <x:f>IF($D29="","",IF($E29="",IF(R$4=$D29,1,""),IF(AND(R$4&gt;=$D29,R$4&lt;=$E29),1,"")))</x:f>
      </x:c>
      <x:c r="S29" s="23" t="str">
        <x:f>IF($D29="","",IF($E29="",IF(S$4=$D29,1,""),IF(AND(S$4&gt;=$D29,S$4&lt;=$E29),1,"")))</x:f>
      </x:c>
      <x:c r="T29" s="23" t="str">
        <x:f>IF($D29="","",IF($E29="",IF(T$4=$D29,1,""),IF(AND(T$4&gt;=$D29,T$4&lt;=$E29),1,"")))</x:f>
      </x:c>
      <x:c r="U29" s="23" t="str">
        <x:f>IF($D29="","",IF($E29="",IF(U$4=$D29,1,""),IF(AND(U$4&gt;=$D29,U$4&lt;=$E29),1,"")))</x:f>
      </x:c>
      <x:c r="V29" s="23" t="str">
        <x:f>IF($D29="","",IF($E29="",IF(V$4=$D29,1,""),IF(AND(V$4&gt;=$D29,V$4&lt;=$E29),1,"")))</x:f>
      </x:c>
      <x:c r="W29" s="23" t="str">
        <x:f>IF($D29="","",IF($E29="",IF(W$4=$D29,1,""),IF(AND(W$4&gt;=$D29,W$4&lt;=$E29),1,"")))</x:f>
      </x:c>
      <x:c r="X29" s="25" t="str">
        <x:f>IF($D29="","",IF($E29="",IF(X$4=$D29,1,""),IF(AND(X$4&gt;=$D29,X$4&lt;=$E29),1,"")))</x:f>
      </x:c>
      <x:c r="Y29" s="25" t="str">
        <x:f>IF($D29="","",IF($E29="",IF(Y$4=$D29,1,""),IF(AND(Y$4&gt;=$D29,Y$4&lt;=$E29),1,"")))</x:f>
      </x:c>
      <x:c r="Z29" s="23" t="str">
        <x:f>IF($D29="","",IF($E29="",IF(Z$4=$D29,1,""),IF(AND(Z$4&gt;=$D29,Z$4&lt;=$E29),1,"")))</x:f>
      </x:c>
      <x:c r="AA29" s="23" t="str">
        <x:f>IF($D29="","",IF($E29="",IF(AA$4=$D29,1,""),IF(AND(AA$4&gt;=$D29,AA$4&lt;=$E29),1,"")))</x:f>
      </x:c>
      <x:c r="AB29" s="23" t="str">
        <x:f>IF($D29="","",IF($E29="",IF(AB$4=$D29,1,""),IF(AND(AB$4&gt;=$D29,AB$4&lt;=$E29),1,"")))</x:f>
      </x:c>
      <x:c r="AC29" s="23" t="str">
        <x:f>IF($D29="","",IF($E29="",IF(AC$4=$D29,1,""),IF(AND(AC$4&gt;=$D29,AC$4&lt;=$E29),1,"")))</x:f>
      </x:c>
      <x:c r="AD29" s="23" t="str">
        <x:f>IF($D29="","",IF($E29="",IF(AD$4=$D29,1,""),IF(AND(AD$4&gt;=$D29,AD$4&lt;=$E29),1,"")))</x:f>
      </x:c>
      <x:c r="AE29" s="25" t="str">
        <x:f>IF($D29="","",IF($E29="",IF(AE$4=$D29,1,""),IF(AND(AE$4&gt;=$D29,AE$4&lt;=$E29),1,"")))</x:f>
      </x:c>
      <x:c r="AF29" s="25" t="n">
        <x:f>IF($D29="","",IF($E29="",IF(AF$4=$D29,1,""),IF(AND(AF$4&gt;=$D29,AF$4&lt;=$E29),1,"")))</x:f>
        <x:v>1</x:v>
      </x:c>
      <x:c r="AG29" s="23" t="str">
        <x:f>IF($D29="","",IF($E29="",IF(AG$4=$D29,1,""),IF(AND(AG$4&gt;=$D29,AG$4&lt;=$E29),1,"")))</x:f>
      </x:c>
      <x:c r="AH29" s="23" t="str">
        <x:f>IF($D29="","",IF($E29="",IF(AH$4=$D29,1,""),IF(AND(AH$4&gt;=$D29,AH$4&lt;=$E29),1,"")))</x:f>
      </x:c>
      <x:c r="AI29" s="23" t="str">
        <x:f>IF($D29="","",IF($E29="",IF(AI$4=$D29,1,""),IF(AND(AI$4&gt;=$D29,AI$4&lt;=$E29),1,"")))</x:f>
      </x:c>
    </x:row>
    <x:row r="30" ht="24" customHeight="1">
      <x:c r="A30" s="13" t="str">
        <x:v>MS-P1-CLOSE-01</x:v>
      </x:c>
      <x:c r="B30" s="13" t="str">
        <x:v>Phase 1 Close</x:v>
      </x:c>
      <x:c r="C30" s="13" t="str">
        <x:v>To Do</x:v>
      </x:c>
      <x:c r="D30" s="19" t="n">
        <x:v>46288</x:v>
      </x:c>
      <x:c r="E30" s="19" t="n">
        <x:v>46288</x:v>
      </x:c>
      <x:c r="F30" s="13" t="str">
        <x:v>이권욱</x:v>
      </x:c>
      <x:c r="G30" s="23" t="str">
        <x:f>IF($D30="","",IF($E30="",IF(G$4=$D30,1,""),IF(AND(G$4&gt;=$D30,G$4&lt;=$E30),1,"")))</x:f>
      </x:c>
      <x:c r="H30" s="23" t="str">
        <x:f>IF($D30="","",IF($E30="",IF(H$4=$D30,1,""),IF(AND(H$4&gt;=$D30,H$4&lt;=$E30),1,"")))</x:f>
      </x:c>
      <x:c r="I30" s="23" t="str">
        <x:f>IF($D30="","",IF($E30="",IF(I$4=$D30,1,""),IF(AND(I$4&gt;=$D30,I$4&lt;=$E30),1,"")))</x:f>
      </x:c>
      <x:c r="J30" s="25" t="str">
        <x:f>IF($D30="","",IF($E30="",IF(J$4=$D30,1,""),IF(AND(J$4&gt;=$D30,J$4&lt;=$E30),1,"")))</x:f>
      </x:c>
      <x:c r="K30" s="25" t="str">
        <x:f>IF($D30="","",IF($E30="",IF(K$4=$D30,1,""),IF(AND(K$4&gt;=$D30,K$4&lt;=$E30),1,"")))</x:f>
      </x:c>
      <x:c r="L30" s="23" t="str">
        <x:f>IF($D30="","",IF($E30="",IF(L$4=$D30,1,""),IF(AND(L$4&gt;=$D30,L$4&lt;=$E30),1,"")))</x:f>
      </x:c>
      <x:c r="M30" s="27" t="str">
        <x:f>IF($D30="","",IF($E30="",IF(M$4=$D30,1,""),IF(AND(M$4&gt;=$D30,M$4&lt;=$E30),1,"")))</x:f>
      </x:c>
      <x:c r="N30" s="23" t="str">
        <x:f>IF($D30="","",IF($E30="",IF(N$4=$D30,1,""),IF(AND(N$4&gt;=$D30,N$4&lt;=$E30),1,"")))</x:f>
      </x:c>
      <x:c r="O30" s="23" t="str">
        <x:f>IF($D30="","",IF($E30="",IF(O$4=$D30,1,""),IF(AND(O$4&gt;=$D30,O$4&lt;=$E30),1,"")))</x:f>
      </x:c>
      <x:c r="P30" s="23" t="str">
        <x:f>IF($D30="","",IF($E30="",IF(P$4=$D30,1,""),IF(AND(P$4&gt;=$D30,P$4&lt;=$E30),1,"")))</x:f>
      </x:c>
      <x:c r="Q30" s="25" t="str">
        <x:f>IF($D30="","",IF($E30="",IF(Q$4=$D30,1,""),IF(AND(Q$4&gt;=$D30,Q$4&lt;=$E30),1,"")))</x:f>
      </x:c>
      <x:c r="R30" s="25" t="str">
        <x:f>IF($D30="","",IF($E30="",IF(R$4=$D30,1,""),IF(AND(R$4&gt;=$D30,R$4&lt;=$E30),1,"")))</x:f>
      </x:c>
      <x:c r="S30" s="23" t="str">
        <x:f>IF($D30="","",IF($E30="",IF(S$4=$D30,1,""),IF(AND(S$4&gt;=$D30,S$4&lt;=$E30),1,"")))</x:f>
      </x:c>
      <x:c r="T30" s="23" t="str">
        <x:f>IF($D30="","",IF($E30="",IF(T$4=$D30,1,""),IF(AND(T$4&gt;=$D30,T$4&lt;=$E30),1,"")))</x:f>
      </x:c>
      <x:c r="U30" s="23" t="str">
        <x:f>IF($D30="","",IF($E30="",IF(U$4=$D30,1,""),IF(AND(U$4&gt;=$D30,U$4&lt;=$E30),1,"")))</x:f>
      </x:c>
      <x:c r="V30" s="23" t="str">
        <x:f>IF($D30="","",IF($E30="",IF(V$4=$D30,1,""),IF(AND(V$4&gt;=$D30,V$4&lt;=$E30),1,"")))</x:f>
      </x:c>
      <x:c r="W30" s="23" t="str">
        <x:f>IF($D30="","",IF($E30="",IF(W$4=$D30,1,""),IF(AND(W$4&gt;=$D30,W$4&lt;=$E30),1,"")))</x:f>
      </x:c>
      <x:c r="X30" s="25" t="str">
        <x:f>IF($D30="","",IF($E30="",IF(X$4=$D30,1,""),IF(AND(X$4&gt;=$D30,X$4&lt;=$E30),1,"")))</x:f>
      </x:c>
      <x:c r="Y30" s="25" t="str">
        <x:f>IF($D30="","",IF($E30="",IF(Y$4=$D30,1,""),IF(AND(Y$4&gt;=$D30,Y$4&lt;=$E30),1,"")))</x:f>
      </x:c>
      <x:c r="Z30" s="23" t="str">
        <x:f>IF($D30="","",IF($E30="",IF(Z$4=$D30,1,""),IF(AND(Z$4&gt;=$D30,Z$4&lt;=$E30),1,"")))</x:f>
      </x:c>
      <x:c r="AA30" s="23" t="str">
        <x:f>IF($D30="","",IF($E30="",IF(AA$4=$D30,1,""),IF(AND(AA$4&gt;=$D30,AA$4&lt;=$E30),1,"")))</x:f>
      </x:c>
      <x:c r="AB30" s="23" t="str">
        <x:f>IF($D30="","",IF($E30="",IF(AB$4=$D30,1,""),IF(AND(AB$4&gt;=$D30,AB$4&lt;=$E30),1,"")))</x:f>
      </x:c>
      <x:c r="AC30" s="23" t="str">
        <x:f>IF($D30="","",IF($E30="",IF(AC$4=$D30,1,""),IF(AND(AC$4&gt;=$D30,AC$4&lt;=$E30),1,"")))</x:f>
      </x:c>
      <x:c r="AD30" s="23" t="str">
        <x:f>IF($D30="","",IF($E30="",IF(AD$4=$D30,1,""),IF(AND(AD$4&gt;=$D30,AD$4&lt;=$E30),1,"")))</x:f>
      </x:c>
      <x:c r="AE30" s="25" t="str">
        <x:f>IF($D30="","",IF($E30="",IF(AE$4=$D30,1,""),IF(AND(AE$4&gt;=$D30,AE$4&lt;=$E30),1,"")))</x:f>
      </x:c>
      <x:c r="AF30" s="25" t="str">
        <x:f>IF($D30="","",IF($E30="",IF(AF$4=$D30,1,""),IF(AND(AF$4&gt;=$D30,AF$4&lt;=$E30),1,"")))</x:f>
      </x:c>
      <x:c r="AG30" s="23" t="str">
        <x:f>IF($D30="","",IF($E30="",IF(AG$4=$D30,1,""),IF(AND(AG$4&gt;=$D30,AG$4&lt;=$E30),1,"")))</x:f>
      </x:c>
      <x:c r="AH30" s="23" t="str">
        <x:f>IF($D30="","",IF($E30="",IF(AH$4=$D30,1,""),IF(AND(AH$4&gt;=$D30,AH$4&lt;=$E30),1,"")))</x:f>
      </x:c>
      <x:c r="AI30" s="23" t="n">
        <x:f>IF($D30="","",IF($E30="",IF(AI$4=$D30,1,""),IF(AND(AI$4&gt;=$D30,AI$4&lt;=$E30),1,"")))</x:f>
        <x:v>1</x:v>
      </x:c>
    </x:row>
  </x:sheetData>
  <x:mergeCells>
    <x:mergeCell ref="A1:AI1"/>
    <x:mergeCell ref="A2:AI2"/>
  </x:mergeCells>
  <x:conditionalFormatting sqref="G5:AI30">
    <x:cfRule type="expression" dxfId="6" priority="1">
      <x:formula>AND(G5=1,$C5="Done")</x:formula>
    </x:cfRule>
    <x:cfRule type="expression" dxfId="7" priority="2">
      <x:formula>AND(G5=1,$C5="In Progress")</x:formula>
    </x:cfRule>
    <x:cfRule type="expression" dxfId="8" priority="3">
      <x:formula>AND(G5=1,$C5="In Review")</x:formula>
    </x:cfRule>
    <x:cfRule type="expression" dxfId="9" priority="4">
      <x:formula>AND(G5=1,$C5="To Do")</x:formula>
    </x:cfRule>
    <x:cfRule type="expression" dxfId="10" priority="5">
      <x:formula>AND(G5=1,$C5="Blocked")</x:formula>
    </x:cfRule>
  </x:conditionalFormatting>
  <x:conditionalFormatting sqref="C5:C30">
    <x:cfRule type="containsText" dxfId="11" priority="6" operator="containsText" text="Done"/>
    <x:cfRule type="containsText" dxfId="12" priority="7" operator="containsText" text="In Progress"/>
    <x:cfRule type="containsText" dxfId="13" priority="8" operator="containsText" text="In Review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3" hidden="0" customWidth="1"/>
    <x:col min="5" max="5" width="13" hidden="0" customWidth="1"/>
    <x:col min="6" max="6" width="14" hidden="0" customWidth="1"/>
    <x:col min="7" max="7" width="5.5" hidden="0" customWidth="1"/>
    <x:col min="8" max="8" width="5.5" hidden="0" customWidth="1"/>
    <x:col min="9" max="9" width="5.5" hidden="0" customWidth="1"/>
    <x:col min="10" max="10" width="5.5" hidden="0" customWidth="1"/>
    <x:col min="11" max="11" width="5.5" hidden="0" customWidth="1"/>
    <x:col min="12" max="12" width="5.5" hidden="0" customWidth="1"/>
    <x:col min="13" max="13" width="5.5" hidden="0" customWidth="1"/>
    <x:col min="14" max="14" width="5.5" hidden="0" customWidth="1"/>
    <x:col min="15" max="15" width="5.5" hidden="0" customWidth="1"/>
    <x:col min="16" max="16" width="5.5" hidden="0" customWidth="1"/>
    <x:col min="17" max="17" width="5.5" hidden="0" customWidth="1"/>
    <x:col min="18" max="18" width="5.5" hidden="0" customWidth="1"/>
    <x:col min="19" max="19" width="5.5" hidden="0" customWidth="1"/>
    <x:col min="20" max="20" width="5.5" hidden="0" customWidth="1"/>
    <x:col min="21" max="21" width="5.5" hidden="0" customWidth="1"/>
    <x:col min="22" max="22" width="5.5" hidden="0" customWidth="1"/>
    <x:col min="23" max="23" width="5.5" hidden="0" customWidth="1"/>
    <x:col min="24" max="24" width="5.5" hidden="0" customWidth="1"/>
    <x:col min="25" max="25" width="5.5" hidden="0" customWidth="1"/>
    <x:col min="26" max="26" width="5.5" hidden="0" customWidth="1"/>
    <x:col min="27" max="27" width="5.5" hidden="0" customWidth="1"/>
    <x:col min="28" max="28" width="5.5" hidden="0" customWidth="1"/>
    <x:col min="29" max="29" width="5.5" hidden="0" customWidth="1"/>
    <x:col min="30" max="30" width="5.5" hidden="0" customWidth="1"/>
    <x:col min="31" max="31" width="5.5" hidden="0" customWidth="1"/>
    <x:col min="32" max="32" width="5.5" hidden="0" customWidth="1"/>
    <x:col min="33" max="33" width="5.5" hidden="0" customWidth="1"/>
    <x:col min="34" max="34" width="5.5" hidden="0" customWidth="1"/>
    <x:col min="35" max="35" width="5.5" hidden="0" customWidth="1"/>
  </x:cols>
  <x:sheetData>
    <x:row r="1" ht="34" customHeight="1">
      <x:c r="A1" s="3" t="str">
        <x:v>FDS v3.1.16 · Phase 2 Gantt</x:v>
      </x:c>
      <x:c r="B1" s="3" t="str">
        <x:v>FDS v3.1.14 · Phase 2 Gantt</x:v>
      </x:c>
      <x:c r="C1" s="3" t="str">
        <x:v>FDS v3.1.14 · Phase 2 Gantt</x:v>
      </x:c>
      <x:c r="D1" s="3" t="str">
        <x:v>FDS v3.1.14 · Phase 2 Gantt</x:v>
      </x:c>
      <x:c r="E1" s="3" t="str">
        <x:v>FDS v3.1.14 · Phase 2 Gantt</x:v>
      </x:c>
      <x:c r="F1" s="3" t="str">
        <x:v>FDS v3.1.14 · Phase 2 Gantt</x:v>
      </x:c>
      <x:c r="G1" s="3" t="str">
        <x:v>FDS v3.1.14 · Phase 2 Gantt</x:v>
      </x:c>
      <x:c r="H1" s="3" t="str">
        <x:v>FDS v3.1.14 · Phase 2 Gantt</x:v>
      </x:c>
      <x:c r="I1" s="3" t="str">
        <x:v>FDS v3.1.14 · Phase 2 Gantt</x:v>
      </x:c>
      <x:c r="J1" s="3" t="str">
        <x:v>FDS v3.1.14 · Phase 2 Gantt</x:v>
      </x:c>
      <x:c r="K1" s="3" t="str">
        <x:v>FDS v3.1.14 · Phase 2 Gantt</x:v>
      </x:c>
      <x:c r="L1" s="3" t="str">
        <x:v>FDS v3.1.14 · Phase 2 Gantt</x:v>
      </x:c>
      <x:c r="M1" s="3" t="str">
        <x:v>FDS v3.1.14 · Phase 2 Gantt</x:v>
      </x:c>
      <x:c r="N1" s="3" t="str">
        <x:v>FDS v3.1.14 · Phase 2 Gantt</x:v>
      </x:c>
      <x:c r="O1" s="3" t="str">
        <x:v>FDS v3.1.14 · Phase 2 Gantt</x:v>
      </x:c>
      <x:c r="P1" s="3" t="str">
        <x:v>FDS v3.1.14 · Phase 2 Gantt</x:v>
      </x:c>
      <x:c r="Q1" s="3" t="str">
        <x:v>FDS v3.1.14 · Phase 2 Gantt</x:v>
      </x:c>
      <x:c r="R1" s="3" t="str">
        <x:v>FDS v3.1.14 · Phase 2 Gantt</x:v>
      </x:c>
      <x:c r="S1" s="3" t="str">
        <x:v>FDS v3.1.14 · Phase 2 Gantt</x:v>
      </x:c>
      <x:c r="T1" s="3" t="str">
        <x:v>FDS v3.1.14 · Phase 2 Gantt</x:v>
      </x:c>
      <x:c r="U1" s="3" t="str">
        <x:v>FDS v3.1.14 · Phase 2 Gantt</x:v>
      </x:c>
      <x:c r="V1" s="3" t="str">
        <x:v>FDS v3.1.14 · Phase 2 Gantt</x:v>
      </x:c>
      <x:c r="W1" s="3" t="str">
        <x:v>FDS v3.1.14 · Phase 2 Gantt</x:v>
      </x:c>
      <x:c r="X1" s="3" t="str">
        <x:v>FDS v3.1.14 · Phase 2 Gantt</x:v>
      </x:c>
      <x:c r="Y1" s="3" t="str">
        <x:v>FDS v3.1.14 · Phase 2 Gantt</x:v>
      </x:c>
      <x:c r="Z1" s="3" t="str">
        <x:v>FDS v3.1.14 · Phase 2 Gantt</x:v>
      </x:c>
      <x:c r="AA1" s="3" t="str">
        <x:v>FDS v3.1.14 · Phase 2 Gantt</x:v>
      </x:c>
      <x:c r="AB1" s="3" t="str">
        <x:v>FDS v3.1.14 · Phase 2 Gantt</x:v>
      </x:c>
      <x:c r="AC1" s="3" t="str">
        <x:v>FDS v3.1.14 · Phase 2 Gantt</x:v>
      </x:c>
      <x:c r="AD1" s="3" t="str">
        <x:v>FDS v3.1.14 · Phase 2 Gantt</x:v>
      </x:c>
      <x:c r="AE1" s="3" t="str">
        <x:v>FDS v3.1.14 · Phase 2 Gantt</x:v>
      </x:c>
      <x:c r="AF1" s="3" t="str">
        <x:v>FDS v3.1.14 · Phase 2 Gantt</x:v>
      </x:c>
      <x:c r="AG1" s="3" t="str">
        <x:v>FDS v3.1.14 · Phase 2 Gantt</x:v>
      </x:c>
      <x:c r="AH1" s="3" t="str">
        <x:v>FDS v3.1.14 · Phase 2 Gantt</x:v>
      </x:c>
      <x:c r="AI1" s="3" t="str">
        <x:v>FDS v3.1.14 · Phase 2 Gantt</x:v>
      </x:c>
    </x:row>
    <x:row r="2">
      <x:c r="A2" s="21" t="str">
        <x:v>Window 2026-09-28 → 2026-10-26 · As of 2026-09-03 · No schedule impact from D36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  <x:c r="P2" s="21"/>
      <x:c r="Q2" s="21"/>
      <x:c r="R2" s="21"/>
      <x:c r="S2" s="21"/>
      <x:c r="T2" s="21"/>
      <x:c r="U2" s="21"/>
      <x:c r="V2" s="21"/>
      <x:c r="W2" s="21"/>
      <x:c r="X2" s="21"/>
      <x:c r="Y2" s="21"/>
      <x:c r="Z2" s="21"/>
      <x:c r="AA2" s="21"/>
      <x:c r="AB2" s="21"/>
      <x:c r="AC2" s="21"/>
      <x:c r="AD2" s="21"/>
      <x:c r="AE2" s="21"/>
      <x:c r="AF2" s="21"/>
      <x:c r="AG2" s="21"/>
      <x:c r="AH2" s="21"/>
      <x:c r="AI2" s="21"/>
    </x:row>
    <x:row r="4">
      <x:c r="A4" s="9" t="str">
        <x:v>WBS ID</x:v>
      </x:c>
      <x:c r="B4" s="9" t="str">
        <x:v>Work Item</x:v>
      </x:c>
      <x:c r="C4" s="9" t="str">
        <x:v>Status</x:v>
      </x:c>
      <x:c r="D4" s="9" t="str">
        <x:v>Start</x:v>
      </x:c>
      <x:c r="E4" s="9" t="str">
        <x:v>End</x:v>
      </x:c>
      <x:c r="F4" s="9" t="str">
        <x:v>Lead</x:v>
      </x:c>
      <x:c r="G4" s="22" t="n">
        <x:v>46293</x:v>
      </x:c>
      <x:c r="H4" s="22" t="n">
        <x:v>46294</x:v>
      </x:c>
      <x:c r="I4" s="22" t="n">
        <x:v>46295</x:v>
      </x:c>
      <x:c r="J4" s="22" t="n">
        <x:v>46296</x:v>
      </x:c>
      <x:c r="K4" s="22" t="n">
        <x:v>46297</x:v>
      </x:c>
      <x:c r="L4" s="24" t="n">
        <x:v>46298</x:v>
      </x:c>
      <x:c r="M4" s="24" t="n">
        <x:v>46299</x:v>
      </x:c>
      <x:c r="N4" s="22" t="n">
        <x:v>46300</x:v>
      </x:c>
      <x:c r="O4" s="22" t="n">
        <x:v>46301</x:v>
      </x:c>
      <x:c r="P4" s="22" t="n">
        <x:v>46302</x:v>
      </x:c>
      <x:c r="Q4" s="22" t="n">
        <x:v>46303</x:v>
      </x:c>
      <x:c r="R4" s="22" t="n">
        <x:v>46304</x:v>
      </x:c>
      <x:c r="S4" s="24" t="n">
        <x:v>46305</x:v>
      </x:c>
      <x:c r="T4" s="24" t="n">
        <x:v>46306</x:v>
      </x:c>
      <x:c r="U4" s="22" t="n">
        <x:v>46307</x:v>
      </x:c>
      <x:c r="V4" s="22" t="n">
        <x:v>46308</x:v>
      </x:c>
      <x:c r="W4" s="22" t="n">
        <x:v>46309</x:v>
      </x:c>
      <x:c r="X4" s="22" t="n">
        <x:v>46310</x:v>
      </x:c>
      <x:c r="Y4" s="22" t="n">
        <x:v>46311</x:v>
      </x:c>
      <x:c r="Z4" s="24" t="n">
        <x:v>46312</x:v>
      </x:c>
      <x:c r="AA4" s="24" t="n">
        <x:v>46313</x:v>
      </x:c>
      <x:c r="AB4" s="22" t="n">
        <x:v>46314</x:v>
      </x:c>
      <x:c r="AC4" s="22" t="n">
        <x:v>46315</x:v>
      </x:c>
      <x:c r="AD4" s="22" t="n">
        <x:v>46316</x:v>
      </x:c>
      <x:c r="AE4" s="22" t="n">
        <x:v>46317</x:v>
      </x:c>
      <x:c r="AF4" s="22" t="n">
        <x:v>46318</x:v>
      </x:c>
      <x:c r="AG4" s="24" t="n">
        <x:v>46319</x:v>
      </x:c>
      <x:c r="AH4" s="24" t="n">
        <x:v>46320</x:v>
      </x:c>
      <x:c r="AI4" s="22" t="n">
        <x:v>46321</x:v>
      </x:c>
    </x:row>
    <x:row r="5" ht="24" customHeight="1">
      <x:c r="A5" s="13" t="str">
        <x:v>MS-P2-START-01</x:v>
      </x:c>
      <x:c r="B5" s="13" t="str">
        <x:v>Phase 2 Start</x:v>
      </x:c>
      <x:c r="C5" s="13" t="str">
        <x:v>To Do</x:v>
      </x:c>
      <x:c r="D5" s="19" t="n">
        <x:v>46293</x:v>
      </x:c>
      <x:c r="E5" s="19" t="n">
        <x:v>46293</x:v>
      </x:c>
      <x:c r="F5" s="13" t="str">
        <x:v>이권욱</x:v>
      </x:c>
      <x:c r="G5" s="23" t="n">
        <x:f>IF($D5="","",IF($E5="",IF(G$4=$D5,1,""),IF(AND(G$4&gt;=$D5,G$4&lt;=$E5),1,"")))</x:f>
        <x:v>1</x:v>
      </x:c>
      <x:c r="H5" s="23" t="str">
        <x:f>IF($D5="","",IF($E5="",IF(H$4=$D5,1,""),IF(AND(H$4&gt;=$D5,H$4&lt;=$E5),1,"")))</x:f>
      </x:c>
      <x:c r="I5" s="23" t="str">
        <x:f>IF($D5="","",IF($E5="",IF(I$4=$D5,1,""),IF(AND(I$4&gt;=$D5,I$4&lt;=$E5),1,"")))</x:f>
      </x:c>
      <x:c r="J5" s="23" t="str">
        <x:f>IF($D5="","",IF($E5="",IF(J$4=$D5,1,""),IF(AND(J$4&gt;=$D5,J$4&lt;=$E5),1,"")))</x:f>
      </x:c>
      <x:c r="K5" s="23" t="str">
        <x:f>IF($D5="","",IF($E5="",IF(K$4=$D5,1,""),IF(AND(K$4&gt;=$D5,K$4&lt;=$E5),1,"")))</x:f>
      </x:c>
      <x:c r="L5" s="25" t="str">
        <x:f>IF($D5="","",IF($E5="",IF(L$4=$D5,1,""),IF(AND(L$4&gt;=$D5,L$4&lt;=$E5),1,"")))</x:f>
      </x:c>
      <x:c r="M5" s="25" t="str">
        <x:f>IF($D5="","",IF($E5="",IF(M$4=$D5,1,""),IF(AND(M$4&gt;=$D5,M$4&lt;=$E5),1,"")))</x:f>
      </x:c>
      <x:c r="N5" s="23" t="str">
        <x:f>IF($D5="","",IF($E5="",IF(N$4=$D5,1,""),IF(AND(N$4&gt;=$D5,N$4&lt;=$E5),1,"")))</x:f>
      </x:c>
      <x:c r="O5" s="23" t="str">
        <x:f>IF($D5="","",IF($E5="",IF(O$4=$D5,1,""),IF(AND(O$4&gt;=$D5,O$4&lt;=$E5),1,"")))</x:f>
      </x:c>
      <x:c r="P5" s="23" t="str">
        <x:f>IF($D5="","",IF($E5="",IF(P$4=$D5,1,""),IF(AND(P$4&gt;=$D5,P$4&lt;=$E5),1,"")))</x:f>
      </x:c>
      <x:c r="Q5" s="23" t="str">
        <x:f>IF($D5="","",IF($E5="",IF(Q$4=$D5,1,""),IF(AND(Q$4&gt;=$D5,Q$4&lt;=$E5),1,"")))</x:f>
      </x:c>
      <x:c r="R5" s="23" t="str">
        <x:f>IF($D5="","",IF($E5="",IF(R$4=$D5,1,""),IF(AND(R$4&gt;=$D5,R$4&lt;=$E5),1,"")))</x:f>
      </x:c>
      <x:c r="S5" s="25" t="str">
        <x:f>IF($D5="","",IF($E5="",IF(S$4=$D5,1,""),IF(AND(S$4&gt;=$D5,S$4&lt;=$E5),1,"")))</x:f>
      </x:c>
      <x:c r="T5" s="25" t="str">
        <x:f>IF($D5="","",IF($E5="",IF(T$4=$D5,1,""),IF(AND(T$4&gt;=$D5,T$4&lt;=$E5),1,"")))</x:f>
      </x:c>
      <x:c r="U5" s="23" t="str">
        <x:f>IF($D5="","",IF($E5="",IF(U$4=$D5,1,""),IF(AND(U$4&gt;=$D5,U$4&lt;=$E5),1,"")))</x:f>
      </x:c>
      <x:c r="V5" s="23" t="str">
        <x:f>IF($D5="","",IF($E5="",IF(V$4=$D5,1,""),IF(AND(V$4&gt;=$D5,V$4&lt;=$E5),1,"")))</x:f>
      </x:c>
      <x:c r="W5" s="23" t="str">
        <x:f>IF($D5="","",IF($E5="",IF(W$4=$D5,1,""),IF(AND(W$4&gt;=$D5,W$4&lt;=$E5),1,"")))</x:f>
      </x:c>
      <x:c r="X5" s="23" t="str">
        <x:f>IF($D5="","",IF($E5="",IF(X$4=$D5,1,""),IF(AND(X$4&gt;=$D5,X$4&lt;=$E5),1,"")))</x:f>
      </x:c>
      <x:c r="Y5" s="23" t="str">
        <x:f>IF($D5="","",IF($E5="",IF(Y$4=$D5,1,""),IF(AND(Y$4&gt;=$D5,Y$4&lt;=$E5),1,"")))</x:f>
      </x:c>
      <x:c r="Z5" s="25" t="str">
        <x:f>IF($D5="","",IF($E5="",IF(Z$4=$D5,1,""),IF(AND(Z$4&gt;=$D5,Z$4&lt;=$E5),1,"")))</x:f>
      </x:c>
      <x:c r="AA5" s="25" t="str">
        <x:f>IF($D5="","",IF($E5="",IF(AA$4=$D5,1,""),IF(AND(AA$4&gt;=$D5,AA$4&lt;=$E5),1,"")))</x:f>
      </x:c>
      <x:c r="AB5" s="23" t="str">
        <x:f>IF($D5="","",IF($E5="",IF(AB$4=$D5,1,""),IF(AND(AB$4&gt;=$D5,AB$4&lt;=$E5),1,"")))</x:f>
      </x:c>
      <x:c r="AC5" s="23" t="str">
        <x:f>IF($D5="","",IF($E5="",IF(AC$4=$D5,1,""),IF(AND(AC$4&gt;=$D5,AC$4&lt;=$E5),1,"")))</x:f>
      </x:c>
      <x:c r="AD5" s="23" t="str">
        <x:f>IF($D5="","",IF($E5="",IF(AD$4=$D5,1,""),IF(AND(AD$4&gt;=$D5,AD$4&lt;=$E5),1,"")))</x:f>
      </x:c>
      <x:c r="AE5" s="23" t="str">
        <x:f>IF($D5="","",IF($E5="",IF(AE$4=$D5,1,""),IF(AND(AE$4&gt;=$D5,AE$4&lt;=$E5),1,"")))</x:f>
      </x:c>
      <x:c r="AF5" s="23" t="str">
        <x:f>IF($D5="","",IF($E5="",IF(AF$4=$D5,1,""),IF(AND(AF$4&gt;=$D5,AF$4&lt;=$E5),1,"")))</x:f>
      </x:c>
      <x:c r="AG5" s="25" t="str">
        <x:f>IF($D5="","",IF($E5="",IF(AG$4=$D5,1,""),IF(AND(AG$4&gt;=$D5,AG$4&lt;=$E5),1,"")))</x:f>
      </x:c>
      <x:c r="AH5" s="25" t="str">
        <x:f>IF($D5="","",IF($E5="",IF(AH$4=$D5,1,""),IF(AND(AH$4&gt;=$D5,AH$4&lt;=$E5),1,"")))</x:f>
      </x:c>
      <x:c r="AI5" s="23" t="str">
        <x:f>IF($D5="","",IF($E5="",IF(AI$4=$D5,1,""),IF(AND(AI$4&gt;=$D5,AI$4&lt;=$E5),1,"")))</x:f>
      </x:c>
    </x:row>
    <x:row r="6" ht="24" customHeight="1">
      <x:c r="A6" s="13" t="str">
        <x:v>P2-ARC-01</x:v>
      </x:c>
      <x:c r="B6" s="13" t="str">
        <x:v>Hybrid / OCI / AWS / ROSA Architecture Freeze</x:v>
      </x:c>
      <x:c r="C6" s="13" t="str">
        <x:v>To Do</x:v>
      </x:c>
      <x:c r="D6" s="19" t="n">
        <x:v>46293</x:v>
      </x:c>
      <x:c r="E6" s="19" t="n">
        <x:v>46293</x:v>
      </x:c>
      <x:c r="F6" s="13" t="str">
        <x:v>이권욱</x:v>
      </x:c>
      <x:c r="G6" s="23" t="n">
        <x:f>IF($D6="","",IF($E6="",IF(G$4=$D6,1,""),IF(AND(G$4&gt;=$D6,G$4&lt;=$E6),1,"")))</x:f>
        <x:v>1</x:v>
      </x:c>
      <x:c r="H6" s="23" t="str">
        <x:f>IF($D6="","",IF($E6="",IF(H$4=$D6,1,""),IF(AND(H$4&gt;=$D6,H$4&lt;=$E6),1,"")))</x:f>
      </x:c>
      <x:c r="I6" s="23" t="str">
        <x:f>IF($D6="","",IF($E6="",IF(I$4=$D6,1,""),IF(AND(I$4&gt;=$D6,I$4&lt;=$E6),1,"")))</x:f>
      </x:c>
      <x:c r="J6" s="23" t="str">
        <x:f>IF($D6="","",IF($E6="",IF(J$4=$D6,1,""),IF(AND(J$4&gt;=$D6,J$4&lt;=$E6),1,"")))</x:f>
      </x:c>
      <x:c r="K6" s="23" t="str">
        <x:f>IF($D6="","",IF($E6="",IF(K$4=$D6,1,""),IF(AND(K$4&gt;=$D6,K$4&lt;=$E6),1,"")))</x:f>
      </x:c>
      <x:c r="L6" s="25" t="str">
        <x:f>IF($D6="","",IF($E6="",IF(L$4=$D6,1,""),IF(AND(L$4&gt;=$D6,L$4&lt;=$E6),1,"")))</x:f>
      </x:c>
      <x:c r="M6" s="25" t="str">
        <x:f>IF($D6="","",IF($E6="",IF(M$4=$D6,1,""),IF(AND(M$4&gt;=$D6,M$4&lt;=$E6),1,"")))</x:f>
      </x:c>
      <x:c r="N6" s="23" t="str">
        <x:f>IF($D6="","",IF($E6="",IF(N$4=$D6,1,""),IF(AND(N$4&gt;=$D6,N$4&lt;=$E6),1,"")))</x:f>
      </x:c>
      <x:c r="O6" s="23" t="str">
        <x:f>IF($D6="","",IF($E6="",IF(O$4=$D6,1,""),IF(AND(O$4&gt;=$D6,O$4&lt;=$E6),1,"")))</x:f>
      </x:c>
      <x:c r="P6" s="23" t="str">
        <x:f>IF($D6="","",IF($E6="",IF(P$4=$D6,1,""),IF(AND(P$4&gt;=$D6,P$4&lt;=$E6),1,"")))</x:f>
      </x:c>
      <x:c r="Q6" s="23" t="str">
        <x:f>IF($D6="","",IF($E6="",IF(Q$4=$D6,1,""),IF(AND(Q$4&gt;=$D6,Q$4&lt;=$E6),1,"")))</x:f>
      </x:c>
      <x:c r="R6" s="23" t="str">
        <x:f>IF($D6="","",IF($E6="",IF(R$4=$D6,1,""),IF(AND(R$4&gt;=$D6,R$4&lt;=$E6),1,"")))</x:f>
      </x:c>
      <x:c r="S6" s="25" t="str">
        <x:f>IF($D6="","",IF($E6="",IF(S$4=$D6,1,""),IF(AND(S$4&gt;=$D6,S$4&lt;=$E6),1,"")))</x:f>
      </x:c>
      <x:c r="T6" s="25" t="str">
        <x:f>IF($D6="","",IF($E6="",IF(T$4=$D6,1,""),IF(AND(T$4&gt;=$D6,T$4&lt;=$E6),1,"")))</x:f>
      </x:c>
      <x:c r="U6" s="23" t="str">
        <x:f>IF($D6="","",IF($E6="",IF(U$4=$D6,1,""),IF(AND(U$4&gt;=$D6,U$4&lt;=$E6),1,"")))</x:f>
      </x:c>
      <x:c r="V6" s="23" t="str">
        <x:f>IF($D6="","",IF($E6="",IF(V$4=$D6,1,""),IF(AND(V$4&gt;=$D6,V$4&lt;=$E6),1,"")))</x:f>
      </x:c>
      <x:c r="W6" s="23" t="str">
        <x:f>IF($D6="","",IF($E6="",IF(W$4=$D6,1,""),IF(AND(W$4&gt;=$D6,W$4&lt;=$E6),1,"")))</x:f>
      </x:c>
      <x:c r="X6" s="23" t="str">
        <x:f>IF($D6="","",IF($E6="",IF(X$4=$D6,1,""),IF(AND(X$4&gt;=$D6,X$4&lt;=$E6),1,"")))</x:f>
      </x:c>
      <x:c r="Y6" s="23" t="str">
        <x:f>IF($D6="","",IF($E6="",IF(Y$4=$D6,1,""),IF(AND(Y$4&gt;=$D6,Y$4&lt;=$E6),1,"")))</x:f>
      </x:c>
      <x:c r="Z6" s="25" t="str">
        <x:f>IF($D6="","",IF($E6="",IF(Z$4=$D6,1,""),IF(AND(Z$4&gt;=$D6,Z$4&lt;=$E6),1,"")))</x:f>
      </x:c>
      <x:c r="AA6" s="25" t="str">
        <x:f>IF($D6="","",IF($E6="",IF(AA$4=$D6,1,""),IF(AND(AA$4&gt;=$D6,AA$4&lt;=$E6),1,"")))</x:f>
      </x:c>
      <x:c r="AB6" s="23" t="str">
        <x:f>IF($D6="","",IF($E6="",IF(AB$4=$D6,1,""),IF(AND(AB$4&gt;=$D6,AB$4&lt;=$E6),1,"")))</x:f>
      </x:c>
      <x:c r="AC6" s="23" t="str">
        <x:f>IF($D6="","",IF($E6="",IF(AC$4=$D6,1,""),IF(AND(AC$4&gt;=$D6,AC$4&lt;=$E6),1,"")))</x:f>
      </x:c>
      <x:c r="AD6" s="23" t="str">
        <x:f>IF($D6="","",IF($E6="",IF(AD$4=$D6,1,""),IF(AND(AD$4&gt;=$D6,AD$4&lt;=$E6),1,"")))</x:f>
      </x:c>
      <x:c r="AE6" s="23" t="str">
        <x:f>IF($D6="","",IF($E6="",IF(AE$4=$D6,1,""),IF(AND(AE$4&gt;=$D6,AE$4&lt;=$E6),1,"")))</x:f>
      </x:c>
      <x:c r="AF6" s="23" t="str">
        <x:f>IF($D6="","",IF($E6="",IF(AF$4=$D6,1,""),IF(AND(AF$4&gt;=$D6,AF$4&lt;=$E6),1,"")))</x:f>
      </x:c>
      <x:c r="AG6" s="25" t="str">
        <x:f>IF($D6="","",IF($E6="",IF(AG$4=$D6,1,""),IF(AND(AG$4&gt;=$D6,AG$4&lt;=$E6),1,"")))</x:f>
      </x:c>
      <x:c r="AH6" s="25" t="str">
        <x:f>IF($D6="","",IF($E6="",IF(AH$4=$D6,1,""),IF(AND(AH$4&gt;=$D6,AH$4&lt;=$E6),1,"")))</x:f>
      </x:c>
      <x:c r="AI6" s="23" t="str">
        <x:f>IF($D6="","",IF($E6="",IF(AI$4=$D6,1,""),IF(AND(AI$4&gt;=$D6,AI$4&lt;=$E6),1,"")))</x:f>
      </x:c>
    </x:row>
    <x:row r="7" ht="24" customHeight="1">
      <x:c r="A7" s="13" t="str">
        <x:v>P2-IAC-01</x:v>
      </x:c>
      <x:c r="B7" s="13" t="str">
        <x:v>AWS / ROSA Terraform IaC</x:v>
      </x:c>
      <x:c r="C7" s="13" t="str">
        <x:v>To Do</x:v>
      </x:c>
      <x:c r="D7" s="19" t="n">
        <x:v>46293</x:v>
      </x:c>
      <x:c r="E7" s="19" t="n">
        <x:v>46303</x:v>
      </x:c>
      <x:c r="F7" s="13" t="str">
        <x:v>이권욱</x:v>
      </x:c>
      <x:c r="G7" s="23" t="n">
        <x:f>IF($D7="","",IF($E7="",IF(G$4=$D7,1,""),IF(AND(G$4&gt;=$D7,G$4&lt;=$E7),1,"")))</x:f>
        <x:v>1</x:v>
      </x:c>
      <x:c r="H7" s="23" t="n">
        <x:f>IF($D7="","",IF($E7="",IF(H$4=$D7,1,""),IF(AND(H$4&gt;=$D7,H$4&lt;=$E7),1,"")))</x:f>
        <x:v>1</x:v>
      </x:c>
      <x:c r="I7" s="23" t="n">
        <x:f>IF($D7="","",IF($E7="",IF(I$4=$D7,1,""),IF(AND(I$4&gt;=$D7,I$4&lt;=$E7),1,"")))</x:f>
        <x:v>1</x:v>
      </x:c>
      <x:c r="J7" s="23" t="n">
        <x:f>IF($D7="","",IF($E7="",IF(J$4=$D7,1,""),IF(AND(J$4&gt;=$D7,J$4&lt;=$E7),1,"")))</x:f>
        <x:v>1</x:v>
      </x:c>
      <x:c r="K7" s="23" t="n">
        <x:f>IF($D7="","",IF($E7="",IF(K$4=$D7,1,""),IF(AND(K$4&gt;=$D7,K$4&lt;=$E7),1,"")))</x:f>
        <x:v>1</x:v>
      </x:c>
      <x:c r="L7" s="25" t="n">
        <x:f>IF($D7="","",IF($E7="",IF(L$4=$D7,1,""),IF(AND(L$4&gt;=$D7,L$4&lt;=$E7),1,"")))</x:f>
        <x:v>1</x:v>
      </x:c>
      <x:c r="M7" s="25" t="n">
        <x:f>IF($D7="","",IF($E7="",IF(M$4=$D7,1,""),IF(AND(M$4&gt;=$D7,M$4&lt;=$E7),1,"")))</x:f>
        <x:v>1</x:v>
      </x:c>
      <x:c r="N7" s="23" t="n">
        <x:f>IF($D7="","",IF($E7="",IF(N$4=$D7,1,""),IF(AND(N$4&gt;=$D7,N$4&lt;=$E7),1,"")))</x:f>
        <x:v>1</x:v>
      </x:c>
      <x:c r="O7" s="23" t="n">
        <x:f>IF($D7="","",IF($E7="",IF(O$4=$D7,1,""),IF(AND(O$4&gt;=$D7,O$4&lt;=$E7),1,"")))</x:f>
        <x:v>1</x:v>
      </x:c>
      <x:c r="P7" s="23" t="n">
        <x:f>IF($D7="","",IF($E7="",IF(P$4=$D7,1,""),IF(AND(P$4&gt;=$D7,P$4&lt;=$E7),1,"")))</x:f>
        <x:v>1</x:v>
      </x:c>
      <x:c r="Q7" s="23" t="n">
        <x:f>IF($D7="","",IF($E7="",IF(Q$4=$D7,1,""),IF(AND(Q$4&gt;=$D7,Q$4&lt;=$E7),1,"")))</x:f>
        <x:v>1</x:v>
      </x:c>
      <x:c r="R7" s="23" t="str">
        <x:f>IF($D7="","",IF($E7="",IF(R$4=$D7,1,""),IF(AND(R$4&gt;=$D7,R$4&lt;=$E7),1,"")))</x:f>
      </x:c>
      <x:c r="S7" s="25" t="str">
        <x:f>IF($D7="","",IF($E7="",IF(S$4=$D7,1,""),IF(AND(S$4&gt;=$D7,S$4&lt;=$E7),1,"")))</x:f>
      </x:c>
      <x:c r="T7" s="25" t="str">
        <x:f>IF($D7="","",IF($E7="",IF(T$4=$D7,1,""),IF(AND(T$4&gt;=$D7,T$4&lt;=$E7),1,"")))</x:f>
      </x:c>
      <x:c r="U7" s="23" t="str">
        <x:f>IF($D7="","",IF($E7="",IF(U$4=$D7,1,""),IF(AND(U$4&gt;=$D7,U$4&lt;=$E7),1,"")))</x:f>
      </x:c>
      <x:c r="V7" s="23" t="str">
        <x:f>IF($D7="","",IF($E7="",IF(V$4=$D7,1,""),IF(AND(V$4&gt;=$D7,V$4&lt;=$E7),1,"")))</x:f>
      </x:c>
      <x:c r="W7" s="23" t="str">
        <x:f>IF($D7="","",IF($E7="",IF(W$4=$D7,1,""),IF(AND(W$4&gt;=$D7,W$4&lt;=$E7),1,"")))</x:f>
      </x:c>
      <x:c r="X7" s="23" t="str">
        <x:f>IF($D7="","",IF($E7="",IF(X$4=$D7,1,""),IF(AND(X$4&gt;=$D7,X$4&lt;=$E7),1,"")))</x:f>
      </x:c>
      <x:c r="Y7" s="23" t="str">
        <x:f>IF($D7="","",IF($E7="",IF(Y$4=$D7,1,""),IF(AND(Y$4&gt;=$D7,Y$4&lt;=$E7),1,"")))</x:f>
      </x:c>
      <x:c r="Z7" s="25" t="str">
        <x:f>IF($D7="","",IF($E7="",IF(Z$4=$D7,1,""),IF(AND(Z$4&gt;=$D7,Z$4&lt;=$E7),1,"")))</x:f>
      </x:c>
      <x:c r="AA7" s="25" t="str">
        <x:f>IF($D7="","",IF($E7="",IF(AA$4=$D7,1,""),IF(AND(AA$4&gt;=$D7,AA$4&lt;=$E7),1,"")))</x:f>
      </x:c>
      <x:c r="AB7" s="23" t="str">
        <x:f>IF($D7="","",IF($E7="",IF(AB$4=$D7,1,""),IF(AND(AB$4&gt;=$D7,AB$4&lt;=$E7),1,"")))</x:f>
      </x:c>
      <x:c r="AC7" s="23" t="str">
        <x:f>IF($D7="","",IF($E7="",IF(AC$4=$D7,1,""),IF(AND(AC$4&gt;=$D7,AC$4&lt;=$E7),1,"")))</x:f>
      </x:c>
      <x:c r="AD7" s="23" t="str">
        <x:f>IF($D7="","",IF($E7="",IF(AD$4=$D7,1,""),IF(AND(AD$4&gt;=$D7,AD$4&lt;=$E7),1,"")))</x:f>
      </x:c>
      <x:c r="AE7" s="23" t="str">
        <x:f>IF($D7="","",IF($E7="",IF(AE$4=$D7,1,""),IF(AND(AE$4&gt;=$D7,AE$4&lt;=$E7),1,"")))</x:f>
      </x:c>
      <x:c r="AF7" s="23" t="str">
        <x:f>IF($D7="","",IF($E7="",IF(AF$4=$D7,1,""),IF(AND(AF$4&gt;=$D7,AF$4&lt;=$E7),1,"")))</x:f>
      </x:c>
      <x:c r="AG7" s="25" t="str">
        <x:f>IF($D7="","",IF($E7="",IF(AG$4=$D7,1,""),IF(AND(AG$4&gt;=$D7,AG$4&lt;=$E7),1,"")))</x:f>
      </x:c>
      <x:c r="AH7" s="25" t="str">
        <x:f>IF($D7="","",IF($E7="",IF(AH$4=$D7,1,""),IF(AND(AH$4&gt;=$D7,AH$4&lt;=$E7),1,"")))</x:f>
      </x:c>
      <x:c r="AI7" s="23" t="str">
        <x:f>IF($D7="","",IF($E7="",IF(AI$4=$D7,1,""),IF(AND(AI$4&gt;=$D7,AI$4&lt;=$E7),1,"")))</x:f>
      </x:c>
    </x:row>
    <x:row r="8" ht="24" customHeight="1">
      <x:c r="A8" s="13" t="str">
        <x:v>P2-OCI-01</x:v>
      </x:c>
      <x:c r="B8" s="13" t="str">
        <x:v>OCI Relay Go / No-Go</x:v>
      </x:c>
      <x:c r="C8" s="13" t="str">
        <x:v>To Do</x:v>
      </x:c>
      <x:c r="D8" s="19" t="n">
        <x:v>46293</x:v>
      </x:c>
      <x:c r="E8" s="19" t="n">
        <x:v>46297</x:v>
      </x:c>
      <x:c r="F8" s="13" t="str">
        <x:v>이권욱</x:v>
      </x:c>
      <x:c r="G8" s="23" t="n">
        <x:f>IF($D8="","",IF($E8="",IF(G$4=$D8,1,""),IF(AND(G$4&gt;=$D8,G$4&lt;=$E8),1,"")))</x:f>
        <x:v>1</x:v>
      </x:c>
      <x:c r="H8" s="23" t="n">
        <x:f>IF($D8="","",IF($E8="",IF(H$4=$D8,1,""),IF(AND(H$4&gt;=$D8,H$4&lt;=$E8),1,"")))</x:f>
        <x:v>1</x:v>
      </x:c>
      <x:c r="I8" s="23" t="n">
        <x:f>IF($D8="","",IF($E8="",IF(I$4=$D8,1,""),IF(AND(I$4&gt;=$D8,I$4&lt;=$E8),1,"")))</x:f>
        <x:v>1</x:v>
      </x:c>
      <x:c r="J8" s="23" t="n">
        <x:f>IF($D8="","",IF($E8="",IF(J$4=$D8,1,""),IF(AND(J$4&gt;=$D8,J$4&lt;=$E8),1,"")))</x:f>
        <x:v>1</x:v>
      </x:c>
      <x:c r="K8" s="23" t="n">
        <x:f>IF($D8="","",IF($E8="",IF(K$4=$D8,1,""),IF(AND(K$4&gt;=$D8,K$4&lt;=$E8),1,"")))</x:f>
        <x:v>1</x:v>
      </x:c>
      <x:c r="L8" s="25" t="str">
        <x:f>IF($D8="","",IF($E8="",IF(L$4=$D8,1,""),IF(AND(L$4&gt;=$D8,L$4&lt;=$E8),1,"")))</x:f>
      </x:c>
      <x:c r="M8" s="25" t="str">
        <x:f>IF($D8="","",IF($E8="",IF(M$4=$D8,1,""),IF(AND(M$4&gt;=$D8,M$4&lt;=$E8),1,"")))</x:f>
      </x:c>
      <x:c r="N8" s="23" t="str">
        <x:f>IF($D8="","",IF($E8="",IF(N$4=$D8,1,""),IF(AND(N$4&gt;=$D8,N$4&lt;=$E8),1,"")))</x:f>
      </x:c>
      <x:c r="O8" s="23" t="str">
        <x:f>IF($D8="","",IF($E8="",IF(O$4=$D8,1,""),IF(AND(O$4&gt;=$D8,O$4&lt;=$E8),1,"")))</x:f>
      </x:c>
      <x:c r="P8" s="23" t="str">
        <x:f>IF($D8="","",IF($E8="",IF(P$4=$D8,1,""),IF(AND(P$4&gt;=$D8,P$4&lt;=$E8),1,"")))</x:f>
      </x:c>
      <x:c r="Q8" s="23" t="str">
        <x:f>IF($D8="","",IF($E8="",IF(Q$4=$D8,1,""),IF(AND(Q$4&gt;=$D8,Q$4&lt;=$E8),1,"")))</x:f>
      </x:c>
      <x:c r="R8" s="23" t="str">
        <x:f>IF($D8="","",IF($E8="",IF(R$4=$D8,1,""),IF(AND(R$4&gt;=$D8,R$4&lt;=$E8),1,"")))</x:f>
      </x:c>
      <x:c r="S8" s="25" t="str">
        <x:f>IF($D8="","",IF($E8="",IF(S$4=$D8,1,""),IF(AND(S$4&gt;=$D8,S$4&lt;=$E8),1,"")))</x:f>
      </x:c>
      <x:c r="T8" s="25" t="str">
        <x:f>IF($D8="","",IF($E8="",IF(T$4=$D8,1,""),IF(AND(T$4&gt;=$D8,T$4&lt;=$E8),1,"")))</x:f>
      </x:c>
      <x:c r="U8" s="23" t="str">
        <x:f>IF($D8="","",IF($E8="",IF(U$4=$D8,1,""),IF(AND(U$4&gt;=$D8,U$4&lt;=$E8),1,"")))</x:f>
      </x:c>
      <x:c r="V8" s="23" t="str">
        <x:f>IF($D8="","",IF($E8="",IF(V$4=$D8,1,""),IF(AND(V$4&gt;=$D8,V$4&lt;=$E8),1,"")))</x:f>
      </x:c>
      <x:c r="W8" s="23" t="str">
        <x:f>IF($D8="","",IF($E8="",IF(W$4=$D8,1,""),IF(AND(W$4&gt;=$D8,W$4&lt;=$E8),1,"")))</x:f>
      </x:c>
      <x:c r="X8" s="23" t="str">
        <x:f>IF($D8="","",IF($E8="",IF(X$4=$D8,1,""),IF(AND(X$4&gt;=$D8,X$4&lt;=$E8),1,"")))</x:f>
      </x:c>
      <x:c r="Y8" s="23" t="str">
        <x:f>IF($D8="","",IF($E8="",IF(Y$4=$D8,1,""),IF(AND(Y$4&gt;=$D8,Y$4&lt;=$E8),1,"")))</x:f>
      </x:c>
      <x:c r="Z8" s="25" t="str">
        <x:f>IF($D8="","",IF($E8="",IF(Z$4=$D8,1,""),IF(AND(Z$4&gt;=$D8,Z$4&lt;=$E8),1,"")))</x:f>
      </x:c>
      <x:c r="AA8" s="25" t="str">
        <x:f>IF($D8="","",IF($E8="",IF(AA$4=$D8,1,""),IF(AND(AA$4&gt;=$D8,AA$4&lt;=$E8),1,"")))</x:f>
      </x:c>
      <x:c r="AB8" s="23" t="str">
        <x:f>IF($D8="","",IF($E8="",IF(AB$4=$D8,1,""),IF(AND(AB$4&gt;=$D8,AB$4&lt;=$E8),1,"")))</x:f>
      </x:c>
      <x:c r="AC8" s="23" t="str">
        <x:f>IF($D8="","",IF($E8="",IF(AC$4=$D8,1,""),IF(AND(AC$4&gt;=$D8,AC$4&lt;=$E8),1,"")))</x:f>
      </x:c>
      <x:c r="AD8" s="23" t="str">
        <x:f>IF($D8="","",IF($E8="",IF(AD$4=$D8,1,""),IF(AND(AD$4&gt;=$D8,AD$4&lt;=$E8),1,"")))</x:f>
      </x:c>
      <x:c r="AE8" s="23" t="str">
        <x:f>IF($D8="","",IF($E8="",IF(AE$4=$D8,1,""),IF(AND(AE$4&gt;=$D8,AE$4&lt;=$E8),1,"")))</x:f>
      </x:c>
      <x:c r="AF8" s="23" t="str">
        <x:f>IF($D8="","",IF($E8="",IF(AF$4=$D8,1,""),IF(AND(AF$4&gt;=$D8,AF$4&lt;=$E8),1,"")))</x:f>
      </x:c>
      <x:c r="AG8" s="25" t="str">
        <x:f>IF($D8="","",IF($E8="",IF(AG$4=$D8,1,""),IF(AND(AG$4&gt;=$D8,AG$4&lt;=$E8),1,"")))</x:f>
      </x:c>
      <x:c r="AH8" s="25" t="str">
        <x:f>IF($D8="","",IF($E8="",IF(AH$4=$D8,1,""),IF(AND(AH$4&gt;=$D8,AH$4&lt;=$E8),1,"")))</x:f>
      </x:c>
      <x:c r="AI8" s="23" t="str">
        <x:f>IF($D8="","",IF($E8="",IF(AI$4=$D8,1,""),IF(AND(AI$4&gt;=$D8,AI$4&lt;=$E8),1,"")))</x:f>
      </x:c>
    </x:row>
    <x:row r="9" ht="24" customHeight="1">
      <x:c r="A9" s="13" t="str">
        <x:v>P2-VPN-01</x:v>
      </x:c>
      <x:c r="B9" s="13" t="str">
        <x:v>OCI Relay / AWS Site-to-Site VPN</x:v>
      </x:c>
      <x:c r="C9" s="13" t="str">
        <x:v>To Do</x:v>
      </x:c>
      <x:c r="D9" s="19" t="n">
        <x:v>46296</x:v>
      </x:c>
      <x:c r="E9" s="19" t="n">
        <x:v>46303</x:v>
      </x:c>
      <x:c r="F9" s="13" t="str">
        <x:v>이권욱</x:v>
      </x:c>
      <x:c r="G9" s="23" t="str">
        <x:f>IF($D9="","",IF($E9="",IF(G$4=$D9,1,""),IF(AND(G$4&gt;=$D9,G$4&lt;=$E9),1,"")))</x:f>
      </x:c>
      <x:c r="H9" s="23" t="str">
        <x:f>IF($D9="","",IF($E9="",IF(H$4=$D9,1,""),IF(AND(H$4&gt;=$D9,H$4&lt;=$E9),1,"")))</x:f>
      </x:c>
      <x:c r="I9" s="23" t="str">
        <x:f>IF($D9="","",IF($E9="",IF(I$4=$D9,1,""),IF(AND(I$4&gt;=$D9,I$4&lt;=$E9),1,"")))</x:f>
      </x:c>
      <x:c r="J9" s="23" t="n">
        <x:f>IF($D9="","",IF($E9="",IF(J$4=$D9,1,""),IF(AND(J$4&gt;=$D9,J$4&lt;=$E9),1,"")))</x:f>
        <x:v>1</x:v>
      </x:c>
      <x:c r="K9" s="23" t="n">
        <x:f>IF($D9="","",IF($E9="",IF(K$4=$D9,1,""),IF(AND(K$4&gt;=$D9,K$4&lt;=$E9),1,"")))</x:f>
        <x:v>1</x:v>
      </x:c>
      <x:c r="L9" s="25" t="n">
        <x:f>IF($D9="","",IF($E9="",IF(L$4=$D9,1,""),IF(AND(L$4&gt;=$D9,L$4&lt;=$E9),1,"")))</x:f>
        <x:v>1</x:v>
      </x:c>
      <x:c r="M9" s="25" t="n">
        <x:f>IF($D9="","",IF($E9="",IF(M$4=$D9,1,""),IF(AND(M$4&gt;=$D9,M$4&lt;=$E9),1,"")))</x:f>
        <x:v>1</x:v>
      </x:c>
      <x:c r="N9" s="23" t="n">
        <x:f>IF($D9="","",IF($E9="",IF(N$4=$D9,1,""),IF(AND(N$4&gt;=$D9,N$4&lt;=$E9),1,"")))</x:f>
        <x:v>1</x:v>
      </x:c>
      <x:c r="O9" s="23" t="n">
        <x:f>IF($D9="","",IF($E9="",IF(O$4=$D9,1,""),IF(AND(O$4&gt;=$D9,O$4&lt;=$E9),1,"")))</x:f>
        <x:v>1</x:v>
      </x:c>
      <x:c r="P9" s="23" t="n">
        <x:f>IF($D9="","",IF($E9="",IF(P$4=$D9,1,""),IF(AND(P$4&gt;=$D9,P$4&lt;=$E9),1,"")))</x:f>
        <x:v>1</x:v>
      </x:c>
      <x:c r="Q9" s="23" t="n">
        <x:f>IF($D9="","",IF($E9="",IF(Q$4=$D9,1,""),IF(AND(Q$4&gt;=$D9,Q$4&lt;=$E9),1,"")))</x:f>
        <x:v>1</x:v>
      </x:c>
      <x:c r="R9" s="23" t="str">
        <x:f>IF($D9="","",IF($E9="",IF(R$4=$D9,1,""),IF(AND(R$4&gt;=$D9,R$4&lt;=$E9),1,"")))</x:f>
      </x:c>
      <x:c r="S9" s="25" t="str">
        <x:f>IF($D9="","",IF($E9="",IF(S$4=$D9,1,""),IF(AND(S$4&gt;=$D9,S$4&lt;=$E9),1,"")))</x:f>
      </x:c>
      <x:c r="T9" s="25" t="str">
        <x:f>IF($D9="","",IF($E9="",IF(T$4=$D9,1,""),IF(AND(T$4&gt;=$D9,T$4&lt;=$E9),1,"")))</x:f>
      </x:c>
      <x:c r="U9" s="23" t="str">
        <x:f>IF($D9="","",IF($E9="",IF(U$4=$D9,1,""),IF(AND(U$4&gt;=$D9,U$4&lt;=$E9),1,"")))</x:f>
      </x:c>
      <x:c r="V9" s="23" t="str">
        <x:f>IF($D9="","",IF($E9="",IF(V$4=$D9,1,""),IF(AND(V$4&gt;=$D9,V$4&lt;=$E9),1,"")))</x:f>
      </x:c>
      <x:c r="W9" s="23" t="str">
        <x:f>IF($D9="","",IF($E9="",IF(W$4=$D9,1,""),IF(AND(W$4&gt;=$D9,W$4&lt;=$E9),1,"")))</x:f>
      </x:c>
      <x:c r="X9" s="23" t="str">
        <x:f>IF($D9="","",IF($E9="",IF(X$4=$D9,1,""),IF(AND(X$4&gt;=$D9,X$4&lt;=$E9),1,"")))</x:f>
      </x:c>
      <x:c r="Y9" s="23" t="str">
        <x:f>IF($D9="","",IF($E9="",IF(Y$4=$D9,1,""),IF(AND(Y$4&gt;=$D9,Y$4&lt;=$E9),1,"")))</x:f>
      </x:c>
      <x:c r="Z9" s="25" t="str">
        <x:f>IF($D9="","",IF($E9="",IF(Z$4=$D9,1,""),IF(AND(Z$4&gt;=$D9,Z$4&lt;=$E9),1,"")))</x:f>
      </x:c>
      <x:c r="AA9" s="25" t="str">
        <x:f>IF($D9="","",IF($E9="",IF(AA$4=$D9,1,""),IF(AND(AA$4&gt;=$D9,AA$4&lt;=$E9),1,"")))</x:f>
      </x:c>
      <x:c r="AB9" s="23" t="str">
        <x:f>IF($D9="","",IF($E9="",IF(AB$4=$D9,1,""),IF(AND(AB$4&gt;=$D9,AB$4&lt;=$E9),1,"")))</x:f>
      </x:c>
      <x:c r="AC9" s="23" t="str">
        <x:f>IF($D9="","",IF($E9="",IF(AC$4=$D9,1,""),IF(AND(AC$4&gt;=$D9,AC$4&lt;=$E9),1,"")))</x:f>
      </x:c>
      <x:c r="AD9" s="23" t="str">
        <x:f>IF($D9="","",IF($E9="",IF(AD$4=$D9,1,""),IF(AND(AD$4&gt;=$D9,AD$4&lt;=$E9),1,"")))</x:f>
      </x:c>
      <x:c r="AE9" s="23" t="str">
        <x:f>IF($D9="","",IF($E9="",IF(AE$4=$D9,1,""),IF(AND(AE$4&gt;=$D9,AE$4&lt;=$E9),1,"")))</x:f>
      </x:c>
      <x:c r="AF9" s="23" t="str">
        <x:f>IF($D9="","",IF($E9="",IF(AF$4=$D9,1,""),IF(AND(AF$4&gt;=$D9,AF$4&lt;=$E9),1,"")))</x:f>
      </x:c>
      <x:c r="AG9" s="25" t="str">
        <x:f>IF($D9="","",IF($E9="",IF(AG$4=$D9,1,""),IF(AND(AG$4&gt;=$D9,AG$4&lt;=$E9),1,"")))</x:f>
      </x:c>
      <x:c r="AH9" s="25" t="str">
        <x:f>IF($D9="","",IF($E9="",IF(AH$4=$D9,1,""),IF(AND(AH$4&gt;=$D9,AH$4&lt;=$E9),1,"")))</x:f>
      </x:c>
      <x:c r="AI9" s="23" t="str">
        <x:f>IF($D9="","",IF($E9="",IF(AI$4=$D9,1,""),IF(AND(AI$4&gt;=$D9,AI$4&lt;=$E9),1,"")))</x:f>
      </x:c>
    </x:row>
    <x:row r="10" ht="24" customHeight="1">
      <x:c r="A10" s="13" t="str">
        <x:v>P2-ROSA-01</x:v>
      </x:c>
      <x:c r="B10" s="13" t="str">
        <x:v>ROSA Platform / Security</x:v>
      </x:c>
      <x:c r="C10" s="13" t="str">
        <x:v>To Do</x:v>
      </x:c>
      <x:c r="D10" s="19" t="n">
        <x:v>46301</x:v>
      </x:c>
      <x:c r="E10" s="19" t="n">
        <x:v>46311</x:v>
      </x:c>
      <x:c r="F10" s="13" t="str">
        <x:v>이하영</x:v>
      </x:c>
      <x:c r="G10" s="23" t="str">
        <x:f>IF($D10="","",IF($E10="",IF(G$4=$D10,1,""),IF(AND(G$4&gt;=$D10,G$4&lt;=$E10),1,"")))</x:f>
      </x:c>
      <x:c r="H10" s="23" t="str">
        <x:f>IF($D10="","",IF($E10="",IF(H$4=$D10,1,""),IF(AND(H$4&gt;=$D10,H$4&lt;=$E10),1,"")))</x:f>
      </x:c>
      <x:c r="I10" s="23" t="str">
        <x:f>IF($D10="","",IF($E10="",IF(I$4=$D10,1,""),IF(AND(I$4&gt;=$D10,I$4&lt;=$E10),1,"")))</x:f>
      </x:c>
      <x:c r="J10" s="23" t="str">
        <x:f>IF($D10="","",IF($E10="",IF(J$4=$D10,1,""),IF(AND(J$4&gt;=$D10,J$4&lt;=$E10),1,"")))</x:f>
      </x:c>
      <x:c r="K10" s="23" t="str">
        <x:f>IF($D10="","",IF($E10="",IF(K$4=$D10,1,""),IF(AND(K$4&gt;=$D10,K$4&lt;=$E10),1,"")))</x:f>
      </x:c>
      <x:c r="L10" s="25" t="str">
        <x:f>IF($D10="","",IF($E10="",IF(L$4=$D10,1,""),IF(AND(L$4&gt;=$D10,L$4&lt;=$E10),1,"")))</x:f>
      </x:c>
      <x:c r="M10" s="25" t="str">
        <x:f>IF($D10="","",IF($E10="",IF(M$4=$D10,1,""),IF(AND(M$4&gt;=$D10,M$4&lt;=$E10),1,"")))</x:f>
      </x:c>
      <x:c r="N10" s="23" t="str">
        <x:f>IF($D10="","",IF($E10="",IF(N$4=$D10,1,""),IF(AND(N$4&gt;=$D10,N$4&lt;=$E10),1,"")))</x:f>
      </x:c>
      <x:c r="O10" s="23" t="n">
        <x:f>IF($D10="","",IF($E10="",IF(O$4=$D10,1,""),IF(AND(O$4&gt;=$D10,O$4&lt;=$E10),1,"")))</x:f>
        <x:v>1</x:v>
      </x:c>
      <x:c r="P10" s="23" t="n">
        <x:f>IF($D10="","",IF($E10="",IF(P$4=$D10,1,""),IF(AND(P$4&gt;=$D10,P$4&lt;=$E10),1,"")))</x:f>
        <x:v>1</x:v>
      </x:c>
      <x:c r="Q10" s="23" t="n">
        <x:f>IF($D10="","",IF($E10="",IF(Q$4=$D10,1,""),IF(AND(Q$4&gt;=$D10,Q$4&lt;=$E10),1,"")))</x:f>
        <x:v>1</x:v>
      </x:c>
      <x:c r="R10" s="23" t="n">
        <x:f>IF($D10="","",IF($E10="",IF(R$4=$D10,1,""),IF(AND(R$4&gt;=$D10,R$4&lt;=$E10),1,"")))</x:f>
        <x:v>1</x:v>
      </x:c>
      <x:c r="S10" s="25" t="n">
        <x:f>IF($D10="","",IF($E10="",IF(S$4=$D10,1,""),IF(AND(S$4&gt;=$D10,S$4&lt;=$E10),1,"")))</x:f>
        <x:v>1</x:v>
      </x:c>
      <x:c r="T10" s="25" t="n">
        <x:f>IF($D10="","",IF($E10="",IF(T$4=$D10,1,""),IF(AND(T$4&gt;=$D10,T$4&lt;=$E10),1,"")))</x:f>
        <x:v>1</x:v>
      </x:c>
      <x:c r="U10" s="23" t="n">
        <x:f>IF($D10="","",IF($E10="",IF(U$4=$D10,1,""),IF(AND(U$4&gt;=$D10,U$4&lt;=$E10),1,"")))</x:f>
        <x:v>1</x:v>
      </x:c>
      <x:c r="V10" s="23" t="n">
        <x:f>IF($D10="","",IF($E10="",IF(V$4=$D10,1,""),IF(AND(V$4&gt;=$D10,V$4&lt;=$E10),1,"")))</x:f>
        <x:v>1</x:v>
      </x:c>
      <x:c r="W10" s="23" t="n">
        <x:f>IF($D10="","",IF($E10="",IF(W$4=$D10,1,""),IF(AND(W$4&gt;=$D10,W$4&lt;=$E10),1,"")))</x:f>
        <x:v>1</x:v>
      </x:c>
      <x:c r="X10" s="23" t="n">
        <x:f>IF($D10="","",IF($E10="",IF(X$4=$D10,1,""),IF(AND(X$4&gt;=$D10,X$4&lt;=$E10),1,"")))</x:f>
        <x:v>1</x:v>
      </x:c>
      <x:c r="Y10" s="23" t="n">
        <x:f>IF($D10="","",IF($E10="",IF(Y$4=$D10,1,""),IF(AND(Y$4&gt;=$D10,Y$4&lt;=$E10),1,"")))</x:f>
        <x:v>1</x:v>
      </x:c>
      <x:c r="Z10" s="25" t="str">
        <x:f>IF($D10="","",IF($E10="",IF(Z$4=$D10,1,""),IF(AND(Z$4&gt;=$D10,Z$4&lt;=$E10),1,"")))</x:f>
      </x:c>
      <x:c r="AA10" s="25" t="str">
        <x:f>IF($D10="","",IF($E10="",IF(AA$4=$D10,1,""),IF(AND(AA$4&gt;=$D10,AA$4&lt;=$E10),1,"")))</x:f>
      </x:c>
      <x:c r="AB10" s="23" t="str">
        <x:f>IF($D10="","",IF($E10="",IF(AB$4=$D10,1,""),IF(AND(AB$4&gt;=$D10,AB$4&lt;=$E10),1,"")))</x:f>
      </x:c>
      <x:c r="AC10" s="23" t="str">
        <x:f>IF($D10="","",IF($E10="",IF(AC$4=$D10,1,""),IF(AND(AC$4&gt;=$D10,AC$4&lt;=$E10),1,"")))</x:f>
      </x:c>
      <x:c r="AD10" s="23" t="str">
        <x:f>IF($D10="","",IF($E10="",IF(AD$4=$D10,1,""),IF(AND(AD$4&gt;=$D10,AD$4&lt;=$E10),1,"")))</x:f>
      </x:c>
      <x:c r="AE10" s="23" t="str">
        <x:f>IF($D10="","",IF($E10="",IF(AE$4=$D10,1,""),IF(AND(AE$4&gt;=$D10,AE$4&lt;=$E10),1,"")))</x:f>
      </x:c>
      <x:c r="AF10" s="23" t="str">
        <x:f>IF($D10="","",IF($E10="",IF(AF$4=$D10,1,""),IF(AND(AF$4&gt;=$D10,AF$4&lt;=$E10),1,"")))</x:f>
      </x:c>
      <x:c r="AG10" s="25" t="str">
        <x:f>IF($D10="","",IF($E10="",IF(AG$4=$D10,1,""),IF(AND(AG$4&gt;=$D10,AG$4&lt;=$E10),1,"")))</x:f>
      </x:c>
      <x:c r="AH10" s="25" t="str">
        <x:f>IF($D10="","",IF($E10="",IF(AH$4=$D10,1,""),IF(AND(AH$4&gt;=$D10,AH$4&lt;=$E10),1,"")))</x:f>
      </x:c>
      <x:c r="AI10" s="23" t="str">
        <x:f>IF($D10="","",IF($E10="",IF(AI$4=$D10,1,""),IF(AND(AI$4&gt;=$D10,AI$4&lt;=$E10),1,"")))</x:f>
      </x:c>
    </x:row>
    <x:row r="11" ht="24" customHeight="1">
      <x:c r="A11" s="13" t="str">
        <x:v>MS-G4-01</x:v>
      </x:c>
      <x:c r="B11" s="13" t="str">
        <x:v>G4 Cloud / VPN Ready</x:v>
      </x:c>
      <x:c r="C11" s="13" t="str">
        <x:v>To Do</x:v>
      </x:c>
      <x:c r="D11" s="19" t="n">
        <x:v>46303</x:v>
      </x:c>
      <x:c r="E11" s="19" t="n">
        <x:v>46303</x:v>
      </x:c>
      <x:c r="F11" s="13" t="str">
        <x:v>이권욱</x:v>
      </x:c>
      <x:c r="G11" s="23" t="str">
        <x:f>IF($D11="","",IF($E11="",IF(G$4=$D11,1,""),IF(AND(G$4&gt;=$D11,G$4&lt;=$E11),1,"")))</x:f>
      </x:c>
      <x:c r="H11" s="23" t="str">
        <x:f>IF($D11="","",IF($E11="",IF(H$4=$D11,1,""),IF(AND(H$4&gt;=$D11,H$4&lt;=$E11),1,"")))</x:f>
      </x:c>
      <x:c r="I11" s="23" t="str">
        <x:f>IF($D11="","",IF($E11="",IF(I$4=$D11,1,""),IF(AND(I$4&gt;=$D11,I$4&lt;=$E11),1,"")))</x:f>
      </x:c>
      <x:c r="J11" s="23" t="str">
        <x:f>IF($D11="","",IF($E11="",IF(J$4=$D11,1,""),IF(AND(J$4&gt;=$D11,J$4&lt;=$E11),1,"")))</x:f>
      </x:c>
      <x:c r="K11" s="23" t="str">
        <x:f>IF($D11="","",IF($E11="",IF(K$4=$D11,1,""),IF(AND(K$4&gt;=$D11,K$4&lt;=$E11),1,"")))</x:f>
      </x:c>
      <x:c r="L11" s="25" t="str">
        <x:f>IF($D11="","",IF($E11="",IF(L$4=$D11,1,""),IF(AND(L$4&gt;=$D11,L$4&lt;=$E11),1,"")))</x:f>
      </x:c>
      <x:c r="M11" s="25" t="str">
        <x:f>IF($D11="","",IF($E11="",IF(M$4=$D11,1,""),IF(AND(M$4&gt;=$D11,M$4&lt;=$E11),1,"")))</x:f>
      </x:c>
      <x:c r="N11" s="23" t="str">
        <x:f>IF($D11="","",IF($E11="",IF(N$4=$D11,1,""),IF(AND(N$4&gt;=$D11,N$4&lt;=$E11),1,"")))</x:f>
      </x:c>
      <x:c r="O11" s="23" t="str">
        <x:f>IF($D11="","",IF($E11="",IF(O$4=$D11,1,""),IF(AND(O$4&gt;=$D11,O$4&lt;=$E11),1,"")))</x:f>
      </x:c>
      <x:c r="P11" s="23" t="str">
        <x:f>IF($D11="","",IF($E11="",IF(P$4=$D11,1,""),IF(AND(P$4&gt;=$D11,P$4&lt;=$E11),1,"")))</x:f>
      </x:c>
      <x:c r="Q11" s="23" t="n">
        <x:f>IF($D11="","",IF($E11="",IF(Q$4=$D11,1,""),IF(AND(Q$4&gt;=$D11,Q$4&lt;=$E11),1,"")))</x:f>
        <x:v>1</x:v>
      </x:c>
      <x:c r="R11" s="23" t="str">
        <x:f>IF($D11="","",IF($E11="",IF(R$4=$D11,1,""),IF(AND(R$4&gt;=$D11,R$4&lt;=$E11),1,"")))</x:f>
      </x:c>
      <x:c r="S11" s="25" t="str">
        <x:f>IF($D11="","",IF($E11="",IF(S$4=$D11,1,""),IF(AND(S$4&gt;=$D11,S$4&lt;=$E11),1,"")))</x:f>
      </x:c>
      <x:c r="T11" s="25" t="str">
        <x:f>IF($D11="","",IF($E11="",IF(T$4=$D11,1,""),IF(AND(T$4&gt;=$D11,T$4&lt;=$E11),1,"")))</x:f>
      </x:c>
      <x:c r="U11" s="23" t="str">
        <x:f>IF($D11="","",IF($E11="",IF(U$4=$D11,1,""),IF(AND(U$4&gt;=$D11,U$4&lt;=$E11),1,"")))</x:f>
      </x:c>
      <x:c r="V11" s="23" t="str">
        <x:f>IF($D11="","",IF($E11="",IF(V$4=$D11,1,""),IF(AND(V$4&gt;=$D11,V$4&lt;=$E11),1,"")))</x:f>
      </x:c>
      <x:c r="W11" s="23" t="str">
        <x:f>IF($D11="","",IF($E11="",IF(W$4=$D11,1,""),IF(AND(W$4&gt;=$D11,W$4&lt;=$E11),1,"")))</x:f>
      </x:c>
      <x:c r="X11" s="23" t="str">
        <x:f>IF($D11="","",IF($E11="",IF(X$4=$D11,1,""),IF(AND(X$4&gt;=$D11,X$4&lt;=$E11),1,"")))</x:f>
      </x:c>
      <x:c r="Y11" s="23" t="str">
        <x:f>IF($D11="","",IF($E11="",IF(Y$4=$D11,1,""),IF(AND(Y$4&gt;=$D11,Y$4&lt;=$E11),1,"")))</x:f>
      </x:c>
      <x:c r="Z11" s="25" t="str">
        <x:f>IF($D11="","",IF($E11="",IF(Z$4=$D11,1,""),IF(AND(Z$4&gt;=$D11,Z$4&lt;=$E11),1,"")))</x:f>
      </x:c>
      <x:c r="AA11" s="25" t="str">
        <x:f>IF($D11="","",IF($E11="",IF(AA$4=$D11,1,""),IF(AND(AA$4&gt;=$D11,AA$4&lt;=$E11),1,"")))</x:f>
      </x:c>
      <x:c r="AB11" s="23" t="str">
        <x:f>IF($D11="","",IF($E11="",IF(AB$4=$D11,1,""),IF(AND(AB$4&gt;=$D11,AB$4&lt;=$E11),1,"")))</x:f>
      </x:c>
      <x:c r="AC11" s="23" t="str">
        <x:f>IF($D11="","",IF($E11="",IF(AC$4=$D11,1,""),IF(AND(AC$4&gt;=$D11,AC$4&lt;=$E11),1,"")))</x:f>
      </x:c>
      <x:c r="AD11" s="23" t="str">
        <x:f>IF($D11="","",IF($E11="",IF(AD$4=$D11,1,""),IF(AND(AD$4&gt;=$D11,AD$4&lt;=$E11),1,"")))</x:f>
      </x:c>
      <x:c r="AE11" s="23" t="str">
        <x:f>IF($D11="","",IF($E11="",IF(AE$4=$D11,1,""),IF(AND(AE$4&gt;=$D11,AE$4&lt;=$E11),1,"")))</x:f>
      </x:c>
      <x:c r="AF11" s="23" t="str">
        <x:f>IF($D11="","",IF($E11="",IF(AF$4=$D11,1,""),IF(AND(AF$4&gt;=$D11,AF$4&lt;=$E11),1,"")))</x:f>
      </x:c>
      <x:c r="AG11" s="25" t="str">
        <x:f>IF($D11="","",IF($E11="",IF(AG$4=$D11,1,""),IF(AND(AG$4&gt;=$D11,AG$4&lt;=$E11),1,"")))</x:f>
      </x:c>
      <x:c r="AH11" s="25" t="str">
        <x:f>IF($D11="","",IF($E11="",IF(AH$4=$D11,1,""),IF(AND(AH$4&gt;=$D11,AH$4&lt;=$E11),1,"")))</x:f>
      </x:c>
      <x:c r="AI11" s="23" t="str">
        <x:f>IF($D11="","",IF($E11="",IF(AI$4=$D11,1,""),IF(AND(AI$4&gt;=$D11,AI$4&lt;=$E11),1,"")))</x:f>
      </x:c>
    </x:row>
    <x:row r="12" ht="24" customHeight="1">
      <x:c r="A12" s="13" t="str">
        <x:v>DEC-P2-DNS-01</x:v>
      </x:c>
      <x:c r="B12" s="13" t="str">
        <x:v>Hybrid DNS Scope Decision</x:v>
      </x:c>
      <x:c r="C12" s="13" t="str">
        <x:v>To Do</x:v>
      </x:c>
      <x:c r="D12" s="19" t="n">
        <x:v>46307</x:v>
      </x:c>
      <x:c r="E12" s="19" t="n">
        <x:v>46311</x:v>
      </x:c>
      <x:c r="F12" s="13" t="str">
        <x:v>이권욱</x:v>
      </x:c>
      <x:c r="G12" s="23" t="str">
        <x:f>IF($D12="","",IF($E12="",IF(G$4=$D12,1,""),IF(AND(G$4&gt;=$D12,G$4&lt;=$E12),1,"")))</x:f>
      </x:c>
      <x:c r="H12" s="23" t="str">
        <x:f>IF($D12="","",IF($E12="",IF(H$4=$D12,1,""),IF(AND(H$4&gt;=$D12,H$4&lt;=$E12),1,"")))</x:f>
      </x:c>
      <x:c r="I12" s="23" t="str">
        <x:f>IF($D12="","",IF($E12="",IF(I$4=$D12,1,""),IF(AND(I$4&gt;=$D12,I$4&lt;=$E12),1,"")))</x:f>
      </x:c>
      <x:c r="J12" s="23" t="str">
        <x:f>IF($D12="","",IF($E12="",IF(J$4=$D12,1,""),IF(AND(J$4&gt;=$D12,J$4&lt;=$E12),1,"")))</x:f>
      </x:c>
      <x:c r="K12" s="23" t="str">
        <x:f>IF($D12="","",IF($E12="",IF(K$4=$D12,1,""),IF(AND(K$4&gt;=$D12,K$4&lt;=$E12),1,"")))</x:f>
      </x:c>
      <x:c r="L12" s="25" t="str">
        <x:f>IF($D12="","",IF($E12="",IF(L$4=$D12,1,""),IF(AND(L$4&gt;=$D12,L$4&lt;=$E12),1,"")))</x:f>
      </x:c>
      <x:c r="M12" s="25" t="str">
        <x:f>IF($D12="","",IF($E12="",IF(M$4=$D12,1,""),IF(AND(M$4&gt;=$D12,M$4&lt;=$E12),1,"")))</x:f>
      </x:c>
      <x:c r="N12" s="23" t="str">
        <x:f>IF($D12="","",IF($E12="",IF(N$4=$D12,1,""),IF(AND(N$4&gt;=$D12,N$4&lt;=$E12),1,"")))</x:f>
      </x:c>
      <x:c r="O12" s="23" t="str">
        <x:f>IF($D12="","",IF($E12="",IF(O$4=$D12,1,""),IF(AND(O$4&gt;=$D12,O$4&lt;=$E12),1,"")))</x:f>
      </x:c>
      <x:c r="P12" s="23" t="str">
        <x:f>IF($D12="","",IF($E12="",IF(P$4=$D12,1,""),IF(AND(P$4&gt;=$D12,P$4&lt;=$E12),1,"")))</x:f>
      </x:c>
      <x:c r="Q12" s="23" t="str">
        <x:f>IF($D12="","",IF($E12="",IF(Q$4=$D12,1,""),IF(AND(Q$4&gt;=$D12,Q$4&lt;=$E12),1,"")))</x:f>
      </x:c>
      <x:c r="R12" s="23" t="str">
        <x:f>IF($D12="","",IF($E12="",IF(R$4=$D12,1,""),IF(AND(R$4&gt;=$D12,R$4&lt;=$E12),1,"")))</x:f>
      </x:c>
      <x:c r="S12" s="25" t="str">
        <x:f>IF($D12="","",IF($E12="",IF(S$4=$D12,1,""),IF(AND(S$4&gt;=$D12,S$4&lt;=$E12),1,"")))</x:f>
      </x:c>
      <x:c r="T12" s="25" t="str">
        <x:f>IF($D12="","",IF($E12="",IF(T$4=$D12,1,""),IF(AND(T$4&gt;=$D12,T$4&lt;=$E12),1,"")))</x:f>
      </x:c>
      <x:c r="U12" s="23" t="n">
        <x:f>IF($D12="","",IF($E12="",IF(U$4=$D12,1,""),IF(AND(U$4&gt;=$D12,U$4&lt;=$E12),1,"")))</x:f>
        <x:v>1</x:v>
      </x:c>
      <x:c r="V12" s="23" t="n">
        <x:f>IF($D12="","",IF($E12="",IF(V$4=$D12,1,""),IF(AND(V$4&gt;=$D12,V$4&lt;=$E12),1,"")))</x:f>
        <x:v>1</x:v>
      </x:c>
      <x:c r="W12" s="23" t="n">
        <x:f>IF($D12="","",IF($E12="",IF(W$4=$D12,1,""),IF(AND(W$4&gt;=$D12,W$4&lt;=$E12),1,"")))</x:f>
        <x:v>1</x:v>
      </x:c>
      <x:c r="X12" s="23" t="n">
        <x:f>IF($D12="","",IF($E12="",IF(X$4=$D12,1,""),IF(AND(X$4&gt;=$D12,X$4&lt;=$E12),1,"")))</x:f>
        <x:v>1</x:v>
      </x:c>
      <x:c r="Y12" s="23" t="n">
        <x:f>IF($D12="","",IF($E12="",IF(Y$4=$D12,1,""),IF(AND(Y$4&gt;=$D12,Y$4&lt;=$E12),1,"")))</x:f>
        <x:v>1</x:v>
      </x:c>
      <x:c r="Z12" s="25" t="str">
        <x:f>IF($D12="","",IF($E12="",IF(Z$4=$D12,1,""),IF(AND(Z$4&gt;=$D12,Z$4&lt;=$E12),1,"")))</x:f>
      </x:c>
      <x:c r="AA12" s="25" t="str">
        <x:f>IF($D12="","",IF($E12="",IF(AA$4=$D12,1,""),IF(AND(AA$4&gt;=$D12,AA$4&lt;=$E12),1,"")))</x:f>
      </x:c>
      <x:c r="AB12" s="23" t="str">
        <x:f>IF($D12="","",IF($E12="",IF(AB$4=$D12,1,""),IF(AND(AB$4&gt;=$D12,AB$4&lt;=$E12),1,"")))</x:f>
      </x:c>
      <x:c r="AC12" s="23" t="str">
        <x:f>IF($D12="","",IF($E12="",IF(AC$4=$D12,1,""),IF(AND(AC$4&gt;=$D12,AC$4&lt;=$E12),1,"")))</x:f>
      </x:c>
      <x:c r="AD12" s="23" t="str">
        <x:f>IF($D12="","",IF($E12="",IF(AD$4=$D12,1,""),IF(AND(AD$4&gt;=$D12,AD$4&lt;=$E12),1,"")))</x:f>
      </x:c>
      <x:c r="AE12" s="23" t="str">
        <x:f>IF($D12="","",IF($E12="",IF(AE$4=$D12,1,""),IF(AND(AE$4&gt;=$D12,AE$4&lt;=$E12),1,"")))</x:f>
      </x:c>
      <x:c r="AF12" s="23" t="str">
        <x:f>IF($D12="","",IF($E12="",IF(AF$4=$D12,1,""),IF(AND(AF$4&gt;=$D12,AF$4&lt;=$E12),1,"")))</x:f>
      </x:c>
      <x:c r="AG12" s="25" t="str">
        <x:f>IF($D12="","",IF($E12="",IF(AG$4=$D12,1,""),IF(AND(AG$4&gt;=$D12,AG$4&lt;=$E12),1,"")))</x:f>
      </x:c>
      <x:c r="AH12" s="25" t="str">
        <x:f>IF($D12="","",IF($E12="",IF(AH$4=$D12,1,""),IF(AND(AH$4&gt;=$D12,AH$4&lt;=$E12),1,"")))</x:f>
      </x:c>
      <x:c r="AI12" s="23" t="str">
        <x:f>IF($D12="","",IF($E12="",IF(AI$4=$D12,1,""),IF(AND(AI$4&gt;=$D12,AI$4&lt;=$E12),1,"")))</x:f>
      </x:c>
    </x:row>
    <x:row r="13" ht="24" customHeight="1">
      <x:c r="A13" s="13" t="str">
        <x:v>DEC-P2-OP-01</x:v>
      </x:c>
      <x:c r="B13" s="13" t="str">
        <x:v>Operator Supply Chain Scope Decision</x:v>
      </x:c>
      <x:c r="C13" s="13" t="str">
        <x:v>To Do</x:v>
      </x:c>
      <x:c r="D13" s="19" t="n">
        <x:v>46307</x:v>
      </x:c>
      <x:c r="E13" s="19" t="n">
        <x:v>46311</x:v>
      </x:c>
      <x:c r="F13" s="13" t="str">
        <x:v>이하영</x:v>
      </x:c>
      <x:c r="G13" s="23" t="str">
        <x:f>IF($D13="","",IF($E13="",IF(G$4=$D13,1,""),IF(AND(G$4&gt;=$D13,G$4&lt;=$E13),1,"")))</x:f>
      </x:c>
      <x:c r="H13" s="23" t="str">
        <x:f>IF($D13="","",IF($E13="",IF(H$4=$D13,1,""),IF(AND(H$4&gt;=$D13,H$4&lt;=$E13),1,"")))</x:f>
      </x:c>
      <x:c r="I13" s="23" t="str">
        <x:f>IF($D13="","",IF($E13="",IF(I$4=$D13,1,""),IF(AND(I$4&gt;=$D13,I$4&lt;=$E13),1,"")))</x:f>
      </x:c>
      <x:c r="J13" s="23" t="str">
        <x:f>IF($D13="","",IF($E13="",IF(J$4=$D13,1,""),IF(AND(J$4&gt;=$D13,J$4&lt;=$E13),1,"")))</x:f>
      </x:c>
      <x:c r="K13" s="23" t="str">
        <x:f>IF($D13="","",IF($E13="",IF(K$4=$D13,1,""),IF(AND(K$4&gt;=$D13,K$4&lt;=$E13),1,"")))</x:f>
      </x:c>
      <x:c r="L13" s="25" t="str">
        <x:f>IF($D13="","",IF($E13="",IF(L$4=$D13,1,""),IF(AND(L$4&gt;=$D13,L$4&lt;=$E13),1,"")))</x:f>
      </x:c>
      <x:c r="M13" s="25" t="str">
        <x:f>IF($D13="","",IF($E13="",IF(M$4=$D13,1,""),IF(AND(M$4&gt;=$D13,M$4&lt;=$E13),1,"")))</x:f>
      </x:c>
      <x:c r="N13" s="23" t="str">
        <x:f>IF($D13="","",IF($E13="",IF(N$4=$D13,1,""),IF(AND(N$4&gt;=$D13,N$4&lt;=$E13),1,"")))</x:f>
      </x:c>
      <x:c r="O13" s="23" t="str">
        <x:f>IF($D13="","",IF($E13="",IF(O$4=$D13,1,""),IF(AND(O$4&gt;=$D13,O$4&lt;=$E13),1,"")))</x:f>
      </x:c>
      <x:c r="P13" s="23" t="str">
        <x:f>IF($D13="","",IF($E13="",IF(P$4=$D13,1,""),IF(AND(P$4&gt;=$D13,P$4&lt;=$E13),1,"")))</x:f>
      </x:c>
      <x:c r="Q13" s="23" t="str">
        <x:f>IF($D13="","",IF($E13="",IF(Q$4=$D13,1,""),IF(AND(Q$4&gt;=$D13,Q$4&lt;=$E13),1,"")))</x:f>
      </x:c>
      <x:c r="R13" s="23" t="str">
        <x:f>IF($D13="","",IF($E13="",IF(R$4=$D13,1,""),IF(AND(R$4&gt;=$D13,R$4&lt;=$E13),1,"")))</x:f>
      </x:c>
      <x:c r="S13" s="25" t="str">
        <x:f>IF($D13="","",IF($E13="",IF(S$4=$D13,1,""),IF(AND(S$4&gt;=$D13,S$4&lt;=$E13),1,"")))</x:f>
      </x:c>
      <x:c r="T13" s="25" t="str">
        <x:f>IF($D13="","",IF($E13="",IF(T$4=$D13,1,""),IF(AND(T$4&gt;=$D13,T$4&lt;=$E13),1,"")))</x:f>
      </x:c>
      <x:c r="U13" s="23" t="n">
        <x:f>IF($D13="","",IF($E13="",IF(U$4=$D13,1,""),IF(AND(U$4&gt;=$D13,U$4&lt;=$E13),1,"")))</x:f>
        <x:v>1</x:v>
      </x:c>
      <x:c r="V13" s="23" t="n">
        <x:f>IF($D13="","",IF($E13="",IF(V$4=$D13,1,""),IF(AND(V$4&gt;=$D13,V$4&lt;=$E13),1,"")))</x:f>
        <x:v>1</x:v>
      </x:c>
      <x:c r="W13" s="23" t="n">
        <x:f>IF($D13="","",IF($E13="",IF(W$4=$D13,1,""),IF(AND(W$4&gt;=$D13,W$4&lt;=$E13),1,"")))</x:f>
        <x:v>1</x:v>
      </x:c>
      <x:c r="X13" s="23" t="n">
        <x:f>IF($D13="","",IF($E13="",IF(X$4=$D13,1,""),IF(AND(X$4&gt;=$D13,X$4&lt;=$E13),1,"")))</x:f>
        <x:v>1</x:v>
      </x:c>
      <x:c r="Y13" s="23" t="n">
        <x:f>IF($D13="","",IF($E13="",IF(Y$4=$D13,1,""),IF(AND(Y$4&gt;=$D13,Y$4&lt;=$E13),1,"")))</x:f>
        <x:v>1</x:v>
      </x:c>
      <x:c r="Z13" s="25" t="str">
        <x:f>IF($D13="","",IF($E13="",IF(Z$4=$D13,1,""),IF(AND(Z$4&gt;=$D13,Z$4&lt;=$E13),1,"")))</x:f>
      </x:c>
      <x:c r="AA13" s="25" t="str">
        <x:f>IF($D13="","",IF($E13="",IF(AA$4=$D13,1,""),IF(AND(AA$4&gt;=$D13,AA$4&lt;=$E13),1,"")))</x:f>
      </x:c>
      <x:c r="AB13" s="23" t="str">
        <x:f>IF($D13="","",IF($E13="",IF(AB$4=$D13,1,""),IF(AND(AB$4&gt;=$D13,AB$4&lt;=$E13),1,"")))</x:f>
      </x:c>
      <x:c r="AC13" s="23" t="str">
        <x:f>IF($D13="","",IF($E13="",IF(AC$4=$D13,1,""),IF(AND(AC$4&gt;=$D13,AC$4&lt;=$E13),1,"")))</x:f>
      </x:c>
      <x:c r="AD13" s="23" t="str">
        <x:f>IF($D13="","",IF($E13="",IF(AD$4=$D13,1,""),IF(AND(AD$4&gt;=$D13,AD$4&lt;=$E13),1,"")))</x:f>
      </x:c>
      <x:c r="AE13" s="23" t="str">
        <x:f>IF($D13="","",IF($E13="",IF(AE$4=$D13,1,""),IF(AND(AE$4&gt;=$D13,AE$4&lt;=$E13),1,"")))</x:f>
      </x:c>
      <x:c r="AF13" s="23" t="str">
        <x:f>IF($D13="","",IF($E13="",IF(AF$4=$D13,1,""),IF(AND(AF$4&gt;=$D13,AF$4&lt;=$E13),1,"")))</x:f>
      </x:c>
      <x:c r="AG13" s="25" t="str">
        <x:f>IF($D13="","",IF($E13="",IF(AG$4=$D13,1,""),IF(AND(AG$4&gt;=$D13,AG$4&lt;=$E13),1,"")))</x:f>
      </x:c>
      <x:c r="AH13" s="25" t="str">
        <x:f>IF($D13="","",IF($E13="",IF(AH$4=$D13,1,""),IF(AND(AH$4&gt;=$D13,AH$4&lt;=$E13),1,"")))</x:f>
      </x:c>
      <x:c r="AI13" s="23" t="str">
        <x:f>IF($D13="","",IF($E13="",IF(AI$4=$D13,1,""),IF(AND(AI$4&gt;=$D13,AI$4&lt;=$E13),1,"")))</x:f>
      </x:c>
    </x:row>
    <x:row r="14" ht="24" customHeight="1">
      <x:c r="A14" s="13" t="str">
        <x:v>DEC-P2-REG-01</x:v>
      </x:c>
      <x:c r="B14" s="13" t="str">
        <x:v>ROSA Image Registry Source Decision</x:v>
      </x:c>
      <x:c r="C14" s="13" t="str">
        <x:v>To Do</x:v>
      </x:c>
      <x:c r="D14" s="19" t="n">
        <x:v>46307</x:v>
      </x:c>
      <x:c r="E14" s="19" t="n">
        <x:v>46311</x:v>
      </x:c>
      <x:c r="F14" s="13" t="str">
        <x:v>이하영</x:v>
      </x:c>
      <x:c r="G14" s="23" t="str">
        <x:f>IF($D14="","",IF($E14="",IF(G$4=$D14,1,""),IF(AND(G$4&gt;=$D14,G$4&lt;=$E14),1,"")))</x:f>
      </x:c>
      <x:c r="H14" s="23" t="str">
        <x:f>IF($D14="","",IF($E14="",IF(H$4=$D14,1,""),IF(AND(H$4&gt;=$D14,H$4&lt;=$E14),1,"")))</x:f>
      </x:c>
      <x:c r="I14" s="23" t="str">
        <x:f>IF($D14="","",IF($E14="",IF(I$4=$D14,1,""),IF(AND(I$4&gt;=$D14,I$4&lt;=$E14),1,"")))</x:f>
      </x:c>
      <x:c r="J14" s="23" t="str">
        <x:f>IF($D14="","",IF($E14="",IF(J$4=$D14,1,""),IF(AND(J$4&gt;=$D14,J$4&lt;=$E14),1,"")))</x:f>
      </x:c>
      <x:c r="K14" s="23" t="str">
        <x:f>IF($D14="","",IF($E14="",IF(K$4=$D14,1,""),IF(AND(K$4&gt;=$D14,K$4&lt;=$E14),1,"")))</x:f>
      </x:c>
      <x:c r="L14" s="25" t="str">
        <x:f>IF($D14="","",IF($E14="",IF(L$4=$D14,1,""),IF(AND(L$4&gt;=$D14,L$4&lt;=$E14),1,"")))</x:f>
      </x:c>
      <x:c r="M14" s="25" t="str">
        <x:f>IF($D14="","",IF($E14="",IF(M$4=$D14,1,""),IF(AND(M$4&gt;=$D14,M$4&lt;=$E14),1,"")))</x:f>
      </x:c>
      <x:c r="N14" s="23" t="str">
        <x:f>IF($D14="","",IF($E14="",IF(N$4=$D14,1,""),IF(AND(N$4&gt;=$D14,N$4&lt;=$E14),1,"")))</x:f>
      </x:c>
      <x:c r="O14" s="23" t="str">
        <x:f>IF($D14="","",IF($E14="",IF(O$4=$D14,1,""),IF(AND(O$4&gt;=$D14,O$4&lt;=$E14),1,"")))</x:f>
      </x:c>
      <x:c r="P14" s="23" t="str">
        <x:f>IF($D14="","",IF($E14="",IF(P$4=$D14,1,""),IF(AND(P$4&gt;=$D14,P$4&lt;=$E14),1,"")))</x:f>
      </x:c>
      <x:c r="Q14" s="23" t="str">
        <x:f>IF($D14="","",IF($E14="",IF(Q$4=$D14,1,""),IF(AND(Q$4&gt;=$D14,Q$4&lt;=$E14),1,"")))</x:f>
      </x:c>
      <x:c r="R14" s="23" t="str">
        <x:f>IF($D14="","",IF($E14="",IF(R$4=$D14,1,""),IF(AND(R$4&gt;=$D14,R$4&lt;=$E14),1,"")))</x:f>
      </x:c>
      <x:c r="S14" s="25" t="str">
        <x:f>IF($D14="","",IF($E14="",IF(S$4=$D14,1,""),IF(AND(S$4&gt;=$D14,S$4&lt;=$E14),1,"")))</x:f>
      </x:c>
      <x:c r="T14" s="25" t="str">
        <x:f>IF($D14="","",IF($E14="",IF(T$4=$D14,1,""),IF(AND(T$4&gt;=$D14,T$4&lt;=$E14),1,"")))</x:f>
      </x:c>
      <x:c r="U14" s="23" t="n">
        <x:f>IF($D14="","",IF($E14="",IF(U$4=$D14,1,""),IF(AND(U$4&gt;=$D14,U$4&lt;=$E14),1,"")))</x:f>
        <x:v>1</x:v>
      </x:c>
      <x:c r="V14" s="23" t="n">
        <x:f>IF($D14="","",IF($E14="",IF(V$4=$D14,1,""),IF(AND(V$4&gt;=$D14,V$4&lt;=$E14),1,"")))</x:f>
        <x:v>1</x:v>
      </x:c>
      <x:c r="W14" s="23" t="n">
        <x:f>IF($D14="","",IF($E14="",IF(W$4=$D14,1,""),IF(AND(W$4&gt;=$D14,W$4&lt;=$E14),1,"")))</x:f>
        <x:v>1</x:v>
      </x:c>
      <x:c r="X14" s="23" t="n">
        <x:f>IF($D14="","",IF($E14="",IF(X$4=$D14,1,""),IF(AND(X$4&gt;=$D14,X$4&lt;=$E14),1,"")))</x:f>
        <x:v>1</x:v>
      </x:c>
      <x:c r="Y14" s="23" t="n">
        <x:f>IF($D14="","",IF($E14="",IF(Y$4=$D14,1,""),IF(AND(Y$4&gt;=$D14,Y$4&lt;=$E14),1,"")))</x:f>
        <x:v>1</x:v>
      </x:c>
      <x:c r="Z14" s="25" t="str">
        <x:f>IF($D14="","",IF($E14="",IF(Z$4=$D14,1,""),IF(AND(Z$4&gt;=$D14,Z$4&lt;=$E14),1,"")))</x:f>
      </x:c>
      <x:c r="AA14" s="25" t="str">
        <x:f>IF($D14="","",IF($E14="",IF(AA$4=$D14,1,""),IF(AND(AA$4&gt;=$D14,AA$4&lt;=$E14),1,"")))</x:f>
      </x:c>
      <x:c r="AB14" s="23" t="str">
        <x:f>IF($D14="","",IF($E14="",IF(AB$4=$D14,1,""),IF(AND(AB$4&gt;=$D14,AB$4&lt;=$E14),1,"")))</x:f>
      </x:c>
      <x:c r="AC14" s="23" t="str">
        <x:f>IF($D14="","",IF($E14="",IF(AC$4=$D14,1,""),IF(AND(AC$4&gt;=$D14,AC$4&lt;=$E14),1,"")))</x:f>
      </x:c>
      <x:c r="AD14" s="23" t="str">
        <x:f>IF($D14="","",IF($E14="",IF(AD$4=$D14,1,""),IF(AND(AD$4&gt;=$D14,AD$4&lt;=$E14),1,"")))</x:f>
      </x:c>
      <x:c r="AE14" s="23" t="str">
        <x:f>IF($D14="","",IF($E14="",IF(AE$4=$D14,1,""),IF(AND(AE$4&gt;=$D14,AE$4&lt;=$E14),1,"")))</x:f>
      </x:c>
      <x:c r="AF14" s="23" t="str">
        <x:f>IF($D14="","",IF($E14="",IF(AF$4=$D14,1,""),IF(AND(AF$4&gt;=$D14,AF$4&lt;=$E14),1,"")))</x:f>
      </x:c>
      <x:c r="AG14" s="25" t="str">
        <x:f>IF($D14="","",IF($E14="",IF(AG$4=$D14,1,""),IF(AND(AG$4&gt;=$D14,AG$4&lt;=$E14),1,"")))</x:f>
      </x:c>
      <x:c r="AH14" s="25" t="str">
        <x:f>IF($D14="","",IF($E14="",IF(AH$4=$D14,1,""),IF(AND(AH$4&gt;=$D14,AH$4&lt;=$E14),1,"")))</x:f>
      </x:c>
      <x:c r="AI14" s="23" t="str">
        <x:f>IF($D14="","",IF($E14="",IF(AI$4=$D14,1,""),IF(AND(AI$4&gt;=$D14,AI$4&lt;=$E14),1,"")))</x:f>
      </x:c>
    </x:row>
    <x:row r="15" ht="24" customHeight="1">
      <x:c r="A15" s="13" t="str">
        <x:v>P2-APP-01</x:v>
      </x:c>
      <x:c r="B15" s="13" t="str">
        <x:v>ROSA Application Deployment</x:v>
      </x:c>
      <x:c r="C15" s="13" t="str">
        <x:v>To Do</x:v>
      </x:c>
      <x:c r="D15" s="19" t="n">
        <x:v>46307</x:v>
      </x:c>
      <x:c r="E15" s="19" t="n">
        <x:v>46311</x:v>
      </x:c>
      <x:c r="F15" s="13" t="str">
        <x:v>이재환</x:v>
      </x:c>
      <x:c r="G15" s="23" t="str">
        <x:f>IF($D15="","",IF($E15="",IF(G$4=$D15,1,""),IF(AND(G$4&gt;=$D15,G$4&lt;=$E15),1,"")))</x:f>
      </x:c>
      <x:c r="H15" s="23" t="str">
        <x:f>IF($D15="","",IF($E15="",IF(H$4=$D15,1,""),IF(AND(H$4&gt;=$D15,H$4&lt;=$E15),1,"")))</x:f>
      </x:c>
      <x:c r="I15" s="23" t="str">
        <x:f>IF($D15="","",IF($E15="",IF(I$4=$D15,1,""),IF(AND(I$4&gt;=$D15,I$4&lt;=$E15),1,"")))</x:f>
      </x:c>
      <x:c r="J15" s="23" t="str">
        <x:f>IF($D15="","",IF($E15="",IF(J$4=$D15,1,""),IF(AND(J$4&gt;=$D15,J$4&lt;=$E15),1,"")))</x:f>
      </x:c>
      <x:c r="K15" s="23" t="str">
        <x:f>IF($D15="","",IF($E15="",IF(K$4=$D15,1,""),IF(AND(K$4&gt;=$D15,K$4&lt;=$E15),1,"")))</x:f>
      </x:c>
      <x:c r="L15" s="25" t="str">
        <x:f>IF($D15="","",IF($E15="",IF(L$4=$D15,1,""),IF(AND(L$4&gt;=$D15,L$4&lt;=$E15),1,"")))</x:f>
      </x:c>
      <x:c r="M15" s="25" t="str">
        <x:f>IF($D15="","",IF($E15="",IF(M$4=$D15,1,""),IF(AND(M$4&gt;=$D15,M$4&lt;=$E15),1,"")))</x:f>
      </x:c>
      <x:c r="N15" s="23" t="str">
        <x:f>IF($D15="","",IF($E15="",IF(N$4=$D15,1,""),IF(AND(N$4&gt;=$D15,N$4&lt;=$E15),1,"")))</x:f>
      </x:c>
      <x:c r="O15" s="23" t="str">
        <x:f>IF($D15="","",IF($E15="",IF(O$4=$D15,1,""),IF(AND(O$4&gt;=$D15,O$4&lt;=$E15),1,"")))</x:f>
      </x:c>
      <x:c r="P15" s="23" t="str">
        <x:f>IF($D15="","",IF($E15="",IF(P$4=$D15,1,""),IF(AND(P$4&gt;=$D15,P$4&lt;=$E15),1,"")))</x:f>
      </x:c>
      <x:c r="Q15" s="23" t="str">
        <x:f>IF($D15="","",IF($E15="",IF(Q$4=$D15,1,""),IF(AND(Q$4&gt;=$D15,Q$4&lt;=$E15),1,"")))</x:f>
      </x:c>
      <x:c r="R15" s="23" t="str">
        <x:f>IF($D15="","",IF($E15="",IF(R$4=$D15,1,""),IF(AND(R$4&gt;=$D15,R$4&lt;=$E15),1,"")))</x:f>
      </x:c>
      <x:c r="S15" s="25" t="str">
        <x:f>IF($D15="","",IF($E15="",IF(S$4=$D15,1,""),IF(AND(S$4&gt;=$D15,S$4&lt;=$E15),1,"")))</x:f>
      </x:c>
      <x:c r="T15" s="25" t="str">
        <x:f>IF($D15="","",IF($E15="",IF(T$4=$D15,1,""),IF(AND(T$4&gt;=$D15,T$4&lt;=$E15),1,"")))</x:f>
      </x:c>
      <x:c r="U15" s="23" t="n">
        <x:f>IF($D15="","",IF($E15="",IF(U$4=$D15,1,""),IF(AND(U$4&gt;=$D15,U$4&lt;=$E15),1,"")))</x:f>
        <x:v>1</x:v>
      </x:c>
      <x:c r="V15" s="23" t="n">
        <x:f>IF($D15="","",IF($E15="",IF(V$4=$D15,1,""),IF(AND(V$4&gt;=$D15,V$4&lt;=$E15),1,"")))</x:f>
        <x:v>1</x:v>
      </x:c>
      <x:c r="W15" s="23" t="n">
        <x:f>IF($D15="","",IF($E15="",IF(W$4=$D15,1,""),IF(AND(W$4&gt;=$D15,W$4&lt;=$E15),1,"")))</x:f>
        <x:v>1</x:v>
      </x:c>
      <x:c r="X15" s="23" t="n">
        <x:f>IF($D15="","",IF($E15="",IF(X$4=$D15,1,""),IF(AND(X$4&gt;=$D15,X$4&lt;=$E15),1,"")))</x:f>
        <x:v>1</x:v>
      </x:c>
      <x:c r="Y15" s="23" t="n">
        <x:f>IF($D15="","",IF($E15="",IF(Y$4=$D15,1,""),IF(AND(Y$4&gt;=$D15,Y$4&lt;=$E15),1,"")))</x:f>
        <x:v>1</x:v>
      </x:c>
      <x:c r="Z15" s="25" t="str">
        <x:f>IF($D15="","",IF($E15="",IF(Z$4=$D15,1,""),IF(AND(Z$4&gt;=$D15,Z$4&lt;=$E15),1,"")))</x:f>
      </x:c>
      <x:c r="AA15" s="25" t="str">
        <x:f>IF($D15="","",IF($E15="",IF(AA$4=$D15,1,""),IF(AND(AA$4&gt;=$D15,AA$4&lt;=$E15),1,"")))</x:f>
      </x:c>
      <x:c r="AB15" s="23" t="str">
        <x:f>IF($D15="","",IF($E15="",IF(AB$4=$D15,1,""),IF(AND(AB$4&gt;=$D15,AB$4&lt;=$E15),1,"")))</x:f>
      </x:c>
      <x:c r="AC15" s="23" t="str">
        <x:f>IF($D15="","",IF($E15="",IF(AC$4=$D15,1,""),IF(AND(AC$4&gt;=$D15,AC$4&lt;=$E15),1,"")))</x:f>
      </x:c>
      <x:c r="AD15" s="23" t="str">
        <x:f>IF($D15="","",IF($E15="",IF(AD$4=$D15,1,""),IF(AND(AD$4&gt;=$D15,AD$4&lt;=$E15),1,"")))</x:f>
      </x:c>
      <x:c r="AE15" s="23" t="str">
        <x:f>IF($D15="","",IF($E15="",IF(AE$4=$D15,1,""),IF(AND(AE$4&gt;=$D15,AE$4&lt;=$E15),1,"")))</x:f>
      </x:c>
      <x:c r="AF15" s="23" t="str">
        <x:f>IF($D15="","",IF($E15="",IF(AF$4=$D15,1,""),IF(AND(AF$4&gt;=$D15,AF$4&lt;=$E15),1,"")))</x:f>
      </x:c>
      <x:c r="AG15" s="25" t="str">
        <x:f>IF($D15="","",IF($E15="",IF(AG$4=$D15,1,""),IF(AND(AG$4&gt;=$D15,AG$4&lt;=$E15),1,"")))</x:f>
      </x:c>
      <x:c r="AH15" s="25" t="str">
        <x:f>IF($D15="","",IF($E15="",IF(AH$4=$D15,1,""),IF(AND(AH$4&gt;=$D15,AH$4&lt;=$E15),1,"")))</x:f>
      </x:c>
      <x:c r="AI15" s="23" t="str">
        <x:f>IF($D15="","",IF($E15="",IF(AI$4=$D15,1,""),IF(AND(AI$4&gt;=$D15,AI$4&lt;=$E15),1,"")))</x:f>
      </x:c>
    </x:row>
    <x:row r="16" ht="24" customHeight="1">
      <x:c r="A16" s="13" t="str">
        <x:v>P2-OADP-01</x:v>
      </x:c>
      <x:c r="B16" s="13" t="str">
        <x:v>OADP / S3 Backup</x:v>
      </x:c>
      <x:c r="C16" s="13" t="str">
        <x:v>To Do</x:v>
      </x:c>
      <x:c r="D16" s="19" t="n">
        <x:v>46310</x:v>
      </x:c>
      <x:c r="E16" s="19" t="n">
        <x:v>46317</x:v>
      </x:c>
      <x:c r="F16" s="13" t="str">
        <x:v>이하영</x:v>
      </x:c>
      <x:c r="G16" s="23" t="str">
        <x:f>IF($D16="","",IF($E16="",IF(G$4=$D16,1,""),IF(AND(G$4&gt;=$D16,G$4&lt;=$E16),1,"")))</x:f>
      </x:c>
      <x:c r="H16" s="23" t="str">
        <x:f>IF($D16="","",IF($E16="",IF(H$4=$D16,1,""),IF(AND(H$4&gt;=$D16,H$4&lt;=$E16),1,"")))</x:f>
      </x:c>
      <x:c r="I16" s="23" t="str">
        <x:f>IF($D16="","",IF($E16="",IF(I$4=$D16,1,""),IF(AND(I$4&gt;=$D16,I$4&lt;=$E16),1,"")))</x:f>
      </x:c>
      <x:c r="J16" s="23" t="str">
        <x:f>IF($D16="","",IF($E16="",IF(J$4=$D16,1,""),IF(AND(J$4&gt;=$D16,J$4&lt;=$E16),1,"")))</x:f>
      </x:c>
      <x:c r="K16" s="23" t="str">
        <x:f>IF($D16="","",IF($E16="",IF(K$4=$D16,1,""),IF(AND(K$4&gt;=$D16,K$4&lt;=$E16),1,"")))</x:f>
      </x:c>
      <x:c r="L16" s="25" t="str">
        <x:f>IF($D16="","",IF($E16="",IF(L$4=$D16,1,""),IF(AND(L$4&gt;=$D16,L$4&lt;=$E16),1,"")))</x:f>
      </x:c>
      <x:c r="M16" s="25" t="str">
        <x:f>IF($D16="","",IF($E16="",IF(M$4=$D16,1,""),IF(AND(M$4&gt;=$D16,M$4&lt;=$E16),1,"")))</x:f>
      </x:c>
      <x:c r="N16" s="23" t="str">
        <x:f>IF($D16="","",IF($E16="",IF(N$4=$D16,1,""),IF(AND(N$4&gt;=$D16,N$4&lt;=$E16),1,"")))</x:f>
      </x:c>
      <x:c r="O16" s="23" t="str">
        <x:f>IF($D16="","",IF($E16="",IF(O$4=$D16,1,""),IF(AND(O$4&gt;=$D16,O$4&lt;=$E16),1,"")))</x:f>
      </x:c>
      <x:c r="P16" s="23" t="str">
        <x:f>IF($D16="","",IF($E16="",IF(P$4=$D16,1,""),IF(AND(P$4&gt;=$D16,P$4&lt;=$E16),1,"")))</x:f>
      </x:c>
      <x:c r="Q16" s="23" t="str">
        <x:f>IF($D16="","",IF($E16="",IF(Q$4=$D16,1,""),IF(AND(Q$4&gt;=$D16,Q$4&lt;=$E16),1,"")))</x:f>
      </x:c>
      <x:c r="R16" s="23" t="str">
        <x:f>IF($D16="","",IF($E16="",IF(R$4=$D16,1,""),IF(AND(R$4&gt;=$D16,R$4&lt;=$E16),1,"")))</x:f>
      </x:c>
      <x:c r="S16" s="25" t="str">
        <x:f>IF($D16="","",IF($E16="",IF(S$4=$D16,1,""),IF(AND(S$4&gt;=$D16,S$4&lt;=$E16),1,"")))</x:f>
      </x:c>
      <x:c r="T16" s="25" t="str">
        <x:f>IF($D16="","",IF($E16="",IF(T$4=$D16,1,""),IF(AND(T$4&gt;=$D16,T$4&lt;=$E16),1,"")))</x:f>
      </x:c>
      <x:c r="U16" s="23" t="str">
        <x:f>IF($D16="","",IF($E16="",IF(U$4=$D16,1,""),IF(AND(U$4&gt;=$D16,U$4&lt;=$E16),1,"")))</x:f>
      </x:c>
      <x:c r="V16" s="23" t="str">
        <x:f>IF($D16="","",IF($E16="",IF(V$4=$D16,1,""),IF(AND(V$4&gt;=$D16,V$4&lt;=$E16),1,"")))</x:f>
      </x:c>
      <x:c r="W16" s="23" t="str">
        <x:f>IF($D16="","",IF($E16="",IF(W$4=$D16,1,""),IF(AND(W$4&gt;=$D16,W$4&lt;=$E16),1,"")))</x:f>
      </x:c>
      <x:c r="X16" s="23" t="n">
        <x:f>IF($D16="","",IF($E16="",IF(X$4=$D16,1,""),IF(AND(X$4&gt;=$D16,X$4&lt;=$E16),1,"")))</x:f>
        <x:v>1</x:v>
      </x:c>
      <x:c r="Y16" s="23" t="n">
        <x:f>IF($D16="","",IF($E16="",IF(Y$4=$D16,1,""),IF(AND(Y$4&gt;=$D16,Y$4&lt;=$E16),1,"")))</x:f>
        <x:v>1</x:v>
      </x:c>
      <x:c r="Z16" s="25" t="n">
        <x:f>IF($D16="","",IF($E16="",IF(Z$4=$D16,1,""),IF(AND(Z$4&gt;=$D16,Z$4&lt;=$E16),1,"")))</x:f>
        <x:v>1</x:v>
      </x:c>
      <x:c r="AA16" s="25" t="n">
        <x:f>IF($D16="","",IF($E16="",IF(AA$4=$D16,1,""),IF(AND(AA$4&gt;=$D16,AA$4&lt;=$E16),1,"")))</x:f>
        <x:v>1</x:v>
      </x:c>
      <x:c r="AB16" s="23" t="n">
        <x:f>IF($D16="","",IF($E16="",IF(AB$4=$D16,1,""),IF(AND(AB$4&gt;=$D16,AB$4&lt;=$E16),1,"")))</x:f>
        <x:v>1</x:v>
      </x:c>
      <x:c r="AC16" s="23" t="n">
        <x:f>IF($D16="","",IF($E16="",IF(AC$4=$D16,1,""),IF(AND(AC$4&gt;=$D16,AC$4&lt;=$E16),1,"")))</x:f>
        <x:v>1</x:v>
      </x:c>
      <x:c r="AD16" s="23" t="n">
        <x:f>IF($D16="","",IF($E16="",IF(AD$4=$D16,1,""),IF(AND(AD$4&gt;=$D16,AD$4&lt;=$E16),1,"")))</x:f>
        <x:v>1</x:v>
      </x:c>
      <x:c r="AE16" s="23" t="n">
        <x:f>IF($D16="","",IF($E16="",IF(AE$4=$D16,1,""),IF(AND(AE$4&gt;=$D16,AE$4&lt;=$E16),1,"")))</x:f>
        <x:v>1</x:v>
      </x:c>
      <x:c r="AF16" s="23" t="str">
        <x:f>IF($D16="","",IF($E16="",IF(AF$4=$D16,1,""),IF(AND(AF$4&gt;=$D16,AF$4&lt;=$E16),1,"")))</x:f>
      </x:c>
      <x:c r="AG16" s="25" t="str">
        <x:f>IF($D16="","",IF($E16="",IF(AG$4=$D16,1,""),IF(AND(AG$4&gt;=$D16,AG$4&lt;=$E16),1,"")))</x:f>
      </x:c>
      <x:c r="AH16" s="25" t="str">
        <x:f>IF($D16="","",IF($E16="",IF(AH$4=$D16,1,""),IF(AND(AH$4&gt;=$D16,AH$4&lt;=$E16),1,"")))</x:f>
      </x:c>
      <x:c r="AI16" s="23" t="str">
        <x:f>IF($D16="","",IF($E16="",IF(AI$4=$D16,1,""),IF(AND(AI$4&gt;=$D16,AI$4&lt;=$E16),1,"")))</x:f>
      </x:c>
    </x:row>
    <x:row r="17" ht="24" customHeight="1">
      <x:c r="A17" s="13" t="str">
        <x:v>MS-G5-01</x:v>
      </x:c>
      <x:c r="B17" s="13" t="str">
        <x:v>G5 ROSA Application Ready</x:v>
      </x:c>
      <x:c r="C17" s="13" t="str">
        <x:v>To Do</x:v>
      </x:c>
      <x:c r="D17" s="19" t="n">
        <x:v>46311</x:v>
      </x:c>
      <x:c r="E17" s="19" t="n">
        <x:v>46311</x:v>
      </x:c>
      <x:c r="F17" s="13" t="str">
        <x:v>이하영</x:v>
      </x:c>
      <x:c r="G17" s="23" t="str">
        <x:f>IF($D17="","",IF($E17="",IF(G$4=$D17,1,""),IF(AND(G$4&gt;=$D17,G$4&lt;=$E17),1,"")))</x:f>
      </x:c>
      <x:c r="H17" s="23" t="str">
        <x:f>IF($D17="","",IF($E17="",IF(H$4=$D17,1,""),IF(AND(H$4&gt;=$D17,H$4&lt;=$E17),1,"")))</x:f>
      </x:c>
      <x:c r="I17" s="23" t="str">
        <x:f>IF($D17="","",IF($E17="",IF(I$4=$D17,1,""),IF(AND(I$4&gt;=$D17,I$4&lt;=$E17),1,"")))</x:f>
      </x:c>
      <x:c r="J17" s="23" t="str">
        <x:f>IF($D17="","",IF($E17="",IF(J$4=$D17,1,""),IF(AND(J$4&gt;=$D17,J$4&lt;=$E17),1,"")))</x:f>
      </x:c>
      <x:c r="K17" s="23" t="str">
        <x:f>IF($D17="","",IF($E17="",IF(K$4=$D17,1,""),IF(AND(K$4&gt;=$D17,K$4&lt;=$E17),1,"")))</x:f>
      </x:c>
      <x:c r="L17" s="25" t="str">
        <x:f>IF($D17="","",IF($E17="",IF(L$4=$D17,1,""),IF(AND(L$4&gt;=$D17,L$4&lt;=$E17),1,"")))</x:f>
      </x:c>
      <x:c r="M17" s="25" t="str">
        <x:f>IF($D17="","",IF($E17="",IF(M$4=$D17,1,""),IF(AND(M$4&gt;=$D17,M$4&lt;=$E17),1,"")))</x:f>
      </x:c>
      <x:c r="N17" s="23" t="str">
        <x:f>IF($D17="","",IF($E17="",IF(N$4=$D17,1,""),IF(AND(N$4&gt;=$D17,N$4&lt;=$E17),1,"")))</x:f>
      </x:c>
      <x:c r="O17" s="23" t="str">
        <x:f>IF($D17="","",IF($E17="",IF(O$4=$D17,1,""),IF(AND(O$4&gt;=$D17,O$4&lt;=$E17),1,"")))</x:f>
      </x:c>
      <x:c r="P17" s="23" t="str">
        <x:f>IF($D17="","",IF($E17="",IF(P$4=$D17,1,""),IF(AND(P$4&gt;=$D17,P$4&lt;=$E17),1,"")))</x:f>
      </x:c>
      <x:c r="Q17" s="23" t="str">
        <x:f>IF($D17="","",IF($E17="",IF(Q$4=$D17,1,""),IF(AND(Q$4&gt;=$D17,Q$4&lt;=$E17),1,"")))</x:f>
      </x:c>
      <x:c r="R17" s="23" t="str">
        <x:f>IF($D17="","",IF($E17="",IF(R$4=$D17,1,""),IF(AND(R$4&gt;=$D17,R$4&lt;=$E17),1,"")))</x:f>
      </x:c>
      <x:c r="S17" s="25" t="str">
        <x:f>IF($D17="","",IF($E17="",IF(S$4=$D17,1,""),IF(AND(S$4&gt;=$D17,S$4&lt;=$E17),1,"")))</x:f>
      </x:c>
      <x:c r="T17" s="25" t="str">
        <x:f>IF($D17="","",IF($E17="",IF(T$4=$D17,1,""),IF(AND(T$4&gt;=$D17,T$4&lt;=$E17),1,"")))</x:f>
      </x:c>
      <x:c r="U17" s="23" t="str">
        <x:f>IF($D17="","",IF($E17="",IF(U$4=$D17,1,""),IF(AND(U$4&gt;=$D17,U$4&lt;=$E17),1,"")))</x:f>
      </x:c>
      <x:c r="V17" s="23" t="str">
        <x:f>IF($D17="","",IF($E17="",IF(V$4=$D17,1,""),IF(AND(V$4&gt;=$D17,V$4&lt;=$E17),1,"")))</x:f>
      </x:c>
      <x:c r="W17" s="23" t="str">
        <x:f>IF($D17="","",IF($E17="",IF(W$4=$D17,1,""),IF(AND(W$4&gt;=$D17,W$4&lt;=$E17),1,"")))</x:f>
      </x:c>
      <x:c r="X17" s="23" t="str">
        <x:f>IF($D17="","",IF($E17="",IF(X$4=$D17,1,""),IF(AND(X$4&gt;=$D17,X$4&lt;=$E17),1,"")))</x:f>
      </x:c>
      <x:c r="Y17" s="23" t="n">
        <x:f>IF($D17="","",IF($E17="",IF(Y$4=$D17,1,""),IF(AND(Y$4&gt;=$D17,Y$4&lt;=$E17),1,"")))</x:f>
        <x:v>1</x:v>
      </x:c>
      <x:c r="Z17" s="25" t="str">
        <x:f>IF($D17="","",IF($E17="",IF(Z$4=$D17,1,""),IF(AND(Z$4&gt;=$D17,Z$4&lt;=$E17),1,"")))</x:f>
      </x:c>
      <x:c r="AA17" s="25" t="str">
        <x:f>IF($D17="","",IF($E17="",IF(AA$4=$D17,1,""),IF(AND(AA$4&gt;=$D17,AA$4&lt;=$E17),1,"")))</x:f>
      </x:c>
      <x:c r="AB17" s="23" t="str">
        <x:f>IF($D17="","",IF($E17="",IF(AB$4=$D17,1,""),IF(AND(AB$4&gt;=$D17,AB$4&lt;=$E17),1,"")))</x:f>
      </x:c>
      <x:c r="AC17" s="23" t="str">
        <x:f>IF($D17="","",IF($E17="",IF(AC$4=$D17,1,""),IF(AND(AC$4&gt;=$D17,AC$4&lt;=$E17),1,"")))</x:f>
      </x:c>
      <x:c r="AD17" s="23" t="str">
        <x:f>IF($D17="","",IF($E17="",IF(AD$4=$D17,1,""),IF(AND(AD$4&gt;=$D17,AD$4&lt;=$E17),1,"")))</x:f>
      </x:c>
      <x:c r="AE17" s="23" t="str">
        <x:f>IF($D17="","",IF($E17="",IF(AE$4=$D17,1,""),IF(AND(AE$4&gt;=$D17,AE$4&lt;=$E17),1,"")))</x:f>
      </x:c>
      <x:c r="AF17" s="23" t="str">
        <x:f>IF($D17="","",IF($E17="",IF(AF$4=$D17,1,""),IF(AND(AF$4&gt;=$D17,AF$4&lt;=$E17),1,"")))</x:f>
      </x:c>
      <x:c r="AG17" s="25" t="str">
        <x:f>IF($D17="","",IF($E17="",IF(AG$4=$D17,1,""),IF(AND(AG$4&gt;=$D17,AG$4&lt;=$E17),1,"")))</x:f>
      </x:c>
      <x:c r="AH17" s="25" t="str">
        <x:f>IF($D17="","",IF($E17="",IF(AH$4=$D17,1,""),IF(AND(AH$4&gt;=$D17,AH$4&lt;=$E17),1,"")))</x:f>
      </x:c>
      <x:c r="AI17" s="23" t="str">
        <x:f>IF($D17="","",IF($E17="",IF(AI$4=$D17,1,""),IF(AND(AI$4&gt;=$D17,AI$4&lt;=$E17),1,"")))</x:f>
      </x:c>
    </x:row>
    <x:row r="18" ht="24" customHeight="1">
      <x:c r="A18" s="13" t="str">
        <x:v>P2-CICD-01</x:v>
      </x:c>
      <x:c r="B18" s="13" t="str">
        <x:v>Runner to ROSA Delivery</x:v>
      </x:c>
      <x:c r="C18" s="13" t="str">
        <x:v>To Do</x:v>
      </x:c>
      <x:c r="D18" s="19" t="n">
        <x:v>46311</x:v>
      </x:c>
      <x:c r="E18" s="19" t="n">
        <x:v>46314</x:v>
      </x:c>
      <x:c r="F18" s="13" t="str">
        <x:v>이권욱</x:v>
      </x:c>
      <x:c r="G18" s="23" t="str">
        <x:f>IF($D18="","",IF($E18="",IF(G$4=$D18,1,""),IF(AND(G$4&gt;=$D18,G$4&lt;=$E18),1,"")))</x:f>
      </x:c>
      <x:c r="H18" s="23" t="str">
        <x:f>IF($D18="","",IF($E18="",IF(H$4=$D18,1,""),IF(AND(H$4&gt;=$D18,H$4&lt;=$E18),1,"")))</x:f>
      </x:c>
      <x:c r="I18" s="23" t="str">
        <x:f>IF($D18="","",IF($E18="",IF(I$4=$D18,1,""),IF(AND(I$4&gt;=$D18,I$4&lt;=$E18),1,"")))</x:f>
      </x:c>
      <x:c r="J18" s="23" t="str">
        <x:f>IF($D18="","",IF($E18="",IF(J$4=$D18,1,""),IF(AND(J$4&gt;=$D18,J$4&lt;=$E18),1,"")))</x:f>
      </x:c>
      <x:c r="K18" s="23" t="str">
        <x:f>IF($D18="","",IF($E18="",IF(K$4=$D18,1,""),IF(AND(K$4&gt;=$D18,K$4&lt;=$E18),1,"")))</x:f>
      </x:c>
      <x:c r="L18" s="25" t="str">
        <x:f>IF($D18="","",IF($E18="",IF(L$4=$D18,1,""),IF(AND(L$4&gt;=$D18,L$4&lt;=$E18),1,"")))</x:f>
      </x:c>
      <x:c r="M18" s="25" t="str">
        <x:f>IF($D18="","",IF($E18="",IF(M$4=$D18,1,""),IF(AND(M$4&gt;=$D18,M$4&lt;=$E18),1,"")))</x:f>
      </x:c>
      <x:c r="N18" s="23" t="str">
        <x:f>IF($D18="","",IF($E18="",IF(N$4=$D18,1,""),IF(AND(N$4&gt;=$D18,N$4&lt;=$E18),1,"")))</x:f>
      </x:c>
      <x:c r="O18" s="23" t="str">
        <x:f>IF($D18="","",IF($E18="",IF(O$4=$D18,1,""),IF(AND(O$4&gt;=$D18,O$4&lt;=$E18),1,"")))</x:f>
      </x:c>
      <x:c r="P18" s="23" t="str">
        <x:f>IF($D18="","",IF($E18="",IF(P$4=$D18,1,""),IF(AND(P$4&gt;=$D18,P$4&lt;=$E18),1,"")))</x:f>
      </x:c>
      <x:c r="Q18" s="23" t="str">
        <x:f>IF($D18="","",IF($E18="",IF(Q$4=$D18,1,""),IF(AND(Q$4&gt;=$D18,Q$4&lt;=$E18),1,"")))</x:f>
      </x:c>
      <x:c r="R18" s="23" t="str">
        <x:f>IF($D18="","",IF($E18="",IF(R$4=$D18,1,""),IF(AND(R$4&gt;=$D18,R$4&lt;=$E18),1,"")))</x:f>
      </x:c>
      <x:c r="S18" s="25" t="str">
        <x:f>IF($D18="","",IF($E18="",IF(S$4=$D18,1,""),IF(AND(S$4&gt;=$D18,S$4&lt;=$E18),1,"")))</x:f>
      </x:c>
      <x:c r="T18" s="25" t="str">
        <x:f>IF($D18="","",IF($E18="",IF(T$4=$D18,1,""),IF(AND(T$4&gt;=$D18,T$4&lt;=$E18),1,"")))</x:f>
      </x:c>
      <x:c r="U18" s="23" t="str">
        <x:f>IF($D18="","",IF($E18="",IF(U$4=$D18,1,""),IF(AND(U$4&gt;=$D18,U$4&lt;=$E18),1,"")))</x:f>
      </x:c>
      <x:c r="V18" s="23" t="str">
        <x:f>IF($D18="","",IF($E18="",IF(V$4=$D18,1,""),IF(AND(V$4&gt;=$D18,V$4&lt;=$E18),1,"")))</x:f>
      </x:c>
      <x:c r="W18" s="23" t="str">
        <x:f>IF($D18="","",IF($E18="",IF(W$4=$D18,1,""),IF(AND(W$4&gt;=$D18,W$4&lt;=$E18),1,"")))</x:f>
      </x:c>
      <x:c r="X18" s="23" t="str">
        <x:f>IF($D18="","",IF($E18="",IF(X$4=$D18,1,""),IF(AND(X$4&gt;=$D18,X$4&lt;=$E18),1,"")))</x:f>
      </x:c>
      <x:c r="Y18" s="23" t="n">
        <x:f>IF($D18="","",IF($E18="",IF(Y$4=$D18,1,""),IF(AND(Y$4&gt;=$D18,Y$4&lt;=$E18),1,"")))</x:f>
        <x:v>1</x:v>
      </x:c>
      <x:c r="Z18" s="25" t="n">
        <x:f>IF($D18="","",IF($E18="",IF(Z$4=$D18,1,""),IF(AND(Z$4&gt;=$D18,Z$4&lt;=$E18),1,"")))</x:f>
        <x:v>1</x:v>
      </x:c>
      <x:c r="AA18" s="25" t="n">
        <x:f>IF($D18="","",IF($E18="",IF(AA$4=$D18,1,""),IF(AND(AA$4&gt;=$D18,AA$4&lt;=$E18),1,"")))</x:f>
        <x:v>1</x:v>
      </x:c>
      <x:c r="AB18" s="23" t="n">
        <x:f>IF($D18="","",IF($E18="",IF(AB$4=$D18,1,""),IF(AND(AB$4&gt;=$D18,AB$4&lt;=$E18),1,"")))</x:f>
        <x:v>1</x:v>
      </x:c>
      <x:c r="AC18" s="23" t="str">
        <x:f>IF($D18="","",IF($E18="",IF(AC$4=$D18,1,""),IF(AND(AC$4&gt;=$D18,AC$4&lt;=$E18),1,"")))</x:f>
      </x:c>
      <x:c r="AD18" s="23" t="str">
        <x:f>IF($D18="","",IF($E18="",IF(AD$4=$D18,1,""),IF(AND(AD$4&gt;=$D18,AD$4&lt;=$E18),1,"")))</x:f>
      </x:c>
      <x:c r="AE18" s="23" t="str">
        <x:f>IF($D18="","",IF($E18="",IF(AE$4=$D18,1,""),IF(AND(AE$4&gt;=$D18,AE$4&lt;=$E18),1,"")))</x:f>
      </x:c>
      <x:c r="AF18" s="23" t="str">
        <x:f>IF($D18="","",IF($E18="",IF(AF$4=$D18,1,""),IF(AND(AF$4&gt;=$D18,AF$4&lt;=$E18),1,"")))</x:f>
      </x:c>
      <x:c r="AG18" s="25" t="str">
        <x:f>IF($D18="","",IF($E18="",IF(AG$4=$D18,1,""),IF(AND(AG$4&gt;=$D18,AG$4&lt;=$E18),1,"")))</x:f>
      </x:c>
      <x:c r="AH18" s="25" t="str">
        <x:f>IF($D18="","",IF($E18="",IF(AH$4=$D18,1,""),IF(AND(AH$4&gt;=$D18,AH$4&lt;=$E18),1,"")))</x:f>
      </x:c>
      <x:c r="AI18" s="23" t="str">
        <x:f>IF($D18="","",IF($E18="",IF(AI$4=$D18,1,""),IF(AND(AI$4&gt;=$D18,AI$4&lt;=$E18),1,"")))</x:f>
      </x:c>
    </x:row>
    <x:row r="19" ht="24" customHeight="1">
      <x:c r="A19" s="13" t="str">
        <x:v>P2-HYB-01</x:v>
      </x:c>
      <x:c r="B19" s="13" t="str">
        <x:v>Hybrid DB / Registry Integration</x:v>
      </x:c>
      <x:c r="C19" s="13" t="str">
        <x:v>To Do</x:v>
      </x:c>
      <x:c r="D19" s="19" t="n">
        <x:v>46311</x:v>
      </x:c>
      <x:c r="E19" s="19" t="n">
        <x:v>46317</x:v>
      </x:c>
      <x:c r="F19" s="13" t="str">
        <x:v>이재환</x:v>
      </x:c>
      <x:c r="G19" s="23" t="str">
        <x:f>IF($D19="","",IF($E19="",IF(G$4=$D19,1,""),IF(AND(G$4&gt;=$D19,G$4&lt;=$E19),1,"")))</x:f>
      </x:c>
      <x:c r="H19" s="23" t="str">
        <x:f>IF($D19="","",IF($E19="",IF(H$4=$D19,1,""),IF(AND(H$4&gt;=$D19,H$4&lt;=$E19),1,"")))</x:f>
      </x:c>
      <x:c r="I19" s="23" t="str">
        <x:f>IF($D19="","",IF($E19="",IF(I$4=$D19,1,""),IF(AND(I$4&gt;=$D19,I$4&lt;=$E19),1,"")))</x:f>
      </x:c>
      <x:c r="J19" s="23" t="str">
        <x:f>IF($D19="","",IF($E19="",IF(J$4=$D19,1,""),IF(AND(J$4&gt;=$D19,J$4&lt;=$E19),1,"")))</x:f>
      </x:c>
      <x:c r="K19" s="23" t="str">
        <x:f>IF($D19="","",IF($E19="",IF(K$4=$D19,1,""),IF(AND(K$4&gt;=$D19,K$4&lt;=$E19),1,"")))</x:f>
      </x:c>
      <x:c r="L19" s="25" t="str">
        <x:f>IF($D19="","",IF($E19="",IF(L$4=$D19,1,""),IF(AND(L$4&gt;=$D19,L$4&lt;=$E19),1,"")))</x:f>
      </x:c>
      <x:c r="M19" s="25" t="str">
        <x:f>IF($D19="","",IF($E19="",IF(M$4=$D19,1,""),IF(AND(M$4&gt;=$D19,M$4&lt;=$E19),1,"")))</x:f>
      </x:c>
      <x:c r="N19" s="23" t="str">
        <x:f>IF($D19="","",IF($E19="",IF(N$4=$D19,1,""),IF(AND(N$4&gt;=$D19,N$4&lt;=$E19),1,"")))</x:f>
      </x:c>
      <x:c r="O19" s="23" t="str">
        <x:f>IF($D19="","",IF($E19="",IF(O$4=$D19,1,""),IF(AND(O$4&gt;=$D19,O$4&lt;=$E19),1,"")))</x:f>
      </x:c>
      <x:c r="P19" s="23" t="str">
        <x:f>IF($D19="","",IF($E19="",IF(P$4=$D19,1,""),IF(AND(P$4&gt;=$D19,P$4&lt;=$E19),1,"")))</x:f>
      </x:c>
      <x:c r="Q19" s="23" t="str">
        <x:f>IF($D19="","",IF($E19="",IF(Q$4=$D19,1,""),IF(AND(Q$4&gt;=$D19,Q$4&lt;=$E19),1,"")))</x:f>
      </x:c>
      <x:c r="R19" s="23" t="str">
        <x:f>IF($D19="","",IF($E19="",IF(R$4=$D19,1,""),IF(AND(R$4&gt;=$D19,R$4&lt;=$E19),1,"")))</x:f>
      </x:c>
      <x:c r="S19" s="25" t="str">
        <x:f>IF($D19="","",IF($E19="",IF(S$4=$D19,1,""),IF(AND(S$4&gt;=$D19,S$4&lt;=$E19),1,"")))</x:f>
      </x:c>
      <x:c r="T19" s="25" t="str">
        <x:f>IF($D19="","",IF($E19="",IF(T$4=$D19,1,""),IF(AND(T$4&gt;=$D19,T$4&lt;=$E19),1,"")))</x:f>
      </x:c>
      <x:c r="U19" s="23" t="str">
        <x:f>IF($D19="","",IF($E19="",IF(U$4=$D19,1,""),IF(AND(U$4&gt;=$D19,U$4&lt;=$E19),1,"")))</x:f>
      </x:c>
      <x:c r="V19" s="23" t="str">
        <x:f>IF($D19="","",IF($E19="",IF(V$4=$D19,1,""),IF(AND(V$4&gt;=$D19,V$4&lt;=$E19),1,"")))</x:f>
      </x:c>
      <x:c r="W19" s="23" t="str">
        <x:f>IF($D19="","",IF($E19="",IF(W$4=$D19,1,""),IF(AND(W$4&gt;=$D19,W$4&lt;=$E19),1,"")))</x:f>
      </x:c>
      <x:c r="X19" s="23" t="str">
        <x:f>IF($D19="","",IF($E19="",IF(X$4=$D19,1,""),IF(AND(X$4&gt;=$D19,X$4&lt;=$E19),1,"")))</x:f>
      </x:c>
      <x:c r="Y19" s="23" t="n">
        <x:f>IF($D19="","",IF($E19="",IF(Y$4=$D19,1,""),IF(AND(Y$4&gt;=$D19,Y$4&lt;=$E19),1,"")))</x:f>
        <x:v>1</x:v>
      </x:c>
      <x:c r="Z19" s="25" t="n">
        <x:f>IF($D19="","",IF($E19="",IF(Z$4=$D19,1,""),IF(AND(Z$4&gt;=$D19,Z$4&lt;=$E19),1,"")))</x:f>
        <x:v>1</x:v>
      </x:c>
      <x:c r="AA19" s="25" t="n">
        <x:f>IF($D19="","",IF($E19="",IF(AA$4=$D19,1,""),IF(AND(AA$4&gt;=$D19,AA$4&lt;=$E19),1,"")))</x:f>
        <x:v>1</x:v>
      </x:c>
      <x:c r="AB19" s="23" t="n">
        <x:f>IF($D19="","",IF($E19="",IF(AB$4=$D19,1,""),IF(AND(AB$4&gt;=$D19,AB$4&lt;=$E19),1,"")))</x:f>
        <x:v>1</x:v>
      </x:c>
      <x:c r="AC19" s="23" t="n">
        <x:f>IF($D19="","",IF($E19="",IF(AC$4=$D19,1,""),IF(AND(AC$4&gt;=$D19,AC$4&lt;=$E19),1,"")))</x:f>
        <x:v>1</x:v>
      </x:c>
      <x:c r="AD19" s="23" t="n">
        <x:f>IF($D19="","",IF($E19="",IF(AD$4=$D19,1,""),IF(AND(AD$4&gt;=$D19,AD$4&lt;=$E19),1,"")))</x:f>
        <x:v>1</x:v>
      </x:c>
      <x:c r="AE19" s="23" t="n">
        <x:f>IF($D19="","",IF($E19="",IF(AE$4=$D19,1,""),IF(AND(AE$4&gt;=$D19,AE$4&lt;=$E19),1,"")))</x:f>
        <x:v>1</x:v>
      </x:c>
      <x:c r="AF19" s="23" t="str">
        <x:f>IF($D19="","",IF($E19="",IF(AF$4=$D19,1,""),IF(AND(AF$4&gt;=$D19,AF$4&lt;=$E19),1,"")))</x:f>
      </x:c>
      <x:c r="AG19" s="25" t="str">
        <x:f>IF($D19="","",IF($E19="",IF(AG$4=$D19,1,""),IF(AND(AG$4&gt;=$D19,AG$4&lt;=$E19),1,"")))</x:f>
      </x:c>
      <x:c r="AH19" s="25" t="str">
        <x:f>IF($D19="","",IF($E19="",IF(AH$4=$D19,1,""),IF(AND(AH$4&gt;=$D19,AH$4&lt;=$E19),1,"")))</x:f>
      </x:c>
      <x:c r="AI19" s="23" t="str">
        <x:f>IF($D19="","",IF($E19="",IF(AI$4=$D19,1,""),IF(AND(AI$4&gt;=$D19,AI$4&lt;=$E19),1,"")))</x:f>
      </x:c>
    </x:row>
    <x:row r="20" ht="24" customHeight="1">
      <x:c r="A20" s="13" t="str">
        <x:v>P2-DNS-01</x:v>
      </x:c>
      <x:c r="B20" s="13" t="str">
        <x:v>Hybrid DNS Implementation Conditional</x:v>
      </x:c>
      <x:c r="C20" s="13" t="str">
        <x:v>To Do</x:v>
      </x:c>
      <x:c r="D20" s="19" t="n">
        <x:v>46314</x:v>
      </x:c>
      <x:c r="E20" s="19" t="n">
        <x:v>46315</x:v>
      </x:c>
      <x:c r="F20" s="13" t="str">
        <x:v>이권욱</x:v>
      </x:c>
      <x:c r="G20" s="23" t="str">
        <x:f>IF($D20="","",IF($E20="",IF(G$4=$D20,1,""),IF(AND(G$4&gt;=$D20,G$4&lt;=$E20),1,"")))</x:f>
      </x:c>
      <x:c r="H20" s="23" t="str">
        <x:f>IF($D20="","",IF($E20="",IF(H$4=$D20,1,""),IF(AND(H$4&gt;=$D20,H$4&lt;=$E20),1,"")))</x:f>
      </x:c>
      <x:c r="I20" s="23" t="str">
        <x:f>IF($D20="","",IF($E20="",IF(I$4=$D20,1,""),IF(AND(I$4&gt;=$D20,I$4&lt;=$E20),1,"")))</x:f>
      </x:c>
      <x:c r="J20" s="23" t="str">
        <x:f>IF($D20="","",IF($E20="",IF(J$4=$D20,1,""),IF(AND(J$4&gt;=$D20,J$4&lt;=$E20),1,"")))</x:f>
      </x:c>
      <x:c r="K20" s="23" t="str">
        <x:f>IF($D20="","",IF($E20="",IF(K$4=$D20,1,""),IF(AND(K$4&gt;=$D20,K$4&lt;=$E20),1,"")))</x:f>
      </x:c>
      <x:c r="L20" s="25" t="str">
        <x:f>IF($D20="","",IF($E20="",IF(L$4=$D20,1,""),IF(AND(L$4&gt;=$D20,L$4&lt;=$E20),1,"")))</x:f>
      </x:c>
      <x:c r="M20" s="25" t="str">
        <x:f>IF($D20="","",IF($E20="",IF(M$4=$D20,1,""),IF(AND(M$4&gt;=$D20,M$4&lt;=$E20),1,"")))</x:f>
      </x:c>
      <x:c r="N20" s="23" t="str">
        <x:f>IF($D20="","",IF($E20="",IF(N$4=$D20,1,""),IF(AND(N$4&gt;=$D20,N$4&lt;=$E20),1,"")))</x:f>
      </x:c>
      <x:c r="O20" s="23" t="str">
        <x:f>IF($D20="","",IF($E20="",IF(O$4=$D20,1,""),IF(AND(O$4&gt;=$D20,O$4&lt;=$E20),1,"")))</x:f>
      </x:c>
      <x:c r="P20" s="23" t="str">
        <x:f>IF($D20="","",IF($E20="",IF(P$4=$D20,1,""),IF(AND(P$4&gt;=$D20,P$4&lt;=$E20),1,"")))</x:f>
      </x:c>
      <x:c r="Q20" s="23" t="str">
        <x:f>IF($D20="","",IF($E20="",IF(Q$4=$D20,1,""),IF(AND(Q$4&gt;=$D20,Q$4&lt;=$E20),1,"")))</x:f>
      </x:c>
      <x:c r="R20" s="23" t="str">
        <x:f>IF($D20="","",IF($E20="",IF(R$4=$D20,1,""),IF(AND(R$4&gt;=$D20,R$4&lt;=$E20),1,"")))</x:f>
      </x:c>
      <x:c r="S20" s="25" t="str">
        <x:f>IF($D20="","",IF($E20="",IF(S$4=$D20,1,""),IF(AND(S$4&gt;=$D20,S$4&lt;=$E20),1,"")))</x:f>
      </x:c>
      <x:c r="T20" s="25" t="str">
        <x:f>IF($D20="","",IF($E20="",IF(T$4=$D20,1,""),IF(AND(T$4&gt;=$D20,T$4&lt;=$E20),1,"")))</x:f>
      </x:c>
      <x:c r="U20" s="23" t="str">
        <x:f>IF($D20="","",IF($E20="",IF(U$4=$D20,1,""),IF(AND(U$4&gt;=$D20,U$4&lt;=$E20),1,"")))</x:f>
      </x:c>
      <x:c r="V20" s="23" t="str">
        <x:f>IF($D20="","",IF($E20="",IF(V$4=$D20,1,""),IF(AND(V$4&gt;=$D20,V$4&lt;=$E20),1,"")))</x:f>
      </x:c>
      <x:c r="W20" s="23" t="str">
        <x:f>IF($D20="","",IF($E20="",IF(W$4=$D20,1,""),IF(AND(W$4&gt;=$D20,W$4&lt;=$E20),1,"")))</x:f>
      </x:c>
      <x:c r="X20" s="23" t="str">
        <x:f>IF($D20="","",IF($E20="",IF(X$4=$D20,1,""),IF(AND(X$4&gt;=$D20,X$4&lt;=$E20),1,"")))</x:f>
      </x:c>
      <x:c r="Y20" s="23" t="str">
        <x:f>IF($D20="","",IF($E20="",IF(Y$4=$D20,1,""),IF(AND(Y$4&gt;=$D20,Y$4&lt;=$E20),1,"")))</x:f>
      </x:c>
      <x:c r="Z20" s="25" t="str">
        <x:f>IF($D20="","",IF($E20="",IF(Z$4=$D20,1,""),IF(AND(Z$4&gt;=$D20,Z$4&lt;=$E20),1,"")))</x:f>
      </x:c>
      <x:c r="AA20" s="25" t="str">
        <x:f>IF($D20="","",IF($E20="",IF(AA$4=$D20,1,""),IF(AND(AA$4&gt;=$D20,AA$4&lt;=$E20),1,"")))</x:f>
      </x:c>
      <x:c r="AB20" s="23" t="n">
        <x:f>IF($D20="","",IF($E20="",IF(AB$4=$D20,1,""),IF(AND(AB$4&gt;=$D20,AB$4&lt;=$E20),1,"")))</x:f>
        <x:v>1</x:v>
      </x:c>
      <x:c r="AC20" s="23" t="n">
        <x:f>IF($D20="","",IF($E20="",IF(AC$4=$D20,1,""),IF(AND(AC$4&gt;=$D20,AC$4&lt;=$E20),1,"")))</x:f>
        <x:v>1</x:v>
      </x:c>
      <x:c r="AD20" s="23" t="str">
        <x:f>IF($D20="","",IF($E20="",IF(AD$4=$D20,1,""),IF(AND(AD$4&gt;=$D20,AD$4&lt;=$E20),1,"")))</x:f>
      </x:c>
      <x:c r="AE20" s="23" t="str">
        <x:f>IF($D20="","",IF($E20="",IF(AE$4=$D20,1,""),IF(AND(AE$4&gt;=$D20,AE$4&lt;=$E20),1,"")))</x:f>
      </x:c>
      <x:c r="AF20" s="23" t="str">
        <x:f>IF($D20="","",IF($E20="",IF(AF$4=$D20,1,""),IF(AND(AF$4&gt;=$D20,AF$4&lt;=$E20),1,"")))</x:f>
      </x:c>
      <x:c r="AG20" s="25" t="str">
        <x:f>IF($D20="","",IF($E20="",IF(AG$4=$D20,1,""),IF(AND(AG$4&gt;=$D20,AG$4&lt;=$E20),1,"")))</x:f>
      </x:c>
      <x:c r="AH20" s="25" t="str">
        <x:f>IF($D20="","",IF($E20="",IF(AH$4=$D20,1,""),IF(AND(AH$4&gt;=$D20,AH$4&lt;=$E20),1,"")))</x:f>
      </x:c>
      <x:c r="AI20" s="23" t="str">
        <x:f>IF($D20="","",IF($E20="",IF(AI$4=$D20,1,""),IF(AND(AI$4&gt;=$D20,AI$4&lt;=$E20),1,"")))</x:f>
      </x:c>
    </x:row>
    <x:row r="21" ht="24" customHeight="1">
      <x:c r="A21" s="13" t="str">
        <x:v>P2-DOC-01</x:v>
      </x:c>
      <x:c r="B21" s="13" t="str">
        <x:v>Cloud / Hybrid Deliverable Freeze</x:v>
      </x:c>
      <x:c r="C21" s="13" t="str">
        <x:v>To Do</x:v>
      </x:c>
      <x:c r="D21" s="19" t="n">
        <x:v>46314</x:v>
      </x:c>
      <x:c r="E21" s="19" t="n">
        <x:v>46318</x:v>
      </x:c>
      <x:c r="F21" s="13" t="str">
        <x:v>이권욱</x:v>
      </x:c>
      <x:c r="G21" s="23" t="str">
        <x:f>IF($D21="","",IF($E21="",IF(G$4=$D21,1,""),IF(AND(G$4&gt;=$D21,G$4&lt;=$E21),1,"")))</x:f>
      </x:c>
      <x:c r="H21" s="23" t="str">
        <x:f>IF($D21="","",IF($E21="",IF(H$4=$D21,1,""),IF(AND(H$4&gt;=$D21,H$4&lt;=$E21),1,"")))</x:f>
      </x:c>
      <x:c r="I21" s="23" t="str">
        <x:f>IF($D21="","",IF($E21="",IF(I$4=$D21,1,""),IF(AND(I$4&gt;=$D21,I$4&lt;=$E21),1,"")))</x:f>
      </x:c>
      <x:c r="J21" s="23" t="str">
        <x:f>IF($D21="","",IF($E21="",IF(J$4=$D21,1,""),IF(AND(J$4&gt;=$D21,J$4&lt;=$E21),1,"")))</x:f>
      </x:c>
      <x:c r="K21" s="23" t="str">
        <x:f>IF($D21="","",IF($E21="",IF(K$4=$D21,1,""),IF(AND(K$4&gt;=$D21,K$4&lt;=$E21),1,"")))</x:f>
      </x:c>
      <x:c r="L21" s="25" t="str">
        <x:f>IF($D21="","",IF($E21="",IF(L$4=$D21,1,""),IF(AND(L$4&gt;=$D21,L$4&lt;=$E21),1,"")))</x:f>
      </x:c>
      <x:c r="M21" s="25" t="str">
        <x:f>IF($D21="","",IF($E21="",IF(M$4=$D21,1,""),IF(AND(M$4&gt;=$D21,M$4&lt;=$E21),1,"")))</x:f>
      </x:c>
      <x:c r="N21" s="23" t="str">
        <x:f>IF($D21="","",IF($E21="",IF(N$4=$D21,1,""),IF(AND(N$4&gt;=$D21,N$4&lt;=$E21),1,"")))</x:f>
      </x:c>
      <x:c r="O21" s="23" t="str">
        <x:f>IF($D21="","",IF($E21="",IF(O$4=$D21,1,""),IF(AND(O$4&gt;=$D21,O$4&lt;=$E21),1,"")))</x:f>
      </x:c>
      <x:c r="P21" s="23" t="str">
        <x:f>IF($D21="","",IF($E21="",IF(P$4=$D21,1,""),IF(AND(P$4&gt;=$D21,P$4&lt;=$E21),1,"")))</x:f>
      </x:c>
      <x:c r="Q21" s="23" t="str">
        <x:f>IF($D21="","",IF($E21="",IF(Q$4=$D21,1,""),IF(AND(Q$4&gt;=$D21,Q$4&lt;=$E21),1,"")))</x:f>
      </x:c>
      <x:c r="R21" s="23" t="str">
        <x:f>IF($D21="","",IF($E21="",IF(R$4=$D21,1,""),IF(AND(R$4&gt;=$D21,R$4&lt;=$E21),1,"")))</x:f>
      </x:c>
      <x:c r="S21" s="25" t="str">
        <x:f>IF($D21="","",IF($E21="",IF(S$4=$D21,1,""),IF(AND(S$4&gt;=$D21,S$4&lt;=$E21),1,"")))</x:f>
      </x:c>
      <x:c r="T21" s="25" t="str">
        <x:f>IF($D21="","",IF($E21="",IF(T$4=$D21,1,""),IF(AND(T$4&gt;=$D21,T$4&lt;=$E21),1,"")))</x:f>
      </x:c>
      <x:c r="U21" s="23" t="str">
        <x:f>IF($D21="","",IF($E21="",IF(U$4=$D21,1,""),IF(AND(U$4&gt;=$D21,U$4&lt;=$E21),1,"")))</x:f>
      </x:c>
      <x:c r="V21" s="23" t="str">
        <x:f>IF($D21="","",IF($E21="",IF(V$4=$D21,1,""),IF(AND(V$4&gt;=$D21,V$4&lt;=$E21),1,"")))</x:f>
      </x:c>
      <x:c r="W21" s="23" t="str">
        <x:f>IF($D21="","",IF($E21="",IF(W$4=$D21,1,""),IF(AND(W$4&gt;=$D21,W$4&lt;=$E21),1,"")))</x:f>
      </x:c>
      <x:c r="X21" s="23" t="str">
        <x:f>IF($D21="","",IF($E21="",IF(X$4=$D21,1,""),IF(AND(X$4&gt;=$D21,X$4&lt;=$E21),1,"")))</x:f>
      </x:c>
      <x:c r="Y21" s="23" t="str">
        <x:f>IF($D21="","",IF($E21="",IF(Y$4=$D21,1,""),IF(AND(Y$4&gt;=$D21,Y$4&lt;=$E21),1,"")))</x:f>
      </x:c>
      <x:c r="Z21" s="25" t="str">
        <x:f>IF($D21="","",IF($E21="",IF(Z$4=$D21,1,""),IF(AND(Z$4&gt;=$D21,Z$4&lt;=$E21),1,"")))</x:f>
      </x:c>
      <x:c r="AA21" s="25" t="str">
        <x:f>IF($D21="","",IF($E21="",IF(AA$4=$D21,1,""),IF(AND(AA$4&gt;=$D21,AA$4&lt;=$E21),1,"")))</x:f>
      </x:c>
      <x:c r="AB21" s="23" t="n">
        <x:f>IF($D21="","",IF($E21="",IF(AB$4=$D21,1,""),IF(AND(AB$4&gt;=$D21,AB$4&lt;=$E21),1,"")))</x:f>
        <x:v>1</x:v>
      </x:c>
      <x:c r="AC21" s="23" t="n">
        <x:f>IF($D21="","",IF($E21="",IF(AC$4=$D21,1,""),IF(AND(AC$4&gt;=$D21,AC$4&lt;=$E21),1,"")))</x:f>
        <x:v>1</x:v>
      </x:c>
      <x:c r="AD21" s="23" t="n">
        <x:f>IF($D21="","",IF($E21="",IF(AD$4=$D21,1,""),IF(AND(AD$4&gt;=$D21,AD$4&lt;=$E21),1,"")))</x:f>
        <x:v>1</x:v>
      </x:c>
      <x:c r="AE21" s="23" t="n">
        <x:f>IF($D21="","",IF($E21="",IF(AE$4=$D21,1,""),IF(AND(AE$4&gt;=$D21,AE$4&lt;=$E21),1,"")))</x:f>
        <x:v>1</x:v>
      </x:c>
      <x:c r="AF21" s="23" t="n">
        <x:f>IF($D21="","",IF($E21="",IF(AF$4=$D21,1,""),IF(AND(AF$4&gt;=$D21,AF$4&lt;=$E21),1,"")))</x:f>
        <x:v>1</x:v>
      </x:c>
      <x:c r="AG21" s="25" t="str">
        <x:f>IF($D21="","",IF($E21="",IF(AG$4=$D21,1,""),IF(AND(AG$4&gt;=$D21,AG$4&lt;=$E21),1,"")))</x:f>
      </x:c>
      <x:c r="AH21" s="25" t="str">
        <x:f>IF($D21="","",IF($E21="",IF(AH$4=$D21,1,""),IF(AND(AH$4&gt;=$D21,AH$4&lt;=$E21),1,"")))</x:f>
      </x:c>
      <x:c r="AI21" s="23" t="str">
        <x:f>IF($D21="","",IF($E21="",IF(AI$4=$D21,1,""),IF(AND(AI$4&gt;=$D21,AI$4&lt;=$E21),1,"")))</x:f>
      </x:c>
    </x:row>
    <x:row r="22" ht="24" customHeight="1">
      <x:c r="A22" s="13" t="str">
        <x:v>P2-E2E-01</x:v>
      </x:c>
      <x:c r="B22" s="13" t="str">
        <x:v>Hybrid E2E / Regression</x:v>
      </x:c>
      <x:c r="C22" s="13" t="str">
        <x:v>To Do</x:v>
      </x:c>
      <x:c r="D22" s="19" t="n">
        <x:v>46314</x:v>
      </x:c>
      <x:c r="E22" s="19" t="n">
        <x:v>46317</x:v>
      </x:c>
      <x:c r="F22" s="13" t="str">
        <x:v>이재환</x:v>
      </x:c>
      <x:c r="G22" s="23" t="str">
        <x:f>IF($D22="","",IF($E22="",IF(G$4=$D22,1,""),IF(AND(G$4&gt;=$D22,G$4&lt;=$E22),1,"")))</x:f>
      </x:c>
      <x:c r="H22" s="23" t="str">
        <x:f>IF($D22="","",IF($E22="",IF(H$4=$D22,1,""),IF(AND(H$4&gt;=$D22,H$4&lt;=$E22),1,"")))</x:f>
      </x:c>
      <x:c r="I22" s="23" t="str">
        <x:f>IF($D22="","",IF($E22="",IF(I$4=$D22,1,""),IF(AND(I$4&gt;=$D22,I$4&lt;=$E22),1,"")))</x:f>
      </x:c>
      <x:c r="J22" s="23" t="str">
        <x:f>IF($D22="","",IF($E22="",IF(J$4=$D22,1,""),IF(AND(J$4&gt;=$D22,J$4&lt;=$E22),1,"")))</x:f>
      </x:c>
      <x:c r="K22" s="23" t="str">
        <x:f>IF($D22="","",IF($E22="",IF(K$4=$D22,1,""),IF(AND(K$4&gt;=$D22,K$4&lt;=$E22),1,"")))</x:f>
      </x:c>
      <x:c r="L22" s="25" t="str">
        <x:f>IF($D22="","",IF($E22="",IF(L$4=$D22,1,""),IF(AND(L$4&gt;=$D22,L$4&lt;=$E22),1,"")))</x:f>
      </x:c>
      <x:c r="M22" s="25" t="str">
        <x:f>IF($D22="","",IF($E22="",IF(M$4=$D22,1,""),IF(AND(M$4&gt;=$D22,M$4&lt;=$E22),1,"")))</x:f>
      </x:c>
      <x:c r="N22" s="23" t="str">
        <x:f>IF($D22="","",IF($E22="",IF(N$4=$D22,1,""),IF(AND(N$4&gt;=$D22,N$4&lt;=$E22),1,"")))</x:f>
      </x:c>
      <x:c r="O22" s="23" t="str">
        <x:f>IF($D22="","",IF($E22="",IF(O$4=$D22,1,""),IF(AND(O$4&gt;=$D22,O$4&lt;=$E22),1,"")))</x:f>
      </x:c>
      <x:c r="P22" s="23" t="str">
        <x:f>IF($D22="","",IF($E22="",IF(P$4=$D22,1,""),IF(AND(P$4&gt;=$D22,P$4&lt;=$E22),1,"")))</x:f>
      </x:c>
      <x:c r="Q22" s="23" t="str">
        <x:f>IF($D22="","",IF($E22="",IF(Q$4=$D22,1,""),IF(AND(Q$4&gt;=$D22,Q$4&lt;=$E22),1,"")))</x:f>
      </x:c>
      <x:c r="R22" s="23" t="str">
        <x:f>IF($D22="","",IF($E22="",IF(R$4=$D22,1,""),IF(AND(R$4&gt;=$D22,R$4&lt;=$E22),1,"")))</x:f>
      </x:c>
      <x:c r="S22" s="25" t="str">
        <x:f>IF($D22="","",IF($E22="",IF(S$4=$D22,1,""),IF(AND(S$4&gt;=$D22,S$4&lt;=$E22),1,"")))</x:f>
      </x:c>
      <x:c r="T22" s="25" t="str">
        <x:f>IF($D22="","",IF($E22="",IF(T$4=$D22,1,""),IF(AND(T$4&gt;=$D22,T$4&lt;=$E22),1,"")))</x:f>
      </x:c>
      <x:c r="U22" s="23" t="str">
        <x:f>IF($D22="","",IF($E22="",IF(U$4=$D22,1,""),IF(AND(U$4&gt;=$D22,U$4&lt;=$E22),1,"")))</x:f>
      </x:c>
      <x:c r="V22" s="23" t="str">
        <x:f>IF($D22="","",IF($E22="",IF(V$4=$D22,1,""),IF(AND(V$4&gt;=$D22,V$4&lt;=$E22),1,"")))</x:f>
      </x:c>
      <x:c r="W22" s="23" t="str">
        <x:f>IF($D22="","",IF($E22="",IF(W$4=$D22,1,""),IF(AND(W$4&gt;=$D22,W$4&lt;=$E22),1,"")))</x:f>
      </x:c>
      <x:c r="X22" s="23" t="str">
        <x:f>IF($D22="","",IF($E22="",IF(X$4=$D22,1,""),IF(AND(X$4&gt;=$D22,X$4&lt;=$E22),1,"")))</x:f>
      </x:c>
      <x:c r="Y22" s="23" t="str">
        <x:f>IF($D22="","",IF($E22="",IF(Y$4=$D22,1,""),IF(AND(Y$4&gt;=$D22,Y$4&lt;=$E22),1,"")))</x:f>
      </x:c>
      <x:c r="Z22" s="25" t="str">
        <x:f>IF($D22="","",IF($E22="",IF(Z$4=$D22,1,""),IF(AND(Z$4&gt;=$D22,Z$4&lt;=$E22),1,"")))</x:f>
      </x:c>
      <x:c r="AA22" s="25" t="str">
        <x:f>IF($D22="","",IF($E22="",IF(AA$4=$D22,1,""),IF(AND(AA$4&gt;=$D22,AA$4&lt;=$E22),1,"")))</x:f>
      </x:c>
      <x:c r="AB22" s="23" t="n">
        <x:f>IF($D22="","",IF($E22="",IF(AB$4=$D22,1,""),IF(AND(AB$4&gt;=$D22,AB$4&lt;=$E22),1,"")))</x:f>
        <x:v>1</x:v>
      </x:c>
      <x:c r="AC22" s="23" t="n">
        <x:f>IF($D22="","",IF($E22="",IF(AC$4=$D22,1,""),IF(AND(AC$4&gt;=$D22,AC$4&lt;=$E22),1,"")))</x:f>
        <x:v>1</x:v>
      </x:c>
      <x:c r="AD22" s="23" t="n">
        <x:f>IF($D22="","",IF($E22="",IF(AD$4=$D22,1,""),IF(AND(AD$4&gt;=$D22,AD$4&lt;=$E22),1,"")))</x:f>
        <x:v>1</x:v>
      </x:c>
      <x:c r="AE22" s="23" t="n">
        <x:f>IF($D22="","",IF($E22="",IF(AE$4=$D22,1,""),IF(AND(AE$4&gt;=$D22,AE$4&lt;=$E22),1,"")))</x:f>
        <x:v>1</x:v>
      </x:c>
      <x:c r="AF22" s="23" t="str">
        <x:f>IF($D22="","",IF($E22="",IF(AF$4=$D22,1,""),IF(AND(AF$4&gt;=$D22,AF$4&lt;=$E22),1,"")))</x:f>
      </x:c>
      <x:c r="AG22" s="25" t="str">
        <x:f>IF($D22="","",IF($E22="",IF(AG$4=$D22,1,""),IF(AND(AG$4&gt;=$D22,AG$4&lt;=$E22),1,"")))</x:f>
      </x:c>
      <x:c r="AH22" s="25" t="str">
        <x:f>IF($D22="","",IF($E22="",IF(AH$4=$D22,1,""),IF(AND(AH$4&gt;=$D22,AH$4&lt;=$E22),1,"")))</x:f>
      </x:c>
      <x:c r="AI22" s="23" t="str">
        <x:f>IF($D22="","",IF($E22="",IF(AI$4=$D22,1,""),IF(AND(AI$4&gt;=$D22,AI$4&lt;=$E22),1,"")))</x:f>
      </x:c>
    </x:row>
    <x:row r="23" ht="24" customHeight="1">
      <x:c r="A23" s="13" t="str">
        <x:v>P2-OP-01</x:v>
      </x:c>
      <x:c r="B23" s="13" t="str">
        <x:v>Operator Supply Chain Implementation Conditional</x:v>
      </x:c>
      <x:c r="C23" s="13" t="str">
        <x:v>To Do</x:v>
      </x:c>
      <x:c r="D23" s="19" t="n">
        <x:v>46314</x:v>
      </x:c>
      <x:c r="E23" s="19" t="n">
        <x:v>46315</x:v>
      </x:c>
      <x:c r="F23" s="13" t="str">
        <x:v>이하영</x:v>
      </x:c>
      <x:c r="G23" s="23" t="str">
        <x:f>IF($D23="","",IF($E23="",IF(G$4=$D23,1,""),IF(AND(G$4&gt;=$D23,G$4&lt;=$E23),1,"")))</x:f>
      </x:c>
      <x:c r="H23" s="23" t="str">
        <x:f>IF($D23="","",IF($E23="",IF(H$4=$D23,1,""),IF(AND(H$4&gt;=$D23,H$4&lt;=$E23),1,"")))</x:f>
      </x:c>
      <x:c r="I23" s="23" t="str">
        <x:f>IF($D23="","",IF($E23="",IF(I$4=$D23,1,""),IF(AND(I$4&gt;=$D23,I$4&lt;=$E23),1,"")))</x:f>
      </x:c>
      <x:c r="J23" s="23" t="str">
        <x:f>IF($D23="","",IF($E23="",IF(J$4=$D23,1,""),IF(AND(J$4&gt;=$D23,J$4&lt;=$E23),1,"")))</x:f>
      </x:c>
      <x:c r="K23" s="23" t="str">
        <x:f>IF($D23="","",IF($E23="",IF(K$4=$D23,1,""),IF(AND(K$4&gt;=$D23,K$4&lt;=$E23),1,"")))</x:f>
      </x:c>
      <x:c r="L23" s="25" t="str">
        <x:f>IF($D23="","",IF($E23="",IF(L$4=$D23,1,""),IF(AND(L$4&gt;=$D23,L$4&lt;=$E23),1,"")))</x:f>
      </x:c>
      <x:c r="M23" s="25" t="str">
        <x:f>IF($D23="","",IF($E23="",IF(M$4=$D23,1,""),IF(AND(M$4&gt;=$D23,M$4&lt;=$E23),1,"")))</x:f>
      </x:c>
      <x:c r="N23" s="23" t="str">
        <x:f>IF($D23="","",IF($E23="",IF(N$4=$D23,1,""),IF(AND(N$4&gt;=$D23,N$4&lt;=$E23),1,"")))</x:f>
      </x:c>
      <x:c r="O23" s="23" t="str">
        <x:f>IF($D23="","",IF($E23="",IF(O$4=$D23,1,""),IF(AND(O$4&gt;=$D23,O$4&lt;=$E23),1,"")))</x:f>
      </x:c>
      <x:c r="P23" s="23" t="str">
        <x:f>IF($D23="","",IF($E23="",IF(P$4=$D23,1,""),IF(AND(P$4&gt;=$D23,P$4&lt;=$E23),1,"")))</x:f>
      </x:c>
      <x:c r="Q23" s="23" t="str">
        <x:f>IF($D23="","",IF($E23="",IF(Q$4=$D23,1,""),IF(AND(Q$4&gt;=$D23,Q$4&lt;=$E23),1,"")))</x:f>
      </x:c>
      <x:c r="R23" s="23" t="str">
        <x:f>IF($D23="","",IF($E23="",IF(R$4=$D23,1,""),IF(AND(R$4&gt;=$D23,R$4&lt;=$E23),1,"")))</x:f>
      </x:c>
      <x:c r="S23" s="25" t="str">
        <x:f>IF($D23="","",IF($E23="",IF(S$4=$D23,1,""),IF(AND(S$4&gt;=$D23,S$4&lt;=$E23),1,"")))</x:f>
      </x:c>
      <x:c r="T23" s="25" t="str">
        <x:f>IF($D23="","",IF($E23="",IF(T$4=$D23,1,""),IF(AND(T$4&gt;=$D23,T$4&lt;=$E23),1,"")))</x:f>
      </x:c>
      <x:c r="U23" s="23" t="str">
        <x:f>IF($D23="","",IF($E23="",IF(U$4=$D23,1,""),IF(AND(U$4&gt;=$D23,U$4&lt;=$E23),1,"")))</x:f>
      </x:c>
      <x:c r="V23" s="23" t="str">
        <x:f>IF($D23="","",IF($E23="",IF(V$4=$D23,1,""),IF(AND(V$4&gt;=$D23,V$4&lt;=$E23),1,"")))</x:f>
      </x:c>
      <x:c r="W23" s="23" t="str">
        <x:f>IF($D23="","",IF($E23="",IF(W$4=$D23,1,""),IF(AND(W$4&gt;=$D23,W$4&lt;=$E23),1,"")))</x:f>
      </x:c>
      <x:c r="X23" s="23" t="str">
        <x:f>IF($D23="","",IF($E23="",IF(X$4=$D23,1,""),IF(AND(X$4&gt;=$D23,X$4&lt;=$E23),1,"")))</x:f>
      </x:c>
      <x:c r="Y23" s="23" t="str">
        <x:f>IF($D23="","",IF($E23="",IF(Y$4=$D23,1,""),IF(AND(Y$4&gt;=$D23,Y$4&lt;=$E23),1,"")))</x:f>
      </x:c>
      <x:c r="Z23" s="25" t="str">
        <x:f>IF($D23="","",IF($E23="",IF(Z$4=$D23,1,""),IF(AND(Z$4&gt;=$D23,Z$4&lt;=$E23),1,"")))</x:f>
      </x:c>
      <x:c r="AA23" s="25" t="str">
        <x:f>IF($D23="","",IF($E23="",IF(AA$4=$D23,1,""),IF(AND(AA$4&gt;=$D23,AA$4&lt;=$E23),1,"")))</x:f>
      </x:c>
      <x:c r="AB23" s="23" t="n">
        <x:f>IF($D23="","",IF($E23="",IF(AB$4=$D23,1,""),IF(AND(AB$4&gt;=$D23,AB$4&lt;=$E23),1,"")))</x:f>
        <x:v>1</x:v>
      </x:c>
      <x:c r="AC23" s="23" t="n">
        <x:f>IF($D23="","",IF($E23="",IF(AC$4=$D23,1,""),IF(AND(AC$4&gt;=$D23,AC$4&lt;=$E23),1,"")))</x:f>
        <x:v>1</x:v>
      </x:c>
      <x:c r="AD23" s="23" t="str">
        <x:f>IF($D23="","",IF($E23="",IF(AD$4=$D23,1,""),IF(AND(AD$4&gt;=$D23,AD$4&lt;=$E23),1,"")))</x:f>
      </x:c>
      <x:c r="AE23" s="23" t="str">
        <x:f>IF($D23="","",IF($E23="",IF(AE$4=$D23,1,""),IF(AND(AE$4&gt;=$D23,AE$4&lt;=$E23),1,"")))</x:f>
      </x:c>
      <x:c r="AF23" s="23" t="str">
        <x:f>IF($D23="","",IF($E23="",IF(AF$4=$D23,1,""),IF(AND(AF$4&gt;=$D23,AF$4&lt;=$E23),1,"")))</x:f>
      </x:c>
      <x:c r="AG23" s="25" t="str">
        <x:f>IF($D23="","",IF($E23="",IF(AG$4=$D23,1,""),IF(AND(AG$4&gt;=$D23,AG$4&lt;=$E23),1,"")))</x:f>
      </x:c>
      <x:c r="AH23" s="25" t="str">
        <x:f>IF($D23="","",IF($E23="",IF(AH$4=$D23,1,""),IF(AND(AH$4&gt;=$D23,AH$4&lt;=$E23),1,"")))</x:f>
      </x:c>
      <x:c r="AI23" s="23" t="str">
        <x:f>IF($D23="","",IF($E23="",IF(AI$4=$D23,1,""),IF(AND(AI$4&gt;=$D23,AI$4&lt;=$E23),1,"")))</x:f>
      </x:c>
    </x:row>
    <x:row r="24" ht="24" customHeight="1">
      <x:c r="A24" s="13" t="str">
        <x:v>DEC-CAL-P2-01</x:v>
      </x:c>
      <x:c r="B24" s="13" t="str">
        <x:v>Phase 2 Weekend Review Decision</x:v>
      </x:c>
      <x:c r="C24" s="13" t="str">
        <x:v>To Do</x:v>
      </x:c>
      <x:c r="D24" s="19" t="n">
        <x:v>46317</x:v>
      </x:c>
      <x:c r="E24" s="19" t="n">
        <x:v>46318</x:v>
      </x:c>
      <x:c r="F24" s="13" t="str">
        <x:v>이권욱</x:v>
      </x:c>
      <x:c r="G24" s="23" t="str">
        <x:f>IF($D24="","",IF($E24="",IF(G$4=$D24,1,""),IF(AND(G$4&gt;=$D24,G$4&lt;=$E24),1,"")))</x:f>
      </x:c>
      <x:c r="H24" s="23" t="str">
        <x:f>IF($D24="","",IF($E24="",IF(H$4=$D24,1,""),IF(AND(H$4&gt;=$D24,H$4&lt;=$E24),1,"")))</x:f>
      </x:c>
      <x:c r="I24" s="23" t="str">
        <x:f>IF($D24="","",IF($E24="",IF(I$4=$D24,1,""),IF(AND(I$4&gt;=$D24,I$4&lt;=$E24),1,"")))</x:f>
      </x:c>
      <x:c r="J24" s="23" t="str">
        <x:f>IF($D24="","",IF($E24="",IF(J$4=$D24,1,""),IF(AND(J$4&gt;=$D24,J$4&lt;=$E24),1,"")))</x:f>
      </x:c>
      <x:c r="K24" s="23" t="str">
        <x:f>IF($D24="","",IF($E24="",IF(K$4=$D24,1,""),IF(AND(K$4&gt;=$D24,K$4&lt;=$E24),1,"")))</x:f>
      </x:c>
      <x:c r="L24" s="25" t="str">
        <x:f>IF($D24="","",IF($E24="",IF(L$4=$D24,1,""),IF(AND(L$4&gt;=$D24,L$4&lt;=$E24),1,"")))</x:f>
      </x:c>
      <x:c r="M24" s="25" t="str">
        <x:f>IF($D24="","",IF($E24="",IF(M$4=$D24,1,""),IF(AND(M$4&gt;=$D24,M$4&lt;=$E24),1,"")))</x:f>
      </x:c>
      <x:c r="N24" s="23" t="str">
        <x:f>IF($D24="","",IF($E24="",IF(N$4=$D24,1,""),IF(AND(N$4&gt;=$D24,N$4&lt;=$E24),1,"")))</x:f>
      </x:c>
      <x:c r="O24" s="23" t="str">
        <x:f>IF($D24="","",IF($E24="",IF(O$4=$D24,1,""),IF(AND(O$4&gt;=$D24,O$4&lt;=$E24),1,"")))</x:f>
      </x:c>
      <x:c r="P24" s="23" t="str">
        <x:f>IF($D24="","",IF($E24="",IF(P$4=$D24,1,""),IF(AND(P$4&gt;=$D24,P$4&lt;=$E24),1,"")))</x:f>
      </x:c>
      <x:c r="Q24" s="23" t="str">
        <x:f>IF($D24="","",IF($E24="",IF(Q$4=$D24,1,""),IF(AND(Q$4&gt;=$D24,Q$4&lt;=$E24),1,"")))</x:f>
      </x:c>
      <x:c r="R24" s="23" t="str">
        <x:f>IF($D24="","",IF($E24="",IF(R$4=$D24,1,""),IF(AND(R$4&gt;=$D24,R$4&lt;=$E24),1,"")))</x:f>
      </x:c>
      <x:c r="S24" s="25" t="str">
        <x:f>IF($D24="","",IF($E24="",IF(S$4=$D24,1,""),IF(AND(S$4&gt;=$D24,S$4&lt;=$E24),1,"")))</x:f>
      </x:c>
      <x:c r="T24" s="25" t="str">
        <x:f>IF($D24="","",IF($E24="",IF(T$4=$D24,1,""),IF(AND(T$4&gt;=$D24,T$4&lt;=$E24),1,"")))</x:f>
      </x:c>
      <x:c r="U24" s="23" t="str">
        <x:f>IF($D24="","",IF($E24="",IF(U$4=$D24,1,""),IF(AND(U$4&gt;=$D24,U$4&lt;=$E24),1,"")))</x:f>
      </x:c>
      <x:c r="V24" s="23" t="str">
        <x:f>IF($D24="","",IF($E24="",IF(V$4=$D24,1,""),IF(AND(V$4&gt;=$D24,V$4&lt;=$E24),1,"")))</x:f>
      </x:c>
      <x:c r="W24" s="23" t="str">
        <x:f>IF($D24="","",IF($E24="",IF(W$4=$D24,1,""),IF(AND(W$4&gt;=$D24,W$4&lt;=$E24),1,"")))</x:f>
      </x:c>
      <x:c r="X24" s="23" t="str">
        <x:f>IF($D24="","",IF($E24="",IF(X$4=$D24,1,""),IF(AND(X$4&gt;=$D24,X$4&lt;=$E24),1,"")))</x:f>
      </x:c>
      <x:c r="Y24" s="23" t="str">
        <x:f>IF($D24="","",IF($E24="",IF(Y$4=$D24,1,""),IF(AND(Y$4&gt;=$D24,Y$4&lt;=$E24),1,"")))</x:f>
      </x:c>
      <x:c r="Z24" s="25" t="str">
        <x:f>IF($D24="","",IF($E24="",IF(Z$4=$D24,1,""),IF(AND(Z$4&gt;=$D24,Z$4&lt;=$E24),1,"")))</x:f>
      </x:c>
      <x:c r="AA24" s="25" t="str">
        <x:f>IF($D24="","",IF($E24="",IF(AA$4=$D24,1,""),IF(AND(AA$4&gt;=$D24,AA$4&lt;=$E24),1,"")))</x:f>
      </x:c>
      <x:c r="AB24" s="23" t="str">
        <x:f>IF($D24="","",IF($E24="",IF(AB$4=$D24,1,""),IF(AND(AB$4&gt;=$D24,AB$4&lt;=$E24),1,"")))</x:f>
      </x:c>
      <x:c r="AC24" s="23" t="str">
        <x:f>IF($D24="","",IF($E24="",IF(AC$4=$D24,1,""),IF(AND(AC$4&gt;=$D24,AC$4&lt;=$E24),1,"")))</x:f>
      </x:c>
      <x:c r="AD24" s="23" t="str">
        <x:f>IF($D24="","",IF($E24="",IF(AD$4=$D24,1,""),IF(AND(AD$4&gt;=$D24,AD$4&lt;=$E24),1,"")))</x:f>
      </x:c>
      <x:c r="AE24" s="23" t="n">
        <x:f>IF($D24="","",IF($E24="",IF(AE$4=$D24,1,""),IF(AND(AE$4&gt;=$D24,AE$4&lt;=$E24),1,"")))</x:f>
        <x:v>1</x:v>
      </x:c>
      <x:c r="AF24" s="23" t="n">
        <x:f>IF($D24="","",IF($E24="",IF(AF$4=$D24,1,""),IF(AND(AF$4&gt;=$D24,AF$4&lt;=$E24),1,"")))</x:f>
        <x:v>1</x:v>
      </x:c>
      <x:c r="AG24" s="25" t="str">
        <x:f>IF($D24="","",IF($E24="",IF(AG$4=$D24,1,""),IF(AND(AG$4&gt;=$D24,AG$4&lt;=$E24),1,"")))</x:f>
      </x:c>
      <x:c r="AH24" s="25" t="str">
        <x:f>IF($D24="","",IF($E24="",IF(AH$4=$D24,1,""),IF(AND(AH$4&gt;=$D24,AH$4&lt;=$E24),1,"")))</x:f>
      </x:c>
      <x:c r="AI24" s="23" t="str">
        <x:f>IF($D24="","",IF($E24="",IF(AI$4=$D24,1,""),IF(AND(AI$4&gt;=$D24,AI$4&lt;=$E24),1,"")))</x:f>
      </x:c>
    </x:row>
    <x:row r="25" ht="24" customHeight="1">
      <x:c r="A25" s="13" t="str">
        <x:v>MS-G6-01</x:v>
      </x:c>
      <x:c r="B25" s="13" t="str">
        <x:v>G6 Hybrid Integration Ready</x:v>
      </x:c>
      <x:c r="C25" s="13" t="str">
        <x:v>To Do</x:v>
      </x:c>
      <x:c r="D25" s="19" t="n">
        <x:v>46317</x:v>
      </x:c>
      <x:c r="E25" s="19" t="n">
        <x:v>46317</x:v>
      </x:c>
      <x:c r="F25" s="13" t="str">
        <x:v>이권욱</x:v>
      </x:c>
      <x:c r="G25" s="23" t="str">
        <x:f>IF($D25="","",IF($E25="",IF(G$4=$D25,1,""),IF(AND(G$4&gt;=$D25,G$4&lt;=$E25),1,"")))</x:f>
      </x:c>
      <x:c r="H25" s="23" t="str">
        <x:f>IF($D25="","",IF($E25="",IF(H$4=$D25,1,""),IF(AND(H$4&gt;=$D25,H$4&lt;=$E25),1,"")))</x:f>
      </x:c>
      <x:c r="I25" s="23" t="str">
        <x:f>IF($D25="","",IF($E25="",IF(I$4=$D25,1,""),IF(AND(I$4&gt;=$D25,I$4&lt;=$E25),1,"")))</x:f>
      </x:c>
      <x:c r="J25" s="23" t="str">
        <x:f>IF($D25="","",IF($E25="",IF(J$4=$D25,1,""),IF(AND(J$4&gt;=$D25,J$4&lt;=$E25),1,"")))</x:f>
      </x:c>
      <x:c r="K25" s="23" t="str">
        <x:f>IF($D25="","",IF($E25="",IF(K$4=$D25,1,""),IF(AND(K$4&gt;=$D25,K$4&lt;=$E25),1,"")))</x:f>
      </x:c>
      <x:c r="L25" s="25" t="str">
        <x:f>IF($D25="","",IF($E25="",IF(L$4=$D25,1,""),IF(AND(L$4&gt;=$D25,L$4&lt;=$E25),1,"")))</x:f>
      </x:c>
      <x:c r="M25" s="25" t="str">
        <x:f>IF($D25="","",IF($E25="",IF(M$4=$D25,1,""),IF(AND(M$4&gt;=$D25,M$4&lt;=$E25),1,"")))</x:f>
      </x:c>
      <x:c r="N25" s="23" t="str">
        <x:f>IF($D25="","",IF($E25="",IF(N$4=$D25,1,""),IF(AND(N$4&gt;=$D25,N$4&lt;=$E25),1,"")))</x:f>
      </x:c>
      <x:c r="O25" s="23" t="str">
        <x:f>IF($D25="","",IF($E25="",IF(O$4=$D25,1,""),IF(AND(O$4&gt;=$D25,O$4&lt;=$E25),1,"")))</x:f>
      </x:c>
      <x:c r="P25" s="23" t="str">
        <x:f>IF($D25="","",IF($E25="",IF(P$4=$D25,1,""),IF(AND(P$4&gt;=$D25,P$4&lt;=$E25),1,"")))</x:f>
      </x:c>
      <x:c r="Q25" s="23" t="str">
        <x:f>IF($D25="","",IF($E25="",IF(Q$4=$D25,1,""),IF(AND(Q$4&gt;=$D25,Q$4&lt;=$E25),1,"")))</x:f>
      </x:c>
      <x:c r="R25" s="23" t="str">
        <x:f>IF($D25="","",IF($E25="",IF(R$4=$D25,1,""),IF(AND(R$4&gt;=$D25,R$4&lt;=$E25),1,"")))</x:f>
      </x:c>
      <x:c r="S25" s="25" t="str">
        <x:f>IF($D25="","",IF($E25="",IF(S$4=$D25,1,""),IF(AND(S$4&gt;=$D25,S$4&lt;=$E25),1,"")))</x:f>
      </x:c>
      <x:c r="T25" s="25" t="str">
        <x:f>IF($D25="","",IF($E25="",IF(T$4=$D25,1,""),IF(AND(T$4&gt;=$D25,T$4&lt;=$E25),1,"")))</x:f>
      </x:c>
      <x:c r="U25" s="23" t="str">
        <x:f>IF($D25="","",IF($E25="",IF(U$4=$D25,1,""),IF(AND(U$4&gt;=$D25,U$4&lt;=$E25),1,"")))</x:f>
      </x:c>
      <x:c r="V25" s="23" t="str">
        <x:f>IF($D25="","",IF($E25="",IF(V$4=$D25,1,""),IF(AND(V$4&gt;=$D25,V$4&lt;=$E25),1,"")))</x:f>
      </x:c>
      <x:c r="W25" s="23" t="str">
        <x:f>IF($D25="","",IF($E25="",IF(W$4=$D25,1,""),IF(AND(W$4&gt;=$D25,W$4&lt;=$E25),1,"")))</x:f>
      </x:c>
      <x:c r="X25" s="23" t="str">
        <x:f>IF($D25="","",IF($E25="",IF(X$4=$D25,1,""),IF(AND(X$4&gt;=$D25,X$4&lt;=$E25),1,"")))</x:f>
      </x:c>
      <x:c r="Y25" s="23" t="str">
        <x:f>IF($D25="","",IF($E25="",IF(Y$4=$D25,1,""),IF(AND(Y$4&gt;=$D25,Y$4&lt;=$E25),1,"")))</x:f>
      </x:c>
      <x:c r="Z25" s="25" t="str">
        <x:f>IF($D25="","",IF($E25="",IF(Z$4=$D25,1,""),IF(AND(Z$4&gt;=$D25,Z$4&lt;=$E25),1,"")))</x:f>
      </x:c>
      <x:c r="AA25" s="25" t="str">
        <x:f>IF($D25="","",IF($E25="",IF(AA$4=$D25,1,""),IF(AND(AA$4&gt;=$D25,AA$4&lt;=$E25),1,"")))</x:f>
      </x:c>
      <x:c r="AB25" s="23" t="str">
        <x:f>IF($D25="","",IF($E25="",IF(AB$4=$D25,1,""),IF(AND(AB$4&gt;=$D25,AB$4&lt;=$E25),1,"")))</x:f>
      </x:c>
      <x:c r="AC25" s="23" t="str">
        <x:f>IF($D25="","",IF($E25="",IF(AC$4=$D25,1,""),IF(AND(AC$4&gt;=$D25,AC$4&lt;=$E25),1,"")))</x:f>
      </x:c>
      <x:c r="AD25" s="23" t="str">
        <x:f>IF($D25="","",IF($E25="",IF(AD$4=$D25,1,""),IF(AND(AD$4&gt;=$D25,AD$4&lt;=$E25),1,"")))</x:f>
      </x:c>
      <x:c r="AE25" s="23" t="n">
        <x:f>IF($D25="","",IF($E25="",IF(AE$4=$D25,1,""),IF(AND(AE$4&gt;=$D25,AE$4&lt;=$E25),1,"")))</x:f>
        <x:v>1</x:v>
      </x:c>
      <x:c r="AF25" s="23" t="str">
        <x:f>IF($D25="","",IF($E25="",IF(AF$4=$D25,1,""),IF(AND(AF$4&gt;=$D25,AF$4&lt;=$E25),1,"")))</x:f>
      </x:c>
      <x:c r="AG25" s="25" t="str">
        <x:f>IF($D25="","",IF($E25="",IF(AG$4=$D25,1,""),IF(AND(AG$4&gt;=$D25,AG$4&lt;=$E25),1,"")))</x:f>
      </x:c>
      <x:c r="AH25" s="25" t="str">
        <x:f>IF($D25="","",IF($E25="",IF(AH$4=$D25,1,""),IF(AND(AH$4&gt;=$D25,AH$4&lt;=$E25),1,"")))</x:f>
      </x:c>
      <x:c r="AI25" s="23" t="str">
        <x:f>IF($D25="","",IF($E25="",IF(AI$4=$D25,1,""),IF(AND(AI$4&gt;=$D25,AI$4&lt;=$E25),1,"")))</x:f>
      </x:c>
    </x:row>
    <x:row r="26" ht="24" customHeight="1">
      <x:c r="A26" s="13" t="str">
        <x:v>MS-DELIVERABLE-FREEZE-01</x:v>
      </x:c>
      <x:c r="B26" s="13" t="str">
        <x:v>Deliverable Freeze</x:v>
      </x:c>
      <x:c r="C26" s="13" t="str">
        <x:v>To Do</x:v>
      </x:c>
      <x:c r="D26" s="19" t="n">
        <x:v>46318</x:v>
      </x:c>
      <x:c r="E26" s="19" t="n">
        <x:v>46318</x:v>
      </x:c>
      <x:c r="F26" s="13" t="str">
        <x:v>이권욱</x:v>
      </x:c>
      <x:c r="G26" s="23" t="str">
        <x:f>IF($D26="","",IF($E26="",IF(G$4=$D26,1,""),IF(AND(G$4&gt;=$D26,G$4&lt;=$E26),1,"")))</x:f>
      </x:c>
      <x:c r="H26" s="23" t="str">
        <x:f>IF($D26="","",IF($E26="",IF(H$4=$D26,1,""),IF(AND(H$4&gt;=$D26,H$4&lt;=$E26),1,"")))</x:f>
      </x:c>
      <x:c r="I26" s="23" t="str">
        <x:f>IF($D26="","",IF($E26="",IF(I$4=$D26,1,""),IF(AND(I$4&gt;=$D26,I$4&lt;=$E26),1,"")))</x:f>
      </x:c>
      <x:c r="J26" s="23" t="str">
        <x:f>IF($D26="","",IF($E26="",IF(J$4=$D26,1,""),IF(AND(J$4&gt;=$D26,J$4&lt;=$E26),1,"")))</x:f>
      </x:c>
      <x:c r="K26" s="23" t="str">
        <x:f>IF($D26="","",IF($E26="",IF(K$4=$D26,1,""),IF(AND(K$4&gt;=$D26,K$4&lt;=$E26),1,"")))</x:f>
      </x:c>
      <x:c r="L26" s="25" t="str">
        <x:f>IF($D26="","",IF($E26="",IF(L$4=$D26,1,""),IF(AND(L$4&gt;=$D26,L$4&lt;=$E26),1,"")))</x:f>
      </x:c>
      <x:c r="M26" s="25" t="str">
        <x:f>IF($D26="","",IF($E26="",IF(M$4=$D26,1,""),IF(AND(M$4&gt;=$D26,M$4&lt;=$E26),1,"")))</x:f>
      </x:c>
      <x:c r="N26" s="23" t="str">
        <x:f>IF($D26="","",IF($E26="",IF(N$4=$D26,1,""),IF(AND(N$4&gt;=$D26,N$4&lt;=$E26),1,"")))</x:f>
      </x:c>
      <x:c r="O26" s="23" t="str">
        <x:f>IF($D26="","",IF($E26="",IF(O$4=$D26,1,""),IF(AND(O$4&gt;=$D26,O$4&lt;=$E26),1,"")))</x:f>
      </x:c>
      <x:c r="P26" s="23" t="str">
        <x:f>IF($D26="","",IF($E26="",IF(P$4=$D26,1,""),IF(AND(P$4&gt;=$D26,P$4&lt;=$E26),1,"")))</x:f>
      </x:c>
      <x:c r="Q26" s="23" t="str">
        <x:f>IF($D26="","",IF($E26="",IF(Q$4=$D26,1,""),IF(AND(Q$4&gt;=$D26,Q$4&lt;=$E26),1,"")))</x:f>
      </x:c>
      <x:c r="R26" s="23" t="str">
        <x:f>IF($D26="","",IF($E26="",IF(R$4=$D26,1,""),IF(AND(R$4&gt;=$D26,R$4&lt;=$E26),1,"")))</x:f>
      </x:c>
      <x:c r="S26" s="25" t="str">
        <x:f>IF($D26="","",IF($E26="",IF(S$4=$D26,1,""),IF(AND(S$4&gt;=$D26,S$4&lt;=$E26),1,"")))</x:f>
      </x:c>
      <x:c r="T26" s="25" t="str">
        <x:f>IF($D26="","",IF($E26="",IF(T$4=$D26,1,""),IF(AND(T$4&gt;=$D26,T$4&lt;=$E26),1,"")))</x:f>
      </x:c>
      <x:c r="U26" s="23" t="str">
        <x:f>IF($D26="","",IF($E26="",IF(U$4=$D26,1,""),IF(AND(U$4&gt;=$D26,U$4&lt;=$E26),1,"")))</x:f>
      </x:c>
      <x:c r="V26" s="23" t="str">
        <x:f>IF($D26="","",IF($E26="",IF(V$4=$D26,1,""),IF(AND(V$4&gt;=$D26,V$4&lt;=$E26),1,"")))</x:f>
      </x:c>
      <x:c r="W26" s="23" t="str">
        <x:f>IF($D26="","",IF($E26="",IF(W$4=$D26,1,""),IF(AND(W$4&gt;=$D26,W$4&lt;=$E26),1,"")))</x:f>
      </x:c>
      <x:c r="X26" s="23" t="str">
        <x:f>IF($D26="","",IF($E26="",IF(X$4=$D26,1,""),IF(AND(X$4&gt;=$D26,X$4&lt;=$E26),1,"")))</x:f>
      </x:c>
      <x:c r="Y26" s="23" t="str">
        <x:f>IF($D26="","",IF($E26="",IF(Y$4=$D26,1,""),IF(AND(Y$4&gt;=$D26,Y$4&lt;=$E26),1,"")))</x:f>
      </x:c>
      <x:c r="Z26" s="25" t="str">
        <x:f>IF($D26="","",IF($E26="",IF(Z$4=$D26,1,""),IF(AND(Z$4&gt;=$D26,Z$4&lt;=$E26),1,"")))</x:f>
      </x:c>
      <x:c r="AA26" s="25" t="str">
        <x:f>IF($D26="","",IF($E26="",IF(AA$4=$D26,1,""),IF(AND(AA$4&gt;=$D26,AA$4&lt;=$E26),1,"")))</x:f>
      </x:c>
      <x:c r="AB26" s="23" t="str">
        <x:f>IF($D26="","",IF($E26="",IF(AB$4=$D26,1,""),IF(AND(AB$4&gt;=$D26,AB$4&lt;=$E26),1,"")))</x:f>
      </x:c>
      <x:c r="AC26" s="23" t="str">
        <x:f>IF($D26="","",IF($E26="",IF(AC$4=$D26,1,""),IF(AND(AC$4&gt;=$D26,AC$4&lt;=$E26),1,"")))</x:f>
      </x:c>
      <x:c r="AD26" s="23" t="str">
        <x:f>IF($D26="","",IF($E26="",IF(AD$4=$D26,1,""),IF(AND(AD$4&gt;=$D26,AD$4&lt;=$E26),1,"")))</x:f>
      </x:c>
      <x:c r="AE26" s="23" t="str">
        <x:f>IF($D26="","",IF($E26="",IF(AE$4=$D26,1,""),IF(AND(AE$4&gt;=$D26,AE$4&lt;=$E26),1,"")))</x:f>
      </x:c>
      <x:c r="AF26" s="23" t="n">
        <x:f>IF($D26="","",IF($E26="",IF(AF$4=$D26,1,""),IF(AND(AF$4&gt;=$D26,AF$4&lt;=$E26),1,"")))</x:f>
        <x:v>1</x:v>
      </x:c>
      <x:c r="AG26" s="25" t="str">
        <x:f>IF($D26="","",IF($E26="",IF(AG$4=$D26,1,""),IF(AND(AG$4&gt;=$D26,AG$4&lt;=$E26),1,"")))</x:f>
      </x:c>
      <x:c r="AH26" s="25" t="str">
        <x:f>IF($D26="","",IF($E26="",IF(AH$4=$D26,1,""),IF(AND(AH$4&gt;=$D26,AH$4&lt;=$E26),1,"")))</x:f>
      </x:c>
      <x:c r="AI26" s="23" t="str">
        <x:f>IF($D26="","",IF($E26="",IF(AI$4=$D26,1,""),IF(AND(AI$4&gt;=$D26,AI$4&lt;=$E26),1,"")))</x:f>
      </x:c>
    </x:row>
    <x:row r="27" ht="24" customHeight="1">
      <x:c r="A27" s="13" t="str">
        <x:v>P2-REV-01</x:v>
      </x:c>
      <x:c r="B27" s="13" t="str">
        <x:v>Phase 2 Review / Project Close Execution</x:v>
      </x:c>
      <x:c r="C27" s="13" t="str">
        <x:v>To Do</x:v>
      </x:c>
      <x:c r="D27" s="19" t="n">
        <x:v>46318</x:v>
      </x:c>
      <x:c r="E27" s="19" t="n">
        <x:v>46321</x:v>
      </x:c>
      <x:c r="F27" s="13" t="str">
        <x:v>이권욱</x:v>
      </x:c>
      <x:c r="G27" s="23" t="str">
        <x:f>IF($D27="","",IF($E27="",IF(G$4=$D27,1,""),IF(AND(G$4&gt;=$D27,G$4&lt;=$E27),1,"")))</x:f>
      </x:c>
      <x:c r="H27" s="23" t="str">
        <x:f>IF($D27="","",IF($E27="",IF(H$4=$D27,1,""),IF(AND(H$4&gt;=$D27,H$4&lt;=$E27),1,"")))</x:f>
      </x:c>
      <x:c r="I27" s="23" t="str">
        <x:f>IF($D27="","",IF($E27="",IF(I$4=$D27,1,""),IF(AND(I$4&gt;=$D27,I$4&lt;=$E27),1,"")))</x:f>
      </x:c>
      <x:c r="J27" s="23" t="str">
        <x:f>IF($D27="","",IF($E27="",IF(J$4=$D27,1,""),IF(AND(J$4&gt;=$D27,J$4&lt;=$E27),1,"")))</x:f>
      </x:c>
      <x:c r="K27" s="23" t="str">
        <x:f>IF($D27="","",IF($E27="",IF(K$4=$D27,1,""),IF(AND(K$4&gt;=$D27,K$4&lt;=$E27),1,"")))</x:f>
      </x:c>
      <x:c r="L27" s="25" t="str">
        <x:f>IF($D27="","",IF($E27="",IF(L$4=$D27,1,""),IF(AND(L$4&gt;=$D27,L$4&lt;=$E27),1,"")))</x:f>
      </x:c>
      <x:c r="M27" s="25" t="str">
        <x:f>IF($D27="","",IF($E27="",IF(M$4=$D27,1,""),IF(AND(M$4&gt;=$D27,M$4&lt;=$E27),1,"")))</x:f>
      </x:c>
      <x:c r="N27" s="23" t="str">
        <x:f>IF($D27="","",IF($E27="",IF(N$4=$D27,1,""),IF(AND(N$4&gt;=$D27,N$4&lt;=$E27),1,"")))</x:f>
      </x:c>
      <x:c r="O27" s="23" t="str">
        <x:f>IF($D27="","",IF($E27="",IF(O$4=$D27,1,""),IF(AND(O$4&gt;=$D27,O$4&lt;=$E27),1,"")))</x:f>
      </x:c>
      <x:c r="P27" s="23" t="str">
        <x:f>IF($D27="","",IF($E27="",IF(P$4=$D27,1,""),IF(AND(P$4&gt;=$D27,P$4&lt;=$E27),1,"")))</x:f>
      </x:c>
      <x:c r="Q27" s="23" t="str">
        <x:f>IF($D27="","",IF($E27="",IF(Q$4=$D27,1,""),IF(AND(Q$4&gt;=$D27,Q$4&lt;=$E27),1,"")))</x:f>
      </x:c>
      <x:c r="R27" s="23" t="str">
        <x:f>IF($D27="","",IF($E27="",IF(R$4=$D27,1,""),IF(AND(R$4&gt;=$D27,R$4&lt;=$E27),1,"")))</x:f>
      </x:c>
      <x:c r="S27" s="25" t="str">
        <x:f>IF($D27="","",IF($E27="",IF(S$4=$D27,1,""),IF(AND(S$4&gt;=$D27,S$4&lt;=$E27),1,"")))</x:f>
      </x:c>
      <x:c r="T27" s="25" t="str">
        <x:f>IF($D27="","",IF($E27="",IF(T$4=$D27,1,""),IF(AND(T$4&gt;=$D27,T$4&lt;=$E27),1,"")))</x:f>
      </x:c>
      <x:c r="U27" s="23" t="str">
        <x:f>IF($D27="","",IF($E27="",IF(U$4=$D27,1,""),IF(AND(U$4&gt;=$D27,U$4&lt;=$E27),1,"")))</x:f>
      </x:c>
      <x:c r="V27" s="23" t="str">
        <x:f>IF($D27="","",IF($E27="",IF(V$4=$D27,1,""),IF(AND(V$4&gt;=$D27,V$4&lt;=$E27),1,"")))</x:f>
      </x:c>
      <x:c r="W27" s="23" t="str">
        <x:f>IF($D27="","",IF($E27="",IF(W$4=$D27,1,""),IF(AND(W$4&gt;=$D27,W$4&lt;=$E27),1,"")))</x:f>
      </x:c>
      <x:c r="X27" s="23" t="str">
        <x:f>IF($D27="","",IF($E27="",IF(X$4=$D27,1,""),IF(AND(X$4&gt;=$D27,X$4&lt;=$E27),1,"")))</x:f>
      </x:c>
      <x:c r="Y27" s="23" t="str">
        <x:f>IF($D27="","",IF($E27="",IF(Y$4=$D27,1,""),IF(AND(Y$4&gt;=$D27,Y$4&lt;=$E27),1,"")))</x:f>
      </x:c>
      <x:c r="Z27" s="25" t="str">
        <x:f>IF($D27="","",IF($E27="",IF(Z$4=$D27,1,""),IF(AND(Z$4&gt;=$D27,Z$4&lt;=$E27),1,"")))</x:f>
      </x:c>
      <x:c r="AA27" s="25" t="str">
        <x:f>IF($D27="","",IF($E27="",IF(AA$4=$D27,1,""),IF(AND(AA$4&gt;=$D27,AA$4&lt;=$E27),1,"")))</x:f>
      </x:c>
      <x:c r="AB27" s="23" t="str">
        <x:f>IF($D27="","",IF($E27="",IF(AB$4=$D27,1,""),IF(AND(AB$4&gt;=$D27,AB$4&lt;=$E27),1,"")))</x:f>
      </x:c>
      <x:c r="AC27" s="23" t="str">
        <x:f>IF($D27="","",IF($E27="",IF(AC$4=$D27,1,""),IF(AND(AC$4&gt;=$D27,AC$4&lt;=$E27),1,"")))</x:f>
      </x:c>
      <x:c r="AD27" s="23" t="str">
        <x:f>IF($D27="","",IF($E27="",IF(AD$4=$D27,1,""),IF(AND(AD$4&gt;=$D27,AD$4&lt;=$E27),1,"")))</x:f>
      </x:c>
      <x:c r="AE27" s="23" t="str">
        <x:f>IF($D27="","",IF($E27="",IF(AE$4=$D27,1,""),IF(AND(AE$4&gt;=$D27,AE$4&lt;=$E27),1,"")))</x:f>
      </x:c>
      <x:c r="AF27" s="23" t="n">
        <x:f>IF($D27="","",IF($E27="",IF(AF$4=$D27,1,""),IF(AND(AF$4&gt;=$D27,AF$4&lt;=$E27),1,"")))</x:f>
        <x:v>1</x:v>
      </x:c>
      <x:c r="AG27" s="25" t="n">
        <x:f>IF($D27="","",IF($E27="",IF(AG$4=$D27,1,""),IF(AND(AG$4&gt;=$D27,AG$4&lt;=$E27),1,"")))</x:f>
        <x:v>1</x:v>
      </x:c>
      <x:c r="AH27" s="25" t="n">
        <x:f>IF($D27="","",IF($E27="",IF(AH$4=$D27,1,""),IF(AND(AH$4&gt;=$D27,AH$4&lt;=$E27),1,"")))</x:f>
        <x:v>1</x:v>
      </x:c>
      <x:c r="AI27" s="23" t="n">
        <x:f>IF($D27="","",IF($E27="",IF(AI$4=$D27,1,""),IF(AND(AI$4&gt;=$D27,AI$4&lt;=$E27),1,"")))</x:f>
        <x:v>1</x:v>
      </x:c>
    </x:row>
    <x:row r="28" ht="24" customHeight="1">
      <x:c r="A28" s="13" t="str">
        <x:v>MS-P2-REVIEW-01</x:v>
      </x:c>
      <x:c r="B28" s="13" t="str">
        <x:v>Phase 2 Review</x:v>
      </x:c>
      <x:c r="C28" s="13" t="str">
        <x:v>To Do</x:v>
      </x:c>
      <x:c r="D28" s="19" t="n">
        <x:v>46319</x:v>
      </x:c>
      <x:c r="E28" s="19" t="n">
        <x:v>46319</x:v>
      </x:c>
      <x:c r="F28" s="13" t="str">
        <x:v>이권욱</x:v>
      </x:c>
      <x:c r="G28" s="23" t="str">
        <x:f>IF($D28="","",IF($E28="",IF(G$4=$D28,1,""),IF(AND(G$4&gt;=$D28,G$4&lt;=$E28),1,"")))</x:f>
      </x:c>
      <x:c r="H28" s="23" t="str">
        <x:f>IF($D28="","",IF($E28="",IF(H$4=$D28,1,""),IF(AND(H$4&gt;=$D28,H$4&lt;=$E28),1,"")))</x:f>
      </x:c>
      <x:c r="I28" s="23" t="str">
        <x:f>IF($D28="","",IF($E28="",IF(I$4=$D28,1,""),IF(AND(I$4&gt;=$D28,I$4&lt;=$E28),1,"")))</x:f>
      </x:c>
      <x:c r="J28" s="23" t="str">
        <x:f>IF($D28="","",IF($E28="",IF(J$4=$D28,1,""),IF(AND(J$4&gt;=$D28,J$4&lt;=$E28),1,"")))</x:f>
      </x:c>
      <x:c r="K28" s="23" t="str">
        <x:f>IF($D28="","",IF($E28="",IF(K$4=$D28,1,""),IF(AND(K$4&gt;=$D28,K$4&lt;=$E28),1,"")))</x:f>
      </x:c>
      <x:c r="L28" s="25" t="str">
        <x:f>IF($D28="","",IF($E28="",IF(L$4=$D28,1,""),IF(AND(L$4&gt;=$D28,L$4&lt;=$E28),1,"")))</x:f>
      </x:c>
      <x:c r="M28" s="25" t="str">
        <x:f>IF($D28="","",IF($E28="",IF(M$4=$D28,1,""),IF(AND(M$4&gt;=$D28,M$4&lt;=$E28),1,"")))</x:f>
      </x:c>
      <x:c r="N28" s="23" t="str">
        <x:f>IF($D28="","",IF($E28="",IF(N$4=$D28,1,""),IF(AND(N$4&gt;=$D28,N$4&lt;=$E28),1,"")))</x:f>
      </x:c>
      <x:c r="O28" s="23" t="str">
        <x:f>IF($D28="","",IF($E28="",IF(O$4=$D28,1,""),IF(AND(O$4&gt;=$D28,O$4&lt;=$E28),1,"")))</x:f>
      </x:c>
      <x:c r="P28" s="23" t="str">
        <x:f>IF($D28="","",IF($E28="",IF(P$4=$D28,1,""),IF(AND(P$4&gt;=$D28,P$4&lt;=$E28),1,"")))</x:f>
      </x:c>
      <x:c r="Q28" s="23" t="str">
        <x:f>IF($D28="","",IF($E28="",IF(Q$4=$D28,1,""),IF(AND(Q$4&gt;=$D28,Q$4&lt;=$E28),1,"")))</x:f>
      </x:c>
      <x:c r="R28" s="23" t="str">
        <x:f>IF($D28="","",IF($E28="",IF(R$4=$D28,1,""),IF(AND(R$4&gt;=$D28,R$4&lt;=$E28),1,"")))</x:f>
      </x:c>
      <x:c r="S28" s="25" t="str">
        <x:f>IF($D28="","",IF($E28="",IF(S$4=$D28,1,""),IF(AND(S$4&gt;=$D28,S$4&lt;=$E28),1,"")))</x:f>
      </x:c>
      <x:c r="T28" s="25" t="str">
        <x:f>IF($D28="","",IF($E28="",IF(T$4=$D28,1,""),IF(AND(T$4&gt;=$D28,T$4&lt;=$E28),1,"")))</x:f>
      </x:c>
      <x:c r="U28" s="23" t="str">
        <x:f>IF($D28="","",IF($E28="",IF(U$4=$D28,1,""),IF(AND(U$4&gt;=$D28,U$4&lt;=$E28),1,"")))</x:f>
      </x:c>
      <x:c r="V28" s="23" t="str">
        <x:f>IF($D28="","",IF($E28="",IF(V$4=$D28,1,""),IF(AND(V$4&gt;=$D28,V$4&lt;=$E28),1,"")))</x:f>
      </x:c>
      <x:c r="W28" s="23" t="str">
        <x:f>IF($D28="","",IF($E28="",IF(W$4=$D28,1,""),IF(AND(W$4&gt;=$D28,W$4&lt;=$E28),1,"")))</x:f>
      </x:c>
      <x:c r="X28" s="23" t="str">
        <x:f>IF($D28="","",IF($E28="",IF(X$4=$D28,1,""),IF(AND(X$4&gt;=$D28,X$4&lt;=$E28),1,"")))</x:f>
      </x:c>
      <x:c r="Y28" s="23" t="str">
        <x:f>IF($D28="","",IF($E28="",IF(Y$4=$D28,1,""),IF(AND(Y$4&gt;=$D28,Y$4&lt;=$E28),1,"")))</x:f>
      </x:c>
      <x:c r="Z28" s="25" t="str">
        <x:f>IF($D28="","",IF($E28="",IF(Z$4=$D28,1,""),IF(AND(Z$4&gt;=$D28,Z$4&lt;=$E28),1,"")))</x:f>
      </x:c>
      <x:c r="AA28" s="25" t="str">
        <x:f>IF($D28="","",IF($E28="",IF(AA$4=$D28,1,""),IF(AND(AA$4&gt;=$D28,AA$4&lt;=$E28),1,"")))</x:f>
      </x:c>
      <x:c r="AB28" s="23" t="str">
        <x:f>IF($D28="","",IF($E28="",IF(AB$4=$D28,1,""),IF(AND(AB$4&gt;=$D28,AB$4&lt;=$E28),1,"")))</x:f>
      </x:c>
      <x:c r="AC28" s="23" t="str">
        <x:f>IF($D28="","",IF($E28="",IF(AC$4=$D28,1,""),IF(AND(AC$4&gt;=$D28,AC$4&lt;=$E28),1,"")))</x:f>
      </x:c>
      <x:c r="AD28" s="23" t="str">
        <x:f>IF($D28="","",IF($E28="",IF(AD$4=$D28,1,""),IF(AND(AD$4&gt;=$D28,AD$4&lt;=$E28),1,"")))</x:f>
      </x:c>
      <x:c r="AE28" s="23" t="str">
        <x:f>IF($D28="","",IF($E28="",IF(AE$4=$D28,1,""),IF(AND(AE$4&gt;=$D28,AE$4&lt;=$E28),1,"")))</x:f>
      </x:c>
      <x:c r="AF28" s="23" t="str">
        <x:f>IF($D28="","",IF($E28="",IF(AF$4=$D28,1,""),IF(AND(AF$4&gt;=$D28,AF$4&lt;=$E28),1,"")))</x:f>
      </x:c>
      <x:c r="AG28" s="25" t="n">
        <x:f>IF($D28="","",IF($E28="",IF(AG$4=$D28,1,""),IF(AND(AG$4&gt;=$D28,AG$4&lt;=$E28),1,"")))</x:f>
        <x:v>1</x:v>
      </x:c>
      <x:c r="AH28" s="25" t="str">
        <x:f>IF($D28="","",IF($E28="",IF(AH$4=$D28,1,""),IF(AND(AH$4&gt;=$D28,AH$4&lt;=$E28),1,"")))</x:f>
      </x:c>
      <x:c r="AI28" s="23" t="str">
        <x:f>IF($D28="","",IF($E28="",IF(AI$4=$D28,1,""),IF(AND(AI$4&gt;=$D28,AI$4&lt;=$E28),1,"")))</x:f>
      </x:c>
    </x:row>
    <x:row r="29" ht="24" customHeight="1">
      <x:c r="A29" s="13" t="str">
        <x:v>MS-PROJECT-CLOSE-01</x:v>
      </x:c>
      <x:c r="B29" s="13" t="str">
        <x:v>Project Close</x:v>
      </x:c>
      <x:c r="C29" s="13" t="str">
        <x:v>To Do</x:v>
      </x:c>
      <x:c r="D29" s="19" t="n">
        <x:v>46321</x:v>
      </x:c>
      <x:c r="E29" s="19" t="n">
        <x:v>46321</x:v>
      </x:c>
      <x:c r="F29" s="13" t="str">
        <x:v>이권욱</x:v>
      </x:c>
      <x:c r="G29" s="23" t="str">
        <x:f>IF($D29="","",IF($E29="",IF(G$4=$D29,1,""),IF(AND(G$4&gt;=$D29,G$4&lt;=$E29),1,"")))</x:f>
      </x:c>
      <x:c r="H29" s="23" t="str">
        <x:f>IF($D29="","",IF($E29="",IF(H$4=$D29,1,""),IF(AND(H$4&gt;=$D29,H$4&lt;=$E29),1,"")))</x:f>
      </x:c>
      <x:c r="I29" s="23" t="str">
        <x:f>IF($D29="","",IF($E29="",IF(I$4=$D29,1,""),IF(AND(I$4&gt;=$D29,I$4&lt;=$E29),1,"")))</x:f>
      </x:c>
      <x:c r="J29" s="23" t="str">
        <x:f>IF($D29="","",IF($E29="",IF(J$4=$D29,1,""),IF(AND(J$4&gt;=$D29,J$4&lt;=$E29),1,"")))</x:f>
      </x:c>
      <x:c r="K29" s="23" t="str">
        <x:f>IF($D29="","",IF($E29="",IF(K$4=$D29,1,""),IF(AND(K$4&gt;=$D29,K$4&lt;=$E29),1,"")))</x:f>
      </x:c>
      <x:c r="L29" s="25" t="str">
        <x:f>IF($D29="","",IF($E29="",IF(L$4=$D29,1,""),IF(AND(L$4&gt;=$D29,L$4&lt;=$E29),1,"")))</x:f>
      </x:c>
      <x:c r="M29" s="25" t="str">
        <x:f>IF($D29="","",IF($E29="",IF(M$4=$D29,1,""),IF(AND(M$4&gt;=$D29,M$4&lt;=$E29),1,"")))</x:f>
      </x:c>
      <x:c r="N29" s="23" t="str">
        <x:f>IF($D29="","",IF($E29="",IF(N$4=$D29,1,""),IF(AND(N$4&gt;=$D29,N$4&lt;=$E29),1,"")))</x:f>
      </x:c>
      <x:c r="O29" s="23" t="str">
        <x:f>IF($D29="","",IF($E29="",IF(O$4=$D29,1,""),IF(AND(O$4&gt;=$D29,O$4&lt;=$E29),1,"")))</x:f>
      </x:c>
      <x:c r="P29" s="23" t="str">
        <x:f>IF($D29="","",IF($E29="",IF(P$4=$D29,1,""),IF(AND(P$4&gt;=$D29,P$4&lt;=$E29),1,"")))</x:f>
      </x:c>
      <x:c r="Q29" s="23" t="str">
        <x:f>IF($D29="","",IF($E29="",IF(Q$4=$D29,1,""),IF(AND(Q$4&gt;=$D29,Q$4&lt;=$E29),1,"")))</x:f>
      </x:c>
      <x:c r="R29" s="23" t="str">
        <x:f>IF($D29="","",IF($E29="",IF(R$4=$D29,1,""),IF(AND(R$4&gt;=$D29,R$4&lt;=$E29),1,"")))</x:f>
      </x:c>
      <x:c r="S29" s="25" t="str">
        <x:f>IF($D29="","",IF($E29="",IF(S$4=$D29,1,""),IF(AND(S$4&gt;=$D29,S$4&lt;=$E29),1,"")))</x:f>
      </x:c>
      <x:c r="T29" s="25" t="str">
        <x:f>IF($D29="","",IF($E29="",IF(T$4=$D29,1,""),IF(AND(T$4&gt;=$D29,T$4&lt;=$E29),1,"")))</x:f>
      </x:c>
      <x:c r="U29" s="23" t="str">
        <x:f>IF($D29="","",IF($E29="",IF(U$4=$D29,1,""),IF(AND(U$4&gt;=$D29,U$4&lt;=$E29),1,"")))</x:f>
      </x:c>
      <x:c r="V29" s="23" t="str">
        <x:f>IF($D29="","",IF($E29="",IF(V$4=$D29,1,""),IF(AND(V$4&gt;=$D29,V$4&lt;=$E29),1,"")))</x:f>
      </x:c>
      <x:c r="W29" s="23" t="str">
        <x:f>IF($D29="","",IF($E29="",IF(W$4=$D29,1,""),IF(AND(W$4&gt;=$D29,W$4&lt;=$E29),1,"")))</x:f>
      </x:c>
      <x:c r="X29" s="23" t="str">
        <x:f>IF($D29="","",IF($E29="",IF(X$4=$D29,1,""),IF(AND(X$4&gt;=$D29,X$4&lt;=$E29),1,"")))</x:f>
      </x:c>
      <x:c r="Y29" s="23" t="str">
        <x:f>IF($D29="","",IF($E29="",IF(Y$4=$D29,1,""),IF(AND(Y$4&gt;=$D29,Y$4&lt;=$E29),1,"")))</x:f>
      </x:c>
      <x:c r="Z29" s="25" t="str">
        <x:f>IF($D29="","",IF($E29="",IF(Z$4=$D29,1,""),IF(AND(Z$4&gt;=$D29,Z$4&lt;=$E29),1,"")))</x:f>
      </x:c>
      <x:c r="AA29" s="25" t="str">
        <x:f>IF($D29="","",IF($E29="",IF(AA$4=$D29,1,""),IF(AND(AA$4&gt;=$D29,AA$4&lt;=$E29),1,"")))</x:f>
      </x:c>
      <x:c r="AB29" s="23" t="str">
        <x:f>IF($D29="","",IF($E29="",IF(AB$4=$D29,1,""),IF(AND(AB$4&gt;=$D29,AB$4&lt;=$E29),1,"")))</x:f>
      </x:c>
      <x:c r="AC29" s="23" t="str">
        <x:f>IF($D29="","",IF($E29="",IF(AC$4=$D29,1,""),IF(AND(AC$4&gt;=$D29,AC$4&lt;=$E29),1,"")))</x:f>
      </x:c>
      <x:c r="AD29" s="23" t="str">
        <x:f>IF($D29="","",IF($E29="",IF(AD$4=$D29,1,""),IF(AND(AD$4&gt;=$D29,AD$4&lt;=$E29),1,"")))</x:f>
      </x:c>
      <x:c r="AE29" s="23" t="str">
        <x:f>IF($D29="","",IF($E29="",IF(AE$4=$D29,1,""),IF(AND(AE$4&gt;=$D29,AE$4&lt;=$E29),1,"")))</x:f>
      </x:c>
      <x:c r="AF29" s="23" t="str">
        <x:f>IF($D29="","",IF($E29="",IF(AF$4=$D29,1,""),IF(AND(AF$4&gt;=$D29,AF$4&lt;=$E29),1,"")))</x:f>
      </x:c>
      <x:c r="AG29" s="25" t="str">
        <x:f>IF($D29="","",IF($E29="",IF(AG$4=$D29,1,""),IF(AND(AG$4&gt;=$D29,AG$4&lt;=$E29),1,"")))</x:f>
      </x:c>
      <x:c r="AH29" s="25" t="str">
        <x:f>IF($D29="","",IF($E29="",IF(AH$4=$D29,1,""),IF(AND(AH$4&gt;=$D29,AH$4&lt;=$E29),1,"")))</x:f>
      </x:c>
      <x:c r="AI29" s="23" t="n">
        <x:f>IF($D29="","",IF($E29="",IF(AI$4=$D29,1,""),IF(AND(AI$4&gt;=$D29,AI$4&lt;=$E29),1,"")))</x:f>
        <x:v>1</x:v>
      </x:c>
    </x:row>
  </x:sheetData>
  <x:mergeCells>
    <x:mergeCell ref="A1:AI1"/>
    <x:mergeCell ref="A2:AI2"/>
  </x:mergeCells>
  <x:conditionalFormatting sqref="G5:AI29">
    <x:cfRule type="expression" dxfId="14" priority="1">
      <x:formula>AND(G5=1,$C5="Done")</x:formula>
    </x:cfRule>
    <x:cfRule type="expression" dxfId="15" priority="2">
      <x:formula>AND(G5=1,$C5="In Progress")</x:formula>
    </x:cfRule>
    <x:cfRule type="expression" dxfId="16" priority="3">
      <x:formula>AND(G5=1,$C5="In Review")</x:formula>
    </x:cfRule>
    <x:cfRule type="expression" dxfId="17" priority="4">
      <x:formula>AND(G5=1,$C5="To Do")</x:formula>
    </x:cfRule>
    <x:cfRule type="expression" dxfId="18" priority="5">
      <x:formula>AND(G5=1,$C5="Blocked")</x:formula>
    </x:cfRule>
  </x:conditionalFormatting>
  <x:conditionalFormatting sqref="C5:C29">
    <x:cfRule type="containsText" dxfId="19" priority="6" operator="containsText" text="Done"/>
    <x:cfRule type="containsText" dxfId="20" priority="7" operator="containsText" text="In Progress"/>
    <x:cfRule type="containsText" dxfId="21" priority="8" operator="containsText" text="In Review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16" hidden="0" customWidth="1"/>
    <x:col min="4" max="4" width="16" hidden="0" customWidth="1"/>
    <x:col min="5" max="5" width="14" hidden="0" customWidth="1"/>
    <x:col min="6" max="6" width="14" hidden="0" customWidth="1"/>
    <x:col min="7" max="7" width="14" hidden="0" customWidth="1"/>
    <x:col min="8" max="8" width="42" hidden="0" customWidth="1"/>
    <x:col min="9" max="9" width="56" hidden="0" customWidth="1"/>
    <x:col min="10" max="10" width="34" hidden="0" customWidth="1"/>
  </x:cols>
  <x:sheetData>
    <x:row r="1" ht="34" customHeight="1">
      <x:c r="A1" s="3" t="str">
        <x:v>FDS v3.1.16 · Milestones &amp; Decision Calendar</x:v>
      </x:c>
      <x:c r="B1" s="3" t="str">
        <x:v>FDS v3.1.14 · Milestones &amp; Decision Calendar</x:v>
      </x:c>
      <x:c r="C1" s="3" t="str">
        <x:v>FDS v3.1.14 · Milestones &amp; Decision Calendar</x:v>
      </x:c>
      <x:c r="D1" s="3" t="str">
        <x:v>FDS v3.1.14 · Milestones &amp; Decision Calendar</x:v>
      </x:c>
      <x:c r="E1" s="3" t="str">
        <x:v>FDS v3.1.14 · Milestones &amp; Decision Calendar</x:v>
      </x:c>
      <x:c r="F1" s="3" t="str">
        <x:v>FDS v3.1.14 · Milestones &amp; Decision Calendar</x:v>
      </x:c>
      <x:c r="G1" s="3" t="str">
        <x:v>FDS v3.1.14 · Milestones &amp; Decision Calendar</x:v>
      </x:c>
      <x:c r="H1" s="3" t="str">
        <x:v>FDS v3.1.14 · Milestones &amp; Decision Calendar</x:v>
      </x:c>
      <x:c r="I1" s="3" t="str">
        <x:v>FDS v3.1.14 · Milestones &amp; Decision Calendar</x:v>
      </x:c>
      <x:c r="J1" s="3" t="str">
        <x:v>FDS v3.1.14 · Milestones &amp; Decision Calendar</x:v>
      </x:c>
    </x:row>
    <x:row r="3">
      <x:c r="A3" s="9" t="str">
        <x:v>ID</x:v>
      </x:c>
      <x:c r="B3" s="9" t="str">
        <x:v>Item</x:v>
      </x:c>
      <x:c r="C3" s="9" t="str">
        <x:v>Type</x:v>
      </x:c>
      <x:c r="D3" s="9" t="str">
        <x:v>Status</x:v>
      </x:c>
      <x:c r="E3" s="9" t="str">
        <x:v>Date / Start</x:v>
      </x:c>
      <x:c r="F3" s="9" t="str">
        <x:v>End</x:v>
      </x:c>
      <x:c r="G3" s="9" t="str">
        <x:v>Lead</x:v>
      </x:c>
      <x:c r="H3" s="9" t="str">
        <x:v>Decision / Exit</x:v>
      </x:c>
      <x:c r="I3" s="9" t="str">
        <x:v>Schedule note</x:v>
      </x:c>
      <x:c r="J3" s="9" t="str">
        <x:v>Lead action</x:v>
      </x:c>
    </x:row>
    <x:row r="4">
      <x:c r="A4" s="13" t="str">
        <x:v>MS-G0-01</x:v>
      </x:c>
      <x:c r="B4" s="13" t="str">
        <x:v>G0 Design Freeze</x:v>
      </x:c>
      <x:c r="C4" s="13" t="str">
        <x:v>Milestone</x:v>
      </x:c>
      <x:c r="D4" s="13" t="str">
        <x:v>Done</x:v>
      </x:c>
      <x:c r="E4" s="19" t="n">
        <x:v>46260</x:v>
      </x:c>
      <x:c r="F4" s="19" t="n">
        <x:v>46266</x:v>
      </x:c>
      <x:c r="G4" s="13" t="str">
        <x:v>이권욱</x:v>
      </x:c>
      <x:c r="H4" s="13" t="str">
        <x:v>D17; D28; D32</x:v>
      </x:c>
      <x:c r="I4" s="13" t="str">
        <x:v>G0 Design Freeze FULL PASS (2026-09-01).</x:v>
      </x:c>
      <x:c r="J4" s="13" t="str">
        <x:v>Approve gate evidence</x:v>
      </x:c>
    </x:row>
    <x:row r="5">
      <x:c r="A5" s="13" t="str">
        <x:v>MS-G1-01</x:v>
      </x:c>
      <x:c r="B5" s="13" t="str">
        <x:v>G1 Infrastructure Ready</x:v>
      </x:c>
      <x:c r="C5" s="13" t="str">
        <x:v>Milestone</x:v>
      </x:c>
      <x:c r="D5" s="13" t="str">
        <x:v>To Do</x:v>
      </x:c>
      <x:c r="E5" s="19" t="n">
        <x:v>46272</x:v>
      </x:c>
      <x:c r="F5" s="19" t="n">
        <x:v>46272</x:v>
      </x:c>
      <x:c r="G5" s="13" t="str">
        <x:v>이권욱</x:v>
      </x:c>
      <x:c r="H5" s="13" t="str">
        <x:v>D19; D25; D27</x:v>
      </x:c>
      <x:c r="I5" s="13" t="str">
        <x:v>D36에 따라 이재환 09-04 개인 휴가 및 P1-DB-01 완료일과 정렬해 09-07로 이동. G2/G3/Phase 1 Close는 유지.</x:v>
      </x:c>
      <x:c r="J5" s="13" t="str">
        <x:v>Approve gate evidence</x:v>
      </x:c>
    </x:row>
    <x:row r="6">
      <x:c r="A6" s="13" t="str">
        <x:v>MS-G2-01</x:v>
      </x:c>
      <x:c r="B6" s="13" t="str">
        <x:v>G2 Security / Feature Ready</x:v>
      </x:c>
      <x:c r="C6" s="13" t="str">
        <x:v>Milestone</x:v>
      </x:c>
      <x:c r="D6" s="13" t="str">
        <x:v>To Do</x:v>
      </x:c>
      <x:c r="E6" s="19" t="n">
        <x:v>46276</x:v>
      </x:c>
      <x:c r="F6" s="19" t="n">
        <x:v>46276</x:v>
      </x:c>
      <x:c r="G6" s="13" t="str">
        <x:v>이하영</x:v>
      </x:c>
      <x:c r="H6" s="13" t="str">
        <x:v>D17; D18; D19; D27</x:v>
      </x:c>
      <x:c r="I6" s="13" t="str">
        <x:v>D-SEC-01/D17과 DEC-P1-ENTRY-01/D18을 G2 선행조건으로 판정한다. Scope·Approver·Exit Criteria 승인과 External Exposure 결정을 P1-SEC-01 및 P1-APP-01 Evidence에 연결한다.</x:v>
      </x:c>
      <x:c r="J6" s="13" t="str">
        <x:v>Approve gate evidence</x:v>
      </x:c>
    </x:row>
    <x:row r="7">
      <x:c r="A7" s="13" t="str">
        <x:v>MS-G3-01</x:v>
      </x:c>
      <x:c r="B7" s="13" t="str">
        <x:v>G3 Review Ready</x:v>
      </x:c>
      <x:c r="C7" s="13" t="str">
        <x:v>Milestone</x:v>
      </x:c>
      <x:c r="D7" s="13" t="str">
        <x:v>To Do</x:v>
      </x:c>
      <x:c r="E7" s="19" t="n">
        <x:v>46283</x:v>
      </x:c>
      <x:c r="F7" s="19" t="n">
        <x:v>46283</x:v>
      </x:c>
      <x:c r="G7" s="13" t="str">
        <x:v>이권욱</x:v>
      </x:c>
      <x:c r="H7" s="13" t="str">
        <x:v>D20</x:v>
      </x:c>
      <x:c r="I7" s="13" t="str">
        <x:v>같은 날 DEC-CAL-P1-01을 종결해 Review 일정을 확정한다.</x:v>
      </x:c>
      <x:c r="J7" s="13" t="str">
        <x:v>Approve gate evidence</x:v>
      </x:c>
    </x:row>
    <x:row r="8">
      <x:c r="A8" s="13" t="str">
        <x:v>MS-P1-REVIEW-01</x:v>
      </x:c>
      <x:c r="B8" s="13" t="str">
        <x:v>Phase 1 Review</x:v>
      </x:c>
      <x:c r="C8" s="13" t="str">
        <x:v>Milestone</x:v>
      </x:c>
      <x:c r="D8" s="13" t="str">
        <x:v>To Do</x:v>
      </x:c>
      <x:c r="E8" s="19" t="n">
        <x:v>46285</x:v>
      </x:c>
      <x:c r="F8" s="19" t="n">
        <x:v>46285</x:v>
      </x:c>
      <x:c r="G8" s="13" t="str">
        <x:v>이권욱</x:v>
      </x:c>
      <x:c r="H8" s="13" t="str">
        <x:v>D20</x:v>
      </x:c>
      <x:c r="I8" s="13" t="str">
        <x:v>2026-09-20은 일요일이며 Working Days 0이다. D20이 변경을 승인하면 Start/End를 동일하게 수정한다.</x:v>
      </x:c>
      <x:c r="J8" s="13" t="str">
        <x:v>Approve gate evidence</x:v>
      </x:c>
    </x:row>
    <x:row r="9">
      <x:c r="A9" s="13" t="str">
        <x:v>MS-P1-CLOSE-01</x:v>
      </x:c>
      <x:c r="B9" s="13" t="str">
        <x:v>Phase 1 Close</x:v>
      </x:c>
      <x:c r="C9" s="13" t="str">
        <x:v>Milestone</x:v>
      </x:c>
      <x:c r="D9" s="13" t="str">
        <x:v>To Do</x:v>
      </x:c>
      <x:c r="E9" s="19" t="n">
        <x:v>46288</x:v>
      </x:c>
      <x:c r="F9" s="19" t="n">
        <x:v>46288</x:v>
      </x:c>
      <x:c r="G9" s="13" t="str">
        <x:v>이권욱</x:v>
      </x:c>
      <x:c r="H9" s="13" t="str">
        <x:v>D20</x:v>
      </x:c>
      <x:c r="I9" s="13" t="str">
        <x:v>09-24~09-25 비근무 전에 종결한다.</x:v>
      </x:c>
      <x:c r="J9" s="13" t="str">
        <x:v>Approve gate evidence</x:v>
      </x:c>
    </x:row>
    <x:row r="10">
      <x:c r="A10" s="13" t="str">
        <x:v>MS-P2-START-01</x:v>
      </x:c>
      <x:c r="B10" s="13" t="str">
        <x:v>Phase 2 Start</x:v>
      </x:c>
      <x:c r="C10" s="13" t="str">
        <x:v>Milestone</x:v>
      </x:c>
      <x:c r="D10" s="13" t="str">
        <x:v>To Do</x:v>
      </x:c>
      <x:c r="E10" s="19" t="n">
        <x:v>46293</x:v>
      </x:c>
      <x:c r="F10" s="19" t="n">
        <x:v>46293</x:v>
      </x:c>
      <x:c r="G10" s="13" t="str">
        <x:v>이권욱</x:v>
      </x:c>
      <x:c r="H10" s="13" t="str">
        <x:v>D10; D21</x:v>
      </x:c>
      <x:c r="I10" s="13" t="str">
        <x:v>09-24~09-25 비근무 후 첫 작업일에 착수한다.</x:v>
      </x:c>
      <x:c r="J10" s="13" t="str">
        <x:v>Approve gate evidence</x:v>
      </x:c>
    </x:row>
    <x:row r="11">
      <x:c r="A11" s="13" t="str">
        <x:v>MS-G4-01</x:v>
      </x:c>
      <x:c r="B11" s="13" t="str">
        <x:v>G4 Cloud / VPN Ready</x:v>
      </x:c>
      <x:c r="C11" s="13" t="str">
        <x:v>Milestone</x:v>
      </x:c>
      <x:c r="D11" s="13" t="str">
        <x:v>To Do</x:v>
      </x:c>
      <x:c r="E11" s="19" t="n">
        <x:v>46303</x:v>
      </x:c>
      <x:c r="F11" s="19" t="n">
        <x:v>46303</x:v>
      </x:c>
      <x:c r="G11" s="13" t="str">
        <x:v>이권욱</x:v>
      </x:c>
      <x:c r="H11" s="13" t="str">
        <x:v>D21</x:v>
      </x:c>
      <x:c r="I11" s="13" t="str">
        <x:v>10-05 비근무를 반영한다. OCI No-Go 시 승인 Fallback 기준으로 판정한다.</x:v>
      </x:c>
      <x:c r="J11" s="13" t="str">
        <x:v>Approve gate evidence</x:v>
      </x:c>
    </x:row>
    <x:row r="12">
      <x:c r="A12" s="13" t="str">
        <x:v>MS-G5-01</x:v>
      </x:c>
      <x:c r="B12" s="13" t="str">
        <x:v>G5 ROSA Application Ready</x:v>
      </x:c>
      <x:c r="C12" s="13" t="str">
        <x:v>Milestone</x:v>
      </x:c>
      <x:c r="D12" s="13" t="str">
        <x:v>To Do</x:v>
      </x:c>
      <x:c r="E12" s="19" t="n">
        <x:v>46311</x:v>
      </x:c>
      <x:c r="F12" s="19" t="n">
        <x:v>46311</x:v>
      </x:c>
      <x:c r="G12" s="13" t="str">
        <x:v>이하영</x:v>
      </x:c>
      <x:c r="H12" s="13" t="str">
        <x:v>D22; D23; D25; D26</x:v>
      </x:c>
      <x:c r="I12" s="13" t="str">
        <x:v>Registry는 D22, Hybrid DNS는 D23을 따른다. D23 미적용은 P0 IP Endpoint 사용 시 Non-blocker다.</x:v>
      </x:c>
      <x:c r="J12" s="13" t="str">
        <x:v>Approve gate evidence</x:v>
      </x:c>
    </x:row>
    <x:row r="13">
      <x:c r="A13" s="13" t="str">
        <x:v>MS-G6-01</x:v>
      </x:c>
      <x:c r="B13" s="13" t="str">
        <x:v>G6 Hybrid Integration Ready</x:v>
      </x:c>
      <x:c r="C13" s="13" t="str">
        <x:v>Milestone</x:v>
      </x:c>
      <x:c r="D13" s="13" t="str">
        <x:v>To Do</x:v>
      </x:c>
      <x:c r="E13" s="19" t="n">
        <x:v>46317</x:v>
      </x:c>
      <x:c r="F13" s="19" t="n">
        <x:v>46317</x:v>
      </x:c>
      <x:c r="G13" s="13" t="str">
        <x:v>이권욱</x:v>
      </x:c>
      <x:c r="H13" s="13" t="str">
        <x:v>D21; D22; D23; D26</x:v>
      </x:c>
      <x:c r="I13" s="13" t="str">
        <x:v>Hybrid DNS와 Operator 공급망은 D23/D26 결과에 따라 구현 또는 Cancelled 처리한다. 같은 날 DEC-CAL-P2-01 검토를 시작해 Review 일정을 10-23까지 확정한다.</x:v>
      </x:c>
      <x:c r="J13" s="13" t="str">
        <x:v>Approve gate evidence</x:v>
      </x:c>
    </x:row>
    <x:row r="14">
      <x:c r="A14" s="13" t="str">
        <x:v>MS-P2-REVIEW-01</x:v>
      </x:c>
      <x:c r="B14" s="13" t="str">
        <x:v>Phase 2 Review</x:v>
      </x:c>
      <x:c r="C14" s="13" t="str">
        <x:v>Milestone</x:v>
      </x:c>
      <x:c r="D14" s="13" t="str">
        <x:v>To Do</x:v>
      </x:c>
      <x:c r="E14" s="19" t="n">
        <x:v>46319</x:v>
      </x:c>
      <x:c r="F14" s="19" t="n">
        <x:v>46319</x:v>
      </x:c>
      <x:c r="G14" s="13" t="str">
        <x:v>이권욱</x:v>
      </x:c>
      <x:c r="H14" s="13" t="str">
        <x:v>D24</x:v>
      </x:c>
      <x:c r="I14" s="13" t="str">
        <x:v>2026-10-24는 토요일이며 Working Days 0이다. D24가 변경을 승인하면 Start/End를 동일하게 수정한다.</x:v>
      </x:c>
      <x:c r="J14" s="13" t="str">
        <x:v>Approve gate evidence</x:v>
      </x:c>
    </x:row>
    <x:row r="15">
      <x:c r="A15" s="13" t="str">
        <x:v>MS-PROJECT-CLOSE-01</x:v>
      </x:c>
      <x:c r="B15" s="13" t="str">
        <x:v>Project Close</x:v>
      </x:c>
      <x:c r="C15" s="13" t="str">
        <x:v>Milestone</x:v>
      </x:c>
      <x:c r="D15" s="13" t="str">
        <x:v>To Do</x:v>
      </x:c>
      <x:c r="E15" s="19" t="n">
        <x:v>46321</x:v>
      </x:c>
      <x:c r="F15" s="19" t="n">
        <x:v>46321</x:v>
      </x:c>
      <x:c r="G15" s="13" t="str">
        <x:v>이권욱</x:v>
      </x:c>
      <x:c r="H15" s="13" t="str">
        <x:v>D24</x:v>
      </x:c>
      <x:c r="I15" s="13" t="str">
        <x:v>D24가 Review를 10-26 이후로 이동시키면 Project Close도 Change Request 대상이다.</x:v>
      </x:c>
      <x:c r="J15" s="13" t="str">
        <x:v>Approve gate evidence</x:v>
      </x:c>
    </x:row>
    <x:row r="16">
      <x:c r="A16" s="13" t="str">
        <x:v>DEC-CAL-P1-01</x:v>
      </x:c>
      <x:c r="B16" s="13" t="str">
        <x:v>Phase 1 Weekend Review Decision</x:v>
      </x:c>
      <x:c r="C16" s="13" t="str">
        <x:v>Decision</x:v>
      </x:c>
      <x:c r="D16" s="13" t="str">
        <x:v>To Do</x:v>
      </x:c>
      <x:c r="E16" s="19" t="n">
        <x:v>46282</x:v>
      </x:c>
      <x:c r="F16" s="19" t="n">
        <x:v>46283</x:v>
      </x:c>
      <x:c r="G16" s="13" t="str">
        <x:v>이권욱</x:v>
      </x:c>
      <x:c r="H16" s="13" t="str">
        <x:v>D20</x:v>
      </x:c>
      <x:c r="I16" s="13" t="str">
        <x:v>09-20은 일요일이며 Working Days 0이다. 결정 전 해당 일정을 확정된 근무일로 간주하지 않는다.</x:v>
      </x:c>
      <x:c r="J16" s="13" t="str">
        <x:v>Confirm weekend date</x:v>
      </x:c>
    </x:row>
    <x:row r="17">
      <x:c r="A17" s="13" t="str">
        <x:v>DEC-CAL-P2-01</x:v>
      </x:c>
      <x:c r="B17" s="13" t="str">
        <x:v>Phase 2 Weekend Review Decision</x:v>
      </x:c>
      <x:c r="C17" s="13" t="str">
        <x:v>Decision</x:v>
      </x:c>
      <x:c r="D17" s="13" t="str">
        <x:v>To Do</x:v>
      </x:c>
      <x:c r="E17" s="19" t="n">
        <x:v>46317</x:v>
      </x:c>
      <x:c r="F17" s="19" t="n">
        <x:v>46318</x:v>
      </x:c>
      <x:c r="G17" s="13" t="str">
        <x:v>이권욱</x:v>
      </x:c>
      <x:c r="H17" s="13" t="str">
        <x:v>D24</x:v>
      </x:c>
      <x:c r="I17" s="13" t="str">
        <x:v>2026-10-24는 토요일이며 Working Days 0이다. Project Close 10-26 영향을 함께 검토한다.</x:v>
      </x:c>
      <x:c r="J17" s="13" t="str">
        <x:v>Confirm weekend date</x:v>
      </x:c>
    </x:row>
    <x:row r="18">
      <x:c r="A18" s="13" t="str">
        <x:v>ICR-D-NET-01-01</x:v>
      </x:c>
      <x:c r="B18" s="13" t="str">
        <x:v>Kubernetes Node Host Firewall &amp; Monitoring Route</x:v>
      </x:c>
      <x:c r="C18" s="13" t="str">
        <x:v>Change Request</x:v>
      </x:c>
      <x:c r="D18" s="13" t="str">
        <x:v>In Progress</x:v>
      </x:c>
      <x:c r="E18" s="19" t="n">
        <x:v>46266</x:v>
      </x:c>
      <x:c r="F18" s="19"/>
      <x:c r="G18" s="13" t="str">
        <x:v>이권욱</x:v>
      </x:c>
      <x:c r="H18" s="13" t="str">
        <x:v>D-NET-01 §15.2; P1-LB Stage A; P1-MON-01</x:v>
      </x:c>
      <x:c r="I18" s="13" t="str">
        <x:v>종료일은 Lead 승인 후 확정(TBD). mgmt-gw01 경유 Return Route와 9100/10250 최소 허용 Evidence가 필요.</x:v>
      </x:c>
      <x:c r="J18" s="13" t="str">
        <x:v>End date / G2 impact approval</x:v>
      </x:c>
    </x:row>
    <x:row r="19" ht="38" customHeight="1">
      <x:c r="A19" s="67" t="str">
        <x:v>D36</x:v>
      </x:c>
      <x:c r="B19" s="67" t="str">
        <x:v>Team Availability / Phase 1 Schedule &amp; Status Update</x:v>
      </x:c>
      <x:c r="C19" s="67" t="str">
        <x:v>Decision</x:v>
      </x:c>
      <x:c r="D19" s="67" t="str">
        <x:v>Done</x:v>
      </x:c>
      <x:c r="E19" s="68" t="n">
        <x:v>46268</x:v>
      </x:c>
      <x:c r="F19" s="68" t="n">
        <x:v>46268</x:v>
      </x:c>
      <x:c r="G19" s="67" t="str">
        <x:v>이권욱</x:v>
      </x:c>
      <x:c r="H19" s="67" t="str">
        <x:v>User approved JH LEE 09-04 personal leave; P1-DNS-01 Done; P1-K8S-01 In Progress</x:v>
      </x:c>
      <x:c r="I19" s="67" t="str">
        <x:v>P1-DB/G1 → 09-07; P1-APP → 09-10; P1-MON starts 09-07; downstream gates unchanged</x:v>
      </x:c>
      <x:c r="J19" s="67" t="str">
        <x:v>Release v3.1.16</x:v>
      </x:c>
    </x:row>
  </x:sheetData>
  <x:mergeCells>
    <x:mergeCell ref="A1:J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0" hidden="0" customWidth="1"/>
    <x:col min="3" max="3" width="36" hidden="0" customWidth="1"/>
    <x:col min="4" max="4" width="14" hidden="0" customWidth="1"/>
    <x:col min="5" max="5" width="14" hidden="0" customWidth="1"/>
    <x:col min="6" max="6" width="56" hidden="0" customWidth="1"/>
    <x:col min="7" max="7" width="30" hidden="0" customWidth="1"/>
    <x:col min="8" max="8" width="34" hidden="0" customWidth="1"/>
  </x:cols>
  <x:sheetData>
    <x:row r="1" ht="34" customHeight="1">
      <x:c r="A1" s="3" t="str">
        <x:v>FDS v3.1.16 · Risks, Assumptions &amp; Lead Decisions</x:v>
      </x:c>
      <x:c r="B1" s="3" t="str">
        <x:v>FDS v3.1.14 · Risks, Assumptions &amp; Lead Decisions</x:v>
      </x:c>
      <x:c r="C1" s="3" t="str">
        <x:v>FDS v3.1.14 · Risks, Assumptions &amp; Lead Decisions</x:v>
      </x:c>
      <x:c r="D1" s="3" t="str">
        <x:v>FDS v3.1.14 · Risks, Assumptions &amp; Lead Decisions</x:v>
      </x:c>
      <x:c r="E1" s="3" t="str">
        <x:v>FDS v3.1.14 · Risks, Assumptions &amp; Lead Decisions</x:v>
      </x:c>
      <x:c r="F1" s="3" t="str">
        <x:v>FDS v3.1.14 · Risks, Assumptions &amp; Lead Decisions</x:v>
      </x:c>
      <x:c r="G1" s="3" t="str">
        <x:v>FDS v3.1.14 · Risks, Assumptions &amp; Lead Decisions</x:v>
      </x:c>
      <x:c r="H1" s="3" t="str">
        <x:v>FDS v3.1.14 · Risks, Assumptions &amp; Lead Decisions</x:v>
      </x:c>
    </x:row>
    <x:row r="3">
      <x:c r="A3" s="9" t="str">
        <x:v>ID</x:v>
      </x:c>
      <x:c r="B3" s="9" t="str">
        <x:v>Risk / Assumption</x:v>
      </x:c>
      <x:c r="C3" s="9" t="str">
        <x:v>Impact</x:v>
      </x:c>
      <x:c r="D3" s="9" t="str">
        <x:v>Status</x:v>
      </x:c>
      <x:c r="E3" s="9" t="str">
        <x:v>Owner</x:v>
      </x:c>
      <x:c r="F3" s="9" t="str">
        <x:v>Mitigation / Recommendation</x:v>
      </x:c>
      <x:c r="G3" s="9" t="str">
        <x:v>Decision needed</x:v>
      </x:c>
      <x:c r="H3" s="9" t="str">
        <x:v>Evidence / Trigger</x:v>
      </x:c>
    </x:row>
    <x:row r="4" ht="42" customHeight="1">
      <x:c r="A4" s="13" t="str">
        <x:v>RA-01</x:v>
      </x:c>
      <x:c r="B4" s="13" t="str">
        <x:v>server01/server08 service concentration</x:v>
      </x:c>
      <x:c r="C4" s="13" t="str">
        <x:v>External SPOF remains despite 3CP+3Worker</x:v>
      </x:c>
      <x:c r="D4" s="13" t="str">
        <x:v>Open</x:v>
      </x:c>
      <x:c r="E4" s="13" t="str">
        <x:v>이권욱</x:v>
      </x:c>
      <x:c r="F4" s="13" t="str">
        <x:v>Prioritize LB/Registry/DB/management HA roadmap</x:v>
      </x:c>
      <x:c r="G4" s="13" t="str">
        <x:v>Mentor/Lead priority</x:v>
      </x:c>
      <x:c r="H4" s="13" t="str">
        <x:v>Failure domain review</x:v>
      </x:c>
    </x:row>
    <x:row r="5" ht="42" customHeight="1">
      <x:c r="A5" s="13" t="str">
        <x:v>RA-02</x:v>
      </x:c>
      <x:c r="B5" s="13" t="str">
        <x:v>ICR-D-NET-01-01 End TBD</x:v>
      </x:c>
      <x:c r="C5" s="13" t="str">
        <x:v>G2 schedule uncertainty</x:v>
      </x:c>
      <x:c r="D5" s="13" t="str">
        <x:v>Open</x:v>
      </x:c>
      <x:c r="E5" s="13" t="str">
        <x:v>이권욱</x:v>
      </x:c>
      <x:c r="F5" s="13" t="str">
        <x:v>Set end date after canary scope and rollback approval</x:v>
      </x:c>
      <x:c r="G5" s="13" t="str">
        <x:v>End date</x:v>
      </x:c>
      <x:c r="H5" s="13" t="str">
        <x:v>ICR plan</x:v>
      </x:c>
    </x:row>
    <x:row r="6" ht="42" customHeight="1">
      <x:c r="A6" s="13" t="str">
        <x:v>RA-03</x:v>
      </x:c>
      <x:c r="B6" s="13" t="str">
        <x:v>Management return route not closed</x:v>
      </x:c>
      <x:c r="C6" s="13" t="str">
        <x:v>P1-MON watchdog linkage blocked</x:v>
      </x:c>
      <x:c r="D6" s="13" t="str">
        <x:v>Open</x:v>
      </x:c>
      <x:c r="E6" s="13" t="str">
        <x:v>이권욱</x:v>
      </x:c>
      <x:c r="F6" s="13" t="str">
        <x:v>Validate .58 route on monitor/db/harbor/edge</x:v>
      </x:c>
      <x:c r="G6" s="13" t="str">
        <x:v>Completion date</x:v>
      </x:c>
      <x:c r="H6" s="13" t="str">
        <x:v>Positive/negative route evidence</x:v>
      </x:c>
    </x:row>
    <x:row r="7" ht="42" customHeight="1">
      <x:c r="A7" s="13" t="str">
        <x:v>RA-04</x:v>
      </x:c>
      <x:c r="B7" s="13" t="str">
        <x:v>Slides 11/12 screenshots absent</x:v>
      </x:c>
      <x:c r="C7" s="13" t="str">
        <x:v>Cannot claim runtime completion</x:v>
      </x:c>
      <x:c r="D7" s="13" t="str">
        <x:v>Open</x:v>
      </x:c>
      <x:c r="E7" s="13" t="str">
        <x:v>이재환</x:v>
      </x:c>
      <x:c r="F7" s="13" t="str">
        <x:v>Attach timestamped Test ID/result/path evidence</x:v>
      </x:c>
      <x:c r="G7" s="13" t="str">
        <x:v>Evidence acceptance</x:v>
      </x:c>
      <x:c r="H7" s="13" t="str">
        <x:v>P1-MON / DR evidence</x:v>
      </x:c>
    </x:row>
    <x:row r="8" ht="42" customHeight="1">
      <x:c r="A8" s="13" t="str">
        <x:v>RA-05</x:v>
      </x:c>
      <x:c r="B8" s="13" t="str">
        <x:v>09/20 Sunday / 10/24 Saturday review</x:v>
      </x:c>
      <x:c r="C8" s="13" t="str">
        <x:v>Attendance and close-date risk</x:v>
      </x:c>
      <x:c r="D8" s="13" t="str">
        <x:v>Open</x:v>
      </x:c>
      <x:c r="E8" s="13" t="str">
        <x:v>이권욱</x:v>
      </x:c>
      <x:c r="F8" s="13" t="str">
        <x:v>D20/D24 keep or move to business day</x:v>
      </x:c>
      <x:c r="G8" s="13" t="str">
        <x:v>Calendar decision</x:v>
      </x:c>
      <x:c r="H8" s="13" t="str">
        <x:v>Approved calendar</x:v>
      </x:c>
    </x:row>
    <x:row r="9" ht="42" customHeight="1">
      <x:c r="A9" s="13" t="str">
        <x:v>RA-06</x:v>
      </x:c>
      <x:c r="B9" s="13" t="str">
        <x:v>JH LEE (이재환) unavailable 09/04 and 09/14–09/17</x:v>
      </x:c>
      <x:c r="C9" s="13" t="str">
        <x:v>P1-DB/G1/APP/MON 및 HA/DR/E2E ownership conflict</x:v>
      </x:c>
      <x:c r="D9" s="13" t="str">
        <x:v>Mitigated</x:v>
      </x:c>
      <x:c r="E9" s="13" t="str">
        <x:v>이권욱</x:v>
      </x:c>
      <x:c r="F9" s="13" t="str">
        <x:v>09-04 owner-specific 일정 재기준선 반영; 지원 이권욱·이하영. 09/14–17 실행·리뷰 커버리지 유지.</x:v>
      </x:c>
      <x:c r="G9" s="13" t="str">
        <x:v>No further decision for 09-04; later absence coverage remains active</x:v>
      </x:c>
      <x:c r="H9" s="13" t="str">
        <x:v>D36; Team Calendar; updated WBS</x:v>
      </x:c>
    </x:row>
    <x:row r="10" ht="42" customHeight="1">
      <x:c r="A10" s="13" t="str">
        <x:v>RA-07</x:v>
      </x:c>
      <x:c r="B10" s="13" t="str">
        <x:v>HEP/GNP lockout</x:v>
      </x:c>
      <x:c r="C10" s="13" t="str">
        <x:v>SSH/API/CNI outage</x:v>
      </x:c>
      <x:c r="D10" s="13" t="str">
        <x:v>Open</x:v>
      </x:c>
      <x:c r="E10" s="13" t="str">
        <x:v>이하영</x:v>
      </x:c>
      <x:c r="F10" s="13" t="str">
        <x:v>Bootstrap allow → canary Worker → Worker → CP; rollback</x:v>
      </x:c>
      <x:c r="G10" s="13" t="str">
        <x:v>Canary gate</x:v>
      </x:c>
      <x:c r="H10" s="13" t="str">
        <x:v>Connectivity regression</x:v>
      </x:c>
    </x:row>
    <x:row r="11" ht="42" customHeight="1">
      <x:c r="A11" s="13" t="str">
        <x:v>RA-08</x:v>
      </x:c>
      <x:c r="B11" s="13" t="str">
        <x:v>externalTrafficPolicy Local without local endpoint</x:v>
      </x:c>
      <x:c r="C11" s="13" t="str">
        <x:v>Traffic dropped on selected Worker</x:v>
      </x:c>
      <x:c r="D11" s="13" t="str">
        <x:v>Open</x:v>
      </x:c>
      <x:c r="E11" s="13" t="str">
        <x:v>이권욱</x:v>
      </x:c>
      <x:c r="F11" s="13" t="str">
        <x:v>Replica topology + LB health excludes node</x:v>
      </x:c>
      <x:c r="G11" s="13" t="str">
        <x:v>Backend health policy</x:v>
      </x:c>
      <x:c r="H11" s="13" t="str">
        <x:v>Node-local endpoint test</x:v>
      </x:c>
    </x:row>
    <x:row r="12" ht="42" customHeight="1">
      <x:c r="A12" s="13" t="str">
        <x:v>RA-09</x:v>
      </x:c>
      <x:c r="B12" s="13" t="str">
        <x:v>Trivy severity threshold not explicit in canonical</x:v>
      </x:c>
      <x:c r="C12" s="13" t="str">
        <x:v>Pipeline gate ambiguity</x:v>
      </x:c>
      <x:c r="D12" s="13" t="str">
        <x:v>Open</x:v>
      </x:c>
      <x:c r="E12" s="13" t="str">
        <x:v>이하영</x:v>
      </x:c>
      <x:c r="F12" s="13" t="str">
        <x:v>Approve HIGH/CRITICAL fail threshold in P1-CICD-01</x:v>
      </x:c>
      <x:c r="G12" s="13" t="str">
        <x:v>Threshold approval</x:v>
      </x:c>
      <x:c r="H12" s="13" t="str">
        <x:v>Negative scan gate</x:v>
      </x:c>
    </x:row>
    <x:row r="13" ht="42" customHeight="1">
      <x:c r="A13" s="13" t="str">
        <x:v>RA-10</x:v>
      </x:c>
      <x:c r="B13" s="13" t="str">
        <x:v>Kubernetes minor / PSA version TBD</x:v>
      </x:c>
      <x:c r="C13" s="13" t="str">
        <x:v>Unexpected admission change on upgrade</x:v>
      </x:c>
      <x:c r="D13" s="13" t="str">
        <x:v>Open</x:v>
      </x:c>
      <x:c r="E13" s="13" t="str">
        <x:v>이하영</x:v>
      </x:c>
      <x:c r="F13" s="13" t="str">
        <x:v>Read cluster minor in P1-K8S then pin PSA version</x:v>
      </x:c>
      <x:c r="G13" s="13" t="str">
        <x:v>Version value</x:v>
      </x:c>
      <x:c r="H13" s="13" t="str">
        <x:v>kubectl version evidence</x:v>
      </x:c>
    </x:row>
  </x:sheetData>
  <x:mergeCells>
    <x:mergeCell ref="A1:H1"/>
  </x:mergeCells>
  <x:conditionalFormatting sqref="D4:D13">
    <x:cfRule type="containsText" dxfId="22" priority="1" operator="containsText" text="Open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8" hidden="0" customWidth="1"/>
    <x:col min="3" max="3" width="20" hidden="0" customWidth="1"/>
    <x:col min="4" max="4" width="30" hidden="0" customWidth="1"/>
    <x:col min="5" max="5" width="58" hidden="0" customWidth="1"/>
    <x:col min="7" max="7" width="24" hidden="0" customWidth="1"/>
    <x:col min="8" max="8" width="52" hidden="0" customWidth="1"/>
    <x:col min="10" max="10" width="24" hidden="0" customWidth="1"/>
  </x:cols>
  <x:sheetData>
    <x:row r="1" ht="34" customHeight="1">
      <x:c r="A1" s="3" t="str">
        <x:v>FDS v3.1.16 · Sources &amp; Change Log</x:v>
      </x:c>
      <x:c r="B1" s="3" t="str">
        <x:v>FDS v3.1.14 · Sources &amp; Change Log</x:v>
      </x:c>
      <x:c r="C1" s="3" t="str">
        <x:v>FDS v3.1.14 · Sources &amp; Change Log</x:v>
      </x:c>
      <x:c r="D1" s="3" t="str">
        <x:v>FDS v3.1.14 · Sources &amp; Change Log</x:v>
      </x:c>
      <x:c r="E1" s="3" t="str">
        <x:v>FDS v3.1.14 · Sources &amp; Change Log</x:v>
      </x:c>
      <x:c r="F1" s="3" t="str">
        <x:v>FDS v3.1.14 · Sources &amp; Change Log</x:v>
      </x:c>
      <x:c r="G1" s="3" t="str">
        <x:v>FDS v3.1.14 · Sources &amp; Change Log</x:v>
      </x:c>
      <x:c r="H1" s="3" t="str">
        <x:v>FDS v3.1.14 · Sources &amp; Change Log</x:v>
      </x:c>
      <x:c r="I1" s="3" t="str">
        <x:v>FDS v3.1.14 · Sources &amp; Change Log</x:v>
      </x:c>
      <x:c r="J1" s="14" t="str">
        <x:v>Non-working dates</x:v>
      </x:c>
    </x:row>
    <x:row r="2">
      <x:c r="J2" s="15" t="n">
        <x:v>46289</x:v>
      </x:c>
    </x:row>
    <x:row r="3">
      <x:c r="A3" s="9" t="str">
        <x:v>Type</x:v>
      </x:c>
      <x:c r="B3" s="9" t="str">
        <x:v>Source / Change</x:v>
      </x:c>
      <x:c r="C3" s="9" t="str">
        <x:v>Version / Date</x:v>
      </x:c>
      <x:c r="D3" s="9" t="str">
        <x:v>Use</x:v>
      </x:c>
      <x:c r="E3" s="9" t="str">
        <x:v>Notes</x:v>
      </x:c>
      <x:c r="G3" s="9" t="str">
        <x:v>Canonical change</x:v>
      </x:c>
      <x:c r="H3" s="9" t="str">
        <x:v>Applied result</x:v>
      </x:c>
      <x:c r="J3" s="15" t="n">
        <x:v>46290</x:v>
      </x:c>
    </x:row>
    <x:row r="4">
      <x:c r="A4" s="13" t="str">
        <x:v>Canonical</x:v>
      </x:c>
      <x:c r="B4" s="13" t="str">
        <x:v>FDS_Project_Implementation_Baseline_v3.1.16.md</x:v>
      </x:c>
      <x:c r="C4" s="13" t="str">
        <x:v>v3.1.16 / 2026-09-03</x:v>
      </x:c>
      <x:c r="D4" s="13" t="str">
        <x:v>Architecture / security / gates / team availability</x:v>
      </x:c>
      <x:c r="E4" s="13" t="str">
        <x:v>Primary canonical source</x:v>
      </x:c>
      <x:c r="G4" s="13" t="str">
        <x:v>D36 / Team availability</x:v>
      </x:c>
      <x:c r="H4" s="13" t="str">
        <x:v>JH LEE 09-04 personal leave approved; owner-specific calendar added</x:v>
      </x:c>
      <x:c r="J4" s="15" t="n">
        <x:v>46300</x:v>
      </x:c>
    </x:row>
    <x:row r="5">
      <x:c r="A5" s="13" t="str">
        <x:v>Canonical</x:v>
      </x:c>
      <x:c r="B5" s="13" t="str">
        <x:v>FDS_v3.1.16_Canonical_Ticket_Update_Pack_v1.0.md</x:v>
      </x:c>
      <x:c r="C5" s="13" t="str">
        <x:v>v1.0 / 2026-09-03</x:v>
      </x:c>
      <x:c r="D5" s="13" t="str">
        <x:v>Ticket status / owner / acceptance / schedule</x:v>
      </x:c>
      <x:c r="E5" s="13" t="str">
        <x:v>Applied as override</x:v>
      </x:c>
      <x:c r="G5" s="13" t="str">
        <x:v>P1-DNS-01</x:v>
      </x:c>
      <x:c r="H5" s="13" t="str">
        <x:v>Done; technical/Evidence/Support review closed 2026-09-03</x:v>
      </x:c>
      <x:c r="J5" s="15" t="n">
        <x:v>46304</x:v>
      </x:c>
    </x:row>
    <x:row r="6">
      <x:c r="A6" s="13" t="str">
        <x:v>Canonical</x:v>
      </x:c>
      <x:c r="B6" s="13" t="str">
        <x:v>D36_Team_Availability_and_Status_Update_Record_v1.0.md</x:v>
      </x:c>
      <x:c r="C6" s="13" t="str">
        <x:v>D36 / 2026-09-03</x:v>
      </x:c>
      <x:c r="D6" s="13" t="str">
        <x:v>Personal leave / status / linked dates</x:v>
      </x:c>
      <x:c r="E6" s="13" t="str">
        <x:v>User-approved change</x:v>
      </x:c>
      <x:c r="G6" s="13" t="str">
        <x:v>P1-K8S-01</x:v>
      </x:c>
      <x:c r="H6" s="13" t="str">
        <x:v>In Progress; started 2026-09-03 after LB Stage A handoff</x:v>
      </x:c>
    </x:row>
    <x:row r="7">
      <x:c r="A7" s="13" t="str">
        <x:v>Canonical</x:v>
      </x:c>
      <x:c r="B7" s="13" t="str">
        <x:v>D-SEC-01_Kubernetes_Security_Design_Baseline_v1.0.md</x:v>
      </x:c>
      <x:c r="C7" s="13" t="str">
        <x:v>v1.0 / APPROVED</x:v>
      </x:c>
      <x:c r="D7" s="13" t="str">
        <x:v>Security controls</x:v>
      </x:c>
      <x:c r="E7" s="13" t="str">
        <x:v>Design approved; runtime evidence separate</x:v>
      </x:c>
      <x:c r="G7" s="13" t="str">
        <x:v>P1-LB-01</x:v>
      </x:c>
      <x:c r="H7" s="13" t="str">
        <x:v>In Progress; Stage A technical/Evidence PASS, Stage B pending</x:v>
      </x:c>
    </x:row>
    <x:row r="8">
      <x:c r="A8" s="13" t="str">
        <x:v>Canonical</x:v>
      </x:c>
      <x:c r="B8" s="13" t="str">
        <x:v>ICR-D-NET-01-01_Kubernetes_Node_Host_Firewall_및_Monitoring_Route_변경요청_v1.4.md</x:v>
      </x:c>
      <x:c r="C8" s="13" t="str">
        <x:v>v1.4</x:v>
      </x:c>
      <x:c r="D8" s="13" t="str">
        <x:v>HEP/GNP / route change</x:v>
      </x:c>
      <x:c r="E8" s="13" t="str">
        <x:v>End date TBD</x:v>
      </x:c>
      <x:c r="G8" s="13" t="str">
        <x:v>Schedule rebaseline</x:v>
      </x:c>
      <x:c r="H8" s="13" t="str">
        <x:v>P1-DB/G1 → 09-07; APP → 09-10; MON starts 09-07; G2/G3/Close unchanged</x:v>
      </x:c>
    </x:row>
    <x:row r="9">
      <x:c r="A9" s="13" t="str">
        <x:v>Official</x:v>
      </x:c>
      <x:c r="B9" s="13" t="str">
        <x:v>Kubernetes NetworkPolicy</x:v>
      </x:c>
      <x:c r="C9" s="13" t="str">
        <x:v>current</x:v>
      </x:c>
      <x:c r="D9" s="13" t="str">
        <x:v>Layer 3/4 policy</x:v>
      </x:c>
      <x:c r="E9" s="13" t="str">
        <x:v>https://kubernetes.io/docs/concepts/services-networking/network-policies/</x:v>
      </x:c>
      <x:c r="G9" s="13" t="str">
        <x:v>P1-MON-01</x:v>
      </x:c>
      <x:c r="H9" s="13" t="str">
        <x:v>In Progress; IF-06B 5-minute heartbeat target</x:v>
      </x:c>
    </x:row>
    <x:row r="10">
      <x:c r="A10" s="13" t="str">
        <x:v>Official</x:v>
      </x:c>
      <x:c r="B10" s="13" t="str">
        <x:v>Kubernetes Secrets encryption at rest</x:v>
      </x:c>
      <x:c r="C10" s="13" t="str">
        <x:v>current</x:v>
      </x:c>
      <x:c r="D10" s="13" t="str">
        <x:v>EncryptionConfiguration</x:v>
      </x:c>
      <x:c r="E10" s="13" t="str">
        <x:v>https://kubernetes.io/docs/tasks/administer-cluster/encrypt-data/</x:v>
      </x:c>
    </x:row>
    <x:row r="11">
      <x:c r="A11" s="13" t="str">
        <x:v>Official</x:v>
      </x:c>
      <x:c r="B11" s="13" t="str">
        <x:v>Financial cloud usage guide</x:v>
      </x:c>
      <x:c r="C11" s="13" t="str">
        <x:v>2025 revision</x:v>
      </x:c>
      <x:c r="D11" s="13" t="str">
        <x:v>Trend discussion</x:v>
      </x:c>
      <x:c r="E11" s="13" t="str">
        <x:v>https://www.fsec.or.kr/bbs/detail?bbsNo=11691&amp;menuNo=222</x:v>
      </x:c>
    </x:row>
  </x:sheetData>
  <x:mergeCells>
    <x:mergeCell ref="A1:J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3" hidden="0" customWidth="1"/>
    <x:col min="3" max="3" width="13" hidden="0" customWidth="1"/>
    <x:col min="4" max="4" width="23" hidden="0" customWidth="1"/>
    <x:col min="5" max="5" width="23" hidden="0" customWidth="1"/>
    <x:col min="6" max="6" width="17" hidden="0" customWidth="1"/>
    <x:col min="7" max="7" width="17" hidden="0" customWidth="1"/>
    <x:col min="8" max="8" width="38" hidden="0" customWidth="1"/>
    <x:col min="9" max="9" width="25" hidden="0" customWidth="1"/>
    <x:col min="10" max="10" width="13" hidden="0" customWidth="1"/>
  </x:cols>
  <x:sheetData>
    <x:row r="1" ht="28" customHeight="1">
      <x:c r="A1" s="30" t="str">
        <x:v>FDS v3.1.16 · Team Availability Calendar</x:v>
      </x:c>
      <x:c r="B1" s="30"/>
      <x:c r="C1" s="30"/>
      <x:c r="D1" s="30"/>
      <x:c r="E1" s="30"/>
      <x:c r="F1" s="30"/>
      <x:c r="G1" s="30"/>
      <x:c r="H1" s="30"/>
      <x:c r="I1" s="30"/>
      <x:c r="J1" s="30"/>
    </x:row>
    <x:row r="2">
      <x:c r="A2" s="33" t="str">
        <x:v>Personal absences are owner-specific. Global non-working dates remain controlled in Sources &amp; Change Log.</x:v>
      </x:c>
      <x:c r="B2" s="33"/>
      <x:c r="C2" s="33"/>
      <x:c r="D2" s="33"/>
      <x:c r="E2" s="33"/>
      <x:c r="F2" s="33"/>
      <x:c r="G2" s="33"/>
      <x:c r="H2" s="33"/>
      <x:c r="I2" s="33"/>
      <x:c r="J2" s="33"/>
    </x:row>
    <x:row r="4">
      <x:c r="A4" s="39" t="str">
        <x:v>Person</x:v>
      </x:c>
      <x:c r="B4" s="39" t="str">
        <x:v>Gantt Label</x:v>
      </x:c>
      <x:c r="C4" s="39" t="str">
        <x:v>Date</x:v>
      </x:c>
      <x:c r="D4" s="39" t="str">
        <x:v>Absence Type</x:v>
      </x:c>
      <x:c r="E4" s="39" t="str">
        <x:v>Reason</x:v>
      </x:c>
      <x:c r="F4" s="39" t="str">
        <x:v>Scope</x:v>
      </x:c>
      <x:c r="G4" s="39" t="str">
        <x:v>Availability</x:v>
      </x:c>
      <x:c r="H4" s="39" t="str">
        <x:v>Affected Ticket(s)</x:v>
      </x:c>
      <x:c r="I4" s="39" t="str">
        <x:v>Coverage</x:v>
      </x:c>
      <x:c r="J4" s="39" t="str">
        <x:v>Status</x:v>
      </x:c>
    </x:row>
    <x:row r="5">
      <x:c r="A5" s="44" t="str">
        <x:v>이하영</x:v>
      </x:c>
      <x:c r="B5" s="44" t="str">
        <x:v>HY LEE</x:v>
      </x:c>
      <x:c r="C5" s="46" t="n">
        <x:v>46262</x:v>
      </x:c>
      <x:c r="D5" s="44" t="str">
        <x:v>시험 휴가 (Exam Leave)</x:v>
      </x:c>
      <x:c r="E5" s="44" t="str">
        <x:v>시험 (Exam)</x:v>
      </x:c>
      <x:c r="F5" s="44" t="str">
        <x:v>Personal absence</x:v>
      </x:c>
      <x:c r="G5" s="44" t="str">
        <x:v>Unavailable</x:v>
      </x:c>
      <x:c r="H5" s="44" t="str">
        <x:v>P1-HBR-01</x:v>
      </x:c>
      <x:c r="I5" s="44" t="str">
        <x:v>이권욱 (KW LEE)</x:v>
      </x:c>
      <x:c r="J5" s="44" t="str">
        <x:v>Recorded</x:v>
      </x:c>
    </x:row>
    <x:row r="6">
      <x:c r="A6" s="45" t="str">
        <x:v>이재환</x:v>
      </x:c>
      <x:c r="B6" s="45" t="str">
        <x:v>JH LEE</x:v>
      </x:c>
      <x:c r="C6" s="47" t="n">
        <x:v>46269</x:v>
      </x:c>
      <x:c r="D6" s="45" t="str">
        <x:v>개인 휴가 (Personal Leave)</x:v>
      </x:c>
      <x:c r="E6" s="45" t="str">
        <x:v>개인 사정 (Personal)</x:v>
      </x:c>
      <x:c r="F6" s="45" t="str">
        <x:v>Personal absence</x:v>
      </x:c>
      <x:c r="G6" s="45" t="str">
        <x:v>Unavailable</x:v>
      </x:c>
      <x:c r="H6" s="45" t="str">
        <x:v>P1-DB-01; P1-APP-01; P1-MON-01; MS-G1-01</x:v>
      </x:c>
      <x:c r="I6" s="45" t="str">
        <x:v>이권욱·이하영 (KW/HY LEE)</x:v>
      </x:c>
      <x:c r="J6" s="45" t="str">
        <x:v>Approved</x:v>
      </x:c>
    </x:row>
    <x:row r="7">
      <x:c r="A7" s="44" t="str">
        <x:v>이재환</x:v>
      </x:c>
      <x:c r="B7" s="44" t="str">
        <x:v>JH LEE</x:v>
      </x:c>
      <x:c r="C7" s="46" t="n">
        <x:v>46279</x:v>
      </x:c>
      <x:c r="D7" s="44" t="str">
        <x:v>예비군 (Reserve Duty)</x:v>
      </x:c>
      <x:c r="E7" s="44" t="str">
        <x:v>예비군 (Reserve Duty)</x:v>
      </x:c>
      <x:c r="F7" s="44" t="str">
        <x:v>Personal absence</x:v>
      </x:c>
      <x:c r="G7" s="44" t="str">
        <x:v>Unavailable</x:v>
      </x:c>
      <x:c r="H7" s="44" t="str">
        <x:v>P1-E2E-01; P1-MON-02; P1-DR-02; P1-HA-02</x:v>
      </x:c>
      <x:c r="I7" s="44" t="str">
        <x:v>이권욱·이하영 (KW/HY LEE)</x:v>
      </x:c>
      <x:c r="J7" s="44" t="str">
        <x:v>Recorded</x:v>
      </x:c>
    </x:row>
    <x:row r="8">
      <x:c r="A8" s="44" t="str">
        <x:v>이재환</x:v>
      </x:c>
      <x:c r="B8" s="44" t="str">
        <x:v>JH LEE</x:v>
      </x:c>
      <x:c r="C8" s="46" t="n">
        <x:v>46280</x:v>
      </x:c>
      <x:c r="D8" s="44" t="str">
        <x:v>예비군 (Reserve Duty)</x:v>
      </x:c>
      <x:c r="E8" s="44" t="str">
        <x:v>예비군 (Reserve Duty)</x:v>
      </x:c>
      <x:c r="F8" s="44" t="str">
        <x:v>Personal absence</x:v>
      </x:c>
      <x:c r="G8" s="44" t="str">
        <x:v>Unavailable</x:v>
      </x:c>
      <x:c r="H8" s="44" t="str">
        <x:v>P1-E2E-01; P1-MON-02; P1-DR-02; P1-HA-02</x:v>
      </x:c>
      <x:c r="I8" s="44" t="str">
        <x:v>이권욱·이하영 (KW/HY LEE)</x:v>
      </x:c>
      <x:c r="J8" s="44" t="str">
        <x:v>Recorded</x:v>
      </x:c>
    </x:row>
    <x:row r="9">
      <x:c r="A9" s="44" t="str">
        <x:v>이재환</x:v>
      </x:c>
      <x:c r="B9" s="44" t="str">
        <x:v>JH LEE</x:v>
      </x:c>
      <x:c r="C9" s="46" t="n">
        <x:v>46281</x:v>
      </x:c>
      <x:c r="D9" s="44" t="str">
        <x:v>예비군 (Reserve Duty)</x:v>
      </x:c>
      <x:c r="E9" s="44" t="str">
        <x:v>예비군 (Reserve Duty)</x:v>
      </x:c>
      <x:c r="F9" s="44" t="str">
        <x:v>Personal absence</x:v>
      </x:c>
      <x:c r="G9" s="44" t="str">
        <x:v>Unavailable</x:v>
      </x:c>
      <x:c r="H9" s="44" t="str">
        <x:v>P1-E2E-01; P1-MON-02; P1-DR-02; P1-HA-02</x:v>
      </x:c>
      <x:c r="I9" s="44" t="str">
        <x:v>이권욱·이하영 (KW/HY LEE)</x:v>
      </x:c>
      <x:c r="J9" s="44" t="str">
        <x:v>Recorded</x:v>
      </x:c>
    </x:row>
    <x:row r="10">
      <x:c r="A10" s="44" t="str">
        <x:v>이재환</x:v>
      </x:c>
      <x:c r="B10" s="44" t="str">
        <x:v>JH LEE</x:v>
      </x:c>
      <x:c r="C10" s="46" t="n">
        <x:v>46282</x:v>
      </x:c>
      <x:c r="D10" s="44" t="str">
        <x:v>예비군 (Reserve Duty)</x:v>
      </x:c>
      <x:c r="E10" s="44" t="str">
        <x:v>예비군 (Reserve Duty)</x:v>
      </x:c>
      <x:c r="F10" s="44" t="str">
        <x:v>Personal absence</x:v>
      </x:c>
      <x:c r="G10" s="44" t="str">
        <x:v>Unavailable</x:v>
      </x:c>
      <x:c r="H10" s="44" t="str">
        <x:v>P1-E2E-01; P1-MON-02; P1-DR-02; P1-HA-02</x:v>
      </x:c>
      <x:c r="I10" s="44" t="str">
        <x:v>이권욱·이하영 (KW/HY LEE)</x:v>
      </x:c>
      <x:c r="J10" s="44" t="str">
        <x:v>Recorded</x:v>
      </x:c>
    </x:row>
    <x:row r="12" ht="34" customHeight="1">
      <x:c r="A12" s="39" t="str">
        <x:v>Affected record</x:v>
      </x:c>
      <x:c r="B12" s="39" t="str">
        <x:v>Prior date</x:v>
      </x:c>
      <x:c r="C12" s="39" t="str">
        <x:v>Revised date</x:v>
      </x:c>
      <x:c r="D12" s="39" t="str">
        <x:v>Approved adjustment</x:v>
      </x:c>
      <x:c r="E12" s="39" t="str">
        <x:v>Coverage / control</x:v>
      </x:c>
      <x:c r="F12" s="39" t="str">
        <x:v>Gate impact</x:v>
      </x:c>
    </x:row>
    <x:row r="13" ht="34" customHeight="1">
      <x:c r="A13" s="51" t="str">
        <x:v>P1-DB-01</x:v>
      </x:c>
      <x:c r="B13" s="51" t="str">
        <x:v>End 2026-09-04</x:v>
      </x:c>
      <x:c r="C13" s="51" t="str">
        <x:v>End 2026-09-07</x:v>
      </x:c>
      <x:c r="D13" s="51" t="str">
        <x:v>Preserve six owner workdays</x:v>
      </x:c>
      <x:c r="E13" s="51" t="str">
        <x:v>Resume/complete after return</x:v>
      </x:c>
      <x:c r="F13" s="51" t="str">
        <x:v>G1 follows to 2026-09-07</x:v>
      </x:c>
    </x:row>
    <x:row r="14" ht="34" customHeight="1">
      <x:c r="A14" s="51" t="str">
        <x:v>P1-APP-01</x:v>
      </x:c>
      <x:c r="B14" s="51" t="str">
        <x:v>End 2026-09-09</x:v>
      </x:c>
      <x:c r="C14" s="51" t="str">
        <x:v>End 2026-09-10</x:v>
      </x:c>
      <x:c r="D14" s="51" t="str">
        <x:v>One-day owner gap</x:v>
      </x:c>
      <x:c r="E14" s="51" t="str">
        <x:v>이하영 support; no solo closure on leave</x:v>
      </x:c>
      <x:c r="F14" s="51" t="str">
        <x:v>G2 2026-09-11 unchanged</x:v>
      </x:c>
    </x:row>
    <x:row r="15" ht="34" customHeight="1">
      <x:c r="A15" s="51" t="str">
        <x:v>P1-MON-01</x:v>
      </x:c>
      <x:c r="B15" s="51" t="str">
        <x:v>Start 2026-09-04</x:v>
      </x:c>
      <x:c r="C15" s="51" t="str">
        <x:v>Start 2026-09-07</x:v>
      </x:c>
      <x:c r="D15" s="51" t="str">
        <x:v>Start after return</x:v>
      </x:c>
      <x:c r="E15" s="51" t="str">
        <x:v>이권욱 support</x:v>
      </x:c>
      <x:c r="F15" s="51" t="str">
        <x:v>G2 2026-09-11 unchanged</x:v>
      </x:c>
    </x:row>
    <x:row r="16" ht="34" customHeight="1">
      <x:c r="A16" s="51" t="str">
        <x:v>MS-G1-01</x:v>
      </x:c>
      <x:c r="B16" s="51" t="str">
        <x:v>2026-09-04</x:v>
      </x:c>
      <x:c r="C16" s="51" t="str">
        <x:v>2026-09-07</x:v>
      </x:c>
      <x:c r="D16" s="51" t="str">
        <x:v>Align with P1-DB completion</x:v>
      </x:c>
      <x:c r="E16" s="51" t="str">
        <x:v>Lead gate review after evidence</x:v>
      </x:c>
      <x:c r="F16" s="51" t="str">
        <x:v>G1 +1 business day</x:v>
      </x:c>
    </x:row>
    <x:row r="18">
      <x:c r="A18" s="54" t="str">
        <x:v>Approval</x:v>
      </x:c>
      <x:c r="B18" s="54" t="str">
        <x:v>D36</x:v>
      </x:c>
      <x:c r="C18" s="54" t="str">
        <x:v>Approved by</x:v>
      </x:c>
      <x:c r="D18" s="54" t="str">
        <x:v>User / Project Lead</x:v>
      </x:c>
      <x:c r="E18" s="54" t="str">
        <x:v>Effective</x:v>
      </x:c>
      <x:c r="F18" s="55" t="n">
        <x:v>46268</x:v>
      </x:c>
    </x:row>
  </x:sheetData>
  <x:mergeCells>
    <x:mergeCell ref="A1:J1"/>
    <x:mergeCell ref="A2:J2"/>
  </x:mergeCells>
  <x:pageMargins left="0.7" right="0.7" top="0.75" bottom="0.75" header="0.3" footer="0.3"/>
</x:worksheet>
</file>